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A1ACF5F4-7171-408B-9454-132B8E894649}"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BU26" i="3" s="1"/>
  <c r="BW28" i="3"/>
  <c r="E45" i="3"/>
  <c r="BW29" i="3" s="1"/>
  <c r="F92" i="3"/>
  <c r="F95" i="3"/>
  <c r="BW53" i="3" s="1"/>
  <c r="E97" i="3"/>
  <c r="BV52" i="3" s="1"/>
  <c r="F81" i="3"/>
  <c r="E76" i="3"/>
  <c r="BW43" i="3" s="1"/>
  <c r="E78" i="3"/>
  <c r="E48" i="3"/>
  <c r="F44" i="3"/>
  <c r="F47" i="3"/>
  <c r="E38" i="3"/>
  <c r="BW24" i="3" s="1"/>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3" i="3"/>
  <c r="F76" i="3"/>
  <c r="BW42" i="3" s="1"/>
  <c r="F80" i="3"/>
  <c r="E77" i="3"/>
  <c r="F78" i="3"/>
  <c r="BU44" i="3"/>
  <c r="E61" i="3"/>
  <c r="BW37" i="3" s="1"/>
  <c r="F62" i="3"/>
  <c r="BU34" i="3" s="1"/>
  <c r="BU36" i="3"/>
  <c r="F64" i="3"/>
  <c r="BU35" i="3" s="1"/>
  <c r="F72" i="3"/>
  <c r="BU41" i="3" s="1"/>
  <c r="E68" i="3"/>
  <c r="BW39" i="3" s="1"/>
  <c r="BW38" i="3"/>
  <c r="BU38" i="3"/>
  <c r="E70" i="3"/>
  <c r="BU51" i="3" l="1"/>
  <c r="BW45" i="3"/>
  <c r="BW44" i="3"/>
  <c r="BU42" i="3"/>
  <c r="BW41" i="3"/>
  <c r="BW40" i="3"/>
  <c r="BW36" i="3"/>
  <c r="BW35" i="3"/>
  <c r="BU37" i="3"/>
  <c r="BU27" i="3"/>
  <c r="BV50" i="3"/>
  <c r="BV51" i="3"/>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51" i="3" l="1"/>
  <c r="BX27"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8" i="3"/>
  <c r="H20" i="3"/>
  <c r="H23" i="3"/>
  <c r="H25" i="3"/>
  <c r="I23" i="3"/>
  <c r="I20" i="3"/>
  <c r="H21"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5" i="3" l="1"/>
  <c r="CA46" i="3"/>
  <c r="CB14" i="3"/>
  <c r="CA14" i="3"/>
  <c r="CB19" i="3"/>
  <c r="CA13" i="3"/>
  <c r="CB53" i="3"/>
  <c r="CA45" i="3"/>
  <c r="CB45" i="3"/>
  <c r="CB46" i="3"/>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7" i="3" l="1"/>
  <c r="L84" i="3"/>
  <c r="L97" i="3"/>
  <c r="L13" i="3"/>
  <c r="K24" i="3"/>
  <c r="K14" i="3"/>
  <c r="K12"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9" i="3"/>
  <c r="CF47" i="3"/>
  <c r="CF14"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H40" i="3"/>
  <c r="CH11" i="3"/>
  <c r="O12" i="3" s="1"/>
  <c r="CH14" i="3"/>
  <c r="CH13" i="3"/>
  <c r="O13" i="3" s="1"/>
  <c r="O64" i="3"/>
  <c r="N96" i="3"/>
  <c r="O93" i="3"/>
  <c r="N95" i="3"/>
  <c r="N61" i="3" l="1"/>
  <c r="N56" i="3"/>
  <c r="O97" i="3"/>
  <c r="O94" i="3"/>
  <c r="O95" i="3"/>
  <c r="O47" i="3"/>
  <c r="O44" i="3"/>
  <c r="CI36" i="3"/>
  <c r="CI51" i="3"/>
  <c r="N29" i="3"/>
  <c r="CJ50" i="3"/>
  <c r="CI9" i="3"/>
  <c r="CI22" i="3"/>
  <c r="O55" i="3"/>
  <c r="O33" i="3"/>
  <c r="CJ19" i="3" s="1"/>
  <c r="N9" i="3"/>
  <c r="N36" i="3"/>
  <c r="O41" i="3"/>
  <c r="O4" i="3"/>
  <c r="O69" i="3"/>
  <c r="CK40" i="3" s="1"/>
  <c r="CI35" i="3"/>
  <c r="N72" i="3"/>
  <c r="CK21" i="3"/>
  <c r="O30" i="3"/>
  <c r="CI18" i="3" s="1"/>
  <c r="N32" i="3"/>
  <c r="CJ18" i="3" s="1"/>
  <c r="N7" i="3"/>
  <c r="O29" i="3"/>
  <c r="CI20" i="3" s="1"/>
  <c r="N49" i="3"/>
  <c r="N52" i="3"/>
  <c r="CK24" i="3"/>
  <c r="N54" i="3"/>
  <c r="N37" i="3"/>
  <c r="N8" i="3"/>
  <c r="CI6" i="3" s="1"/>
  <c r="CK22" i="3"/>
  <c r="O52" i="3"/>
  <c r="N97" i="3"/>
  <c r="O77" i="3"/>
  <c r="CI44" i="3" s="1"/>
  <c r="N80" i="3"/>
  <c r="N55" i="3"/>
  <c r="N81" i="3"/>
  <c r="N84" i="3"/>
  <c r="CI45" i="3"/>
  <c r="O5" i="3"/>
  <c r="N47" i="3"/>
  <c r="CI27" i="3" s="1"/>
  <c r="CK46" i="3"/>
  <c r="CI33" i="3"/>
  <c r="O53" i="3"/>
  <c r="O79" i="3"/>
  <c r="N6" i="3"/>
  <c r="N86" i="3"/>
  <c r="CK48" i="3" s="1"/>
  <c r="O32" i="3"/>
  <c r="CI21" i="3" s="1"/>
  <c r="CI12" i="3"/>
  <c r="CI43" i="3"/>
  <c r="N88" i="3"/>
  <c r="N30" i="3"/>
  <c r="CI25" i="3"/>
  <c r="CK6" i="3"/>
  <c r="CK25" i="3"/>
  <c r="N73" i="3"/>
  <c r="N15" i="3"/>
  <c r="CK12" i="3" s="1"/>
  <c r="CI11" i="3"/>
  <c r="O96" i="3"/>
  <c r="CJ53" i="3" s="1"/>
  <c r="CL53" i="3" s="1"/>
  <c r="CK34" i="3"/>
  <c r="CK8" i="3"/>
  <c r="CK30" i="3"/>
  <c r="N68" i="3"/>
  <c r="CK39" i="3" s="1"/>
  <c r="CK50" i="3"/>
  <c r="O40" i="3"/>
  <c r="O15" i="3"/>
  <c r="CI10" i="3" s="1"/>
  <c r="N65" i="3"/>
  <c r="O9" i="3"/>
  <c r="CI7" i="3" s="1"/>
  <c r="CI23" i="3"/>
  <c r="O36" i="3"/>
  <c r="CJ22" i="3" s="1"/>
  <c r="CK23" i="3"/>
  <c r="O61" i="3"/>
  <c r="CJ36" i="3" s="1"/>
  <c r="CI8" i="3"/>
  <c r="CI47" i="3"/>
  <c r="CK37" i="3"/>
  <c r="N13" i="3"/>
  <c r="O68" i="3"/>
  <c r="O57" i="3"/>
  <c r="O65" i="3"/>
  <c r="N40" i="3"/>
  <c r="O31" i="3"/>
  <c r="CJ21" i="3" s="1"/>
  <c r="N92" i="3"/>
  <c r="CK51" i="3" s="1"/>
  <c r="N77" i="3"/>
  <c r="CI50" i="3"/>
  <c r="O25" i="3"/>
  <c r="O37" i="3"/>
  <c r="CI24" i="3" s="1"/>
  <c r="N5" i="3"/>
  <c r="CJ9" i="3" s="1"/>
  <c r="O72" i="3"/>
  <c r="CK41" i="3" s="1"/>
  <c r="CI38"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N33" i="3"/>
  <c r="CK10" i="3"/>
  <c r="N69" i="3"/>
  <c r="O73" i="3"/>
  <c r="CI39" i="3" s="1"/>
  <c r="O60" i="3"/>
  <c r="CI34" i="3" s="1"/>
  <c r="O63" i="3"/>
  <c r="CI37" i="3" s="1"/>
  <c r="CI40" i="3"/>
  <c r="O70" i="3"/>
  <c r="CK17" i="3"/>
  <c r="N22" i="3"/>
  <c r="CI15" i="3" s="1"/>
  <c r="CK42" i="3"/>
  <c r="N78" i="3"/>
  <c r="O81" i="3"/>
  <c r="N14" i="3"/>
  <c r="CK13" i="3"/>
  <c r="N23" i="3"/>
  <c r="N20" i="3"/>
  <c r="O24" i="3"/>
  <c r="N17" i="3"/>
  <c r="O14" i="3"/>
  <c r="CI13" i="3" s="1"/>
  <c r="CK33" i="3"/>
  <c r="CK53" i="3"/>
  <c r="CK14" i="3"/>
  <c r="CK49" i="3"/>
  <c r="CK31" i="3"/>
  <c r="CI19" i="3" l="1"/>
  <c r="CL19" i="3" s="1"/>
  <c r="CI26" i="3"/>
  <c r="CL36" i="3"/>
  <c r="CK44" i="3"/>
  <c r="CK18" i="3"/>
  <c r="CI49" i="3"/>
  <c r="CK47" i="3"/>
  <c r="CK45" i="3"/>
  <c r="CK43" i="3"/>
  <c r="CI41" i="3"/>
  <c r="CK36" i="3"/>
  <c r="CI14" i="3"/>
  <c r="CK11" i="3"/>
  <c r="CL50" i="3"/>
  <c r="CL22" i="3"/>
  <c r="CJ30" i="3"/>
  <c r="CL30" i="3" s="1"/>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6" i="3" l="1"/>
  <c r="CL14" i="3"/>
  <c r="CM45" i="3"/>
  <c r="CM53" i="3"/>
  <c r="CM48" i="3"/>
  <c r="CM16" i="3"/>
  <c r="CM40" i="3"/>
  <c r="CM30" i="3"/>
  <c r="CM17" i="3"/>
  <c r="CM34" i="3"/>
  <c r="CM31" i="3"/>
  <c r="CM33" i="3"/>
  <c r="CM47" i="3"/>
  <c r="CM22" i="3"/>
  <c r="CM43" i="3"/>
  <c r="CM21" i="3"/>
  <c r="CM35" i="3"/>
  <c r="CM18" i="3"/>
  <c r="CM20" i="3"/>
  <c r="CM44" i="3"/>
  <c r="CM38" i="3"/>
  <c r="CM42" i="3"/>
  <c r="CM19" i="3"/>
  <c r="CM28" i="3"/>
  <c r="CM24" i="3"/>
  <c r="CM11" i="3"/>
  <c r="CM13" i="3"/>
  <c r="CM12" i="3"/>
  <c r="CM10" i="3"/>
  <c r="CM32" i="3"/>
  <c r="CM9" i="3"/>
  <c r="CM8" i="3"/>
  <c r="CM7" i="3"/>
  <c r="CM6" i="3"/>
  <c r="CM29" i="3"/>
  <c r="CM39" i="3"/>
  <c r="CM41" i="3"/>
  <c r="CM36" i="3"/>
  <c r="CM27" i="3"/>
  <c r="CM25" i="3"/>
  <c r="CM23" i="3"/>
  <c r="CM52" i="3"/>
  <c r="CM37" i="3"/>
  <c r="CM14" i="3" l="1"/>
  <c r="CM51" i="3"/>
  <c r="CM26" i="3"/>
  <c r="CM49" i="3"/>
  <c r="CM15" i="3"/>
  <c r="CM46" i="3"/>
  <c r="CM50" i="3"/>
  <c r="CN37" i="3" l="1"/>
  <c r="R61" i="3" s="1"/>
  <c r="CN39" i="3"/>
  <c r="R71" i="3" s="1"/>
  <c r="CN31" i="3"/>
  <c r="R52" i="3" s="1"/>
  <c r="CN35" i="3"/>
  <c r="R63" i="3" s="1"/>
  <c r="CN46" i="3"/>
  <c r="Q84" i="3" s="1"/>
  <c r="CN18" i="3"/>
  <c r="Q28" i="3" s="1"/>
  <c r="CN25" i="3"/>
  <c r="Q39" i="3" s="1"/>
  <c r="CN53" i="3"/>
  <c r="Q95" i="3" s="1"/>
  <c r="CN40" i="3"/>
  <c r="R73" i="3" s="1"/>
  <c r="CN15" i="3"/>
  <c r="Q25" i="3" s="1"/>
  <c r="CN12" i="3"/>
  <c r="R15" i="3" s="1"/>
  <c r="CN22" i="3"/>
  <c r="Q36" i="3" s="1"/>
  <c r="CN11" i="3"/>
  <c r="Q17" i="3" s="1"/>
  <c r="CN29" i="3"/>
  <c r="Q47" i="3" s="1"/>
  <c r="CN8" i="3"/>
  <c r="Q5" i="3" s="1"/>
  <c r="CN50" i="3"/>
  <c r="Q94" i="3" s="1"/>
  <c r="CN14" i="3"/>
  <c r="Q20" i="3" s="1"/>
  <c r="CN20" i="3"/>
  <c r="R33" i="3" s="1"/>
  <c r="CN41" i="3"/>
  <c r="Q71" i="3" s="1"/>
  <c r="CN47" i="3"/>
  <c r="Q89" i="3" s="1"/>
  <c r="CN6" i="3"/>
  <c r="Q7" i="3" s="1"/>
  <c r="CN45" i="3"/>
  <c r="Q79" i="3" s="1"/>
  <c r="CN34" i="3"/>
  <c r="R65" i="3" s="1"/>
  <c r="CN17" i="3"/>
  <c r="Q24" i="3" s="1"/>
  <c r="CN13" i="3"/>
  <c r="R13" i="3" s="1"/>
  <c r="CN27" i="3"/>
  <c r="R47" i="3" s="1"/>
  <c r="CN30" i="3"/>
  <c r="R57" i="3" s="1"/>
  <c r="CN9" i="3"/>
  <c r="Q6" i="3" s="1"/>
  <c r="CN10" i="3"/>
  <c r="Q15" i="3" s="1"/>
  <c r="CN38" i="3"/>
  <c r="Q70" i="3" s="1"/>
  <c r="CN42" i="3"/>
  <c r="Q76" i="3" s="1"/>
  <c r="CN19" i="3"/>
  <c r="Q33" i="3" s="1"/>
  <c r="CN51" i="3"/>
  <c r="R92" i="3" s="1"/>
  <c r="CN24" i="3"/>
  <c r="Q37" i="3" s="1"/>
  <c r="CN44" i="3"/>
  <c r="Q77" i="3" s="1"/>
  <c r="CN21" i="3"/>
  <c r="Q31" i="3" s="1"/>
  <c r="CN16" i="3"/>
  <c r="R25" i="3" s="1"/>
  <c r="CN28" i="3"/>
  <c r="R46" i="3" s="1"/>
  <c r="CN23" i="3"/>
  <c r="R36" i="3" s="1"/>
  <c r="CN26" i="3"/>
  <c r="Q44" i="3" s="1"/>
  <c r="CN43" i="3"/>
  <c r="R76" i="3" s="1"/>
  <c r="CN52" i="3"/>
  <c r="R97" i="3" s="1"/>
  <c r="CN49" i="3"/>
  <c r="Q87" i="3" s="1"/>
  <c r="CN7" i="3"/>
  <c r="R4" i="3" s="1"/>
  <c r="CN32" i="3"/>
  <c r="Q53" i="3" s="1"/>
  <c r="CN33" i="3"/>
  <c r="Q57" i="3" s="1"/>
  <c r="CN36" i="3"/>
  <c r="R64" i="3" s="1"/>
  <c r="R37" i="3"/>
  <c r="CN48" i="3"/>
  <c r="Q69" i="3"/>
  <c r="R70" i="3"/>
  <c r="Q63" i="3"/>
  <c r="R55" i="3"/>
  <c r="R93" i="3"/>
  <c r="Q56" i="3"/>
  <c r="R9" i="3"/>
  <c r="Q65" i="3"/>
  <c r="R17" i="3"/>
  <c r="R22" i="3"/>
  <c r="Q64" i="3"/>
  <c r="R68" i="3"/>
  <c r="R60" i="3"/>
  <c r="CP53" i="3" l="1"/>
  <c r="Q4" i="3"/>
  <c r="R7" i="3"/>
  <c r="R8" i="3"/>
  <c r="R20" i="3"/>
  <c r="Q41" i="3"/>
  <c r="CP30" i="3"/>
  <c r="Q54" i="3"/>
  <c r="Q73" i="3"/>
  <c r="Q96" i="3"/>
  <c r="CO30" i="3"/>
  <c r="Q49" i="3"/>
  <c r="R45" i="3"/>
  <c r="R88" i="3"/>
  <c r="Q86" i="3"/>
  <c r="Q13" i="3"/>
  <c r="R96" i="3"/>
  <c r="Q23" i="3"/>
  <c r="CO12" i="3"/>
  <c r="Q92" i="3"/>
  <c r="CP51" i="3" s="1"/>
  <c r="Q72" i="3"/>
  <c r="Q52" i="3"/>
  <c r="R5" i="3"/>
  <c r="CO8" i="3" s="1"/>
  <c r="R21" i="3"/>
  <c r="CO9" i="3"/>
  <c r="CO22" i="3"/>
  <c r="R30" i="3"/>
  <c r="Q22" i="3"/>
  <c r="CO15" i="3" s="1"/>
  <c r="R41" i="3"/>
  <c r="R24" i="3"/>
  <c r="Q30" i="3"/>
  <c r="CP20" i="3" s="1"/>
  <c r="R72" i="3"/>
  <c r="CO41" i="3" s="1"/>
  <c r="R32" i="3"/>
  <c r="R94" i="3"/>
  <c r="CP50" i="3" s="1"/>
  <c r="Q68" i="3"/>
  <c r="CP39" i="3" s="1"/>
  <c r="Q29" i="3"/>
  <c r="Q38" i="3"/>
  <c r="CO23" i="3"/>
  <c r="Q16" i="3"/>
  <c r="Q97" i="3"/>
  <c r="CO10" i="3"/>
  <c r="R16" i="3"/>
  <c r="CP12" i="3"/>
  <c r="R80" i="3"/>
  <c r="CO43" i="3" s="1"/>
  <c r="Q21" i="3"/>
  <c r="Q14" i="3"/>
  <c r="CP23" i="3"/>
  <c r="Q81" i="3"/>
  <c r="Q48" i="3"/>
  <c r="Q8" i="3"/>
  <c r="R77" i="3"/>
  <c r="R81" i="3"/>
  <c r="CP42" i="3"/>
  <c r="R95" i="3"/>
  <c r="CO53" i="3" s="1"/>
  <c r="R78" i="3"/>
  <c r="R28" i="3"/>
  <c r="R54" i="3"/>
  <c r="Q40" i="3"/>
  <c r="R23" i="3"/>
  <c r="CP14" i="3" s="1"/>
  <c r="R39" i="3"/>
  <c r="Q78" i="3"/>
  <c r="R84" i="3"/>
  <c r="R69" i="3"/>
  <c r="CO19" i="3"/>
  <c r="CP33" i="3"/>
  <c r="R87" i="3"/>
  <c r="Q62" i="3"/>
  <c r="CP36" i="3" s="1"/>
  <c r="Q12" i="3"/>
  <c r="Q60" i="3"/>
  <c r="CP35" i="3" s="1"/>
  <c r="Q93" i="3"/>
  <c r="CP43" i="3"/>
  <c r="Q45" i="3"/>
  <c r="Q46" i="3"/>
  <c r="R31" i="3"/>
  <c r="R44" i="3"/>
  <c r="R48" i="3"/>
  <c r="CO27" i="3" s="1"/>
  <c r="R12" i="3"/>
  <c r="R14" i="3"/>
  <c r="R79" i="3"/>
  <c r="R38" i="3"/>
  <c r="CP22" i="3" s="1"/>
  <c r="Q88" i="3"/>
  <c r="Q80" i="3"/>
  <c r="R49" i="3"/>
  <c r="Q55" i="3"/>
  <c r="R53" i="3"/>
  <c r="Q61" i="3"/>
  <c r="CP37" i="3" s="1"/>
  <c r="R62" i="3"/>
  <c r="R40" i="3"/>
  <c r="Q32" i="3"/>
  <c r="R29" i="3"/>
  <c r="R85" i="3"/>
  <c r="CO48" i="3" s="1"/>
  <c r="R56" i="3"/>
  <c r="R6" i="3"/>
  <c r="Q9" i="3"/>
  <c r="Q85" i="3"/>
  <c r="R86" i="3"/>
  <c r="R89" i="3"/>
  <c r="CP34" i="3"/>
  <c r="CO24" i="3"/>
  <c r="CO37" i="3"/>
  <c r="CQ37" i="3" s="1"/>
  <c r="CP38" i="3"/>
  <c r="CO34" i="3"/>
  <c r="CQ22" i="3"/>
  <c r="CP40" i="3"/>
  <c r="CQ43" i="3"/>
  <c r="CP24" i="3"/>
  <c r="CO21" i="3"/>
  <c r="CO40" i="3"/>
  <c r="CO38" i="3"/>
  <c r="CP31" i="3"/>
  <c r="CP32" i="3"/>
  <c r="CP16" i="3"/>
  <c r="CO42" i="3"/>
  <c r="CQ42" i="3" s="1"/>
  <c r="CP10" i="3"/>
  <c r="CQ10" i="3" s="1"/>
  <c r="CO31" i="3"/>
  <c r="CQ30" i="3"/>
  <c r="CO32" i="3"/>
  <c r="CP28" i="3"/>
  <c r="CP17" i="3"/>
  <c r="CO28" i="3"/>
  <c r="CP9" i="3"/>
  <c r="CQ9" i="3" s="1"/>
  <c r="CP13" i="3"/>
  <c r="CO17" i="3"/>
  <c r="CP21" i="3"/>
  <c r="CO16" i="3"/>
  <c r="CO20" i="3"/>
  <c r="CQ20" i="3" s="1"/>
  <c r="CP19" i="3"/>
  <c r="CO13" i="3"/>
  <c r="CO7" i="3"/>
  <c r="CO6" i="3"/>
  <c r="CP6" i="3"/>
  <c r="CP8" i="3"/>
  <c r="CQ8" i="3" s="1"/>
  <c r="CP7" i="3"/>
  <c r="CP52" i="3"/>
  <c r="CO52" i="3"/>
  <c r="CO29" i="3"/>
  <c r="CQ23" i="3"/>
  <c r="CP29" i="3"/>
  <c r="CO51" i="3"/>
  <c r="CO33" i="3"/>
  <c r="CQ33" i="3" s="1"/>
  <c r="CO25" i="3"/>
  <c r="CP25" i="3"/>
  <c r="CQ53" i="3"/>
  <c r="CP41" i="3" l="1"/>
  <c r="CO14" i="3"/>
  <c r="CQ14" i="3" s="1"/>
  <c r="CO26" i="3"/>
  <c r="CP49" i="3"/>
  <c r="CQ12" i="3"/>
  <c r="CO39" i="3"/>
  <c r="CQ39" i="3" s="1"/>
  <c r="CP18" i="3"/>
  <c r="CO36" i="3"/>
  <c r="CQ36" i="3" s="1"/>
  <c r="CQ51" i="3"/>
  <c r="CO49" i="3"/>
  <c r="CP44" i="3"/>
  <c r="CQ19" i="3"/>
  <c r="CP15" i="3"/>
  <c r="CQ15" i="3" s="1"/>
  <c r="CO35" i="3"/>
  <c r="CQ35" i="3" s="1"/>
  <c r="CO50" i="3"/>
  <c r="CQ50" i="3" s="1"/>
  <c r="CO44" i="3"/>
  <c r="CP27" i="3"/>
  <c r="CQ27" i="3" s="1"/>
  <c r="CP48" i="3"/>
  <c r="CQ48" i="3" s="1"/>
  <c r="CO18" i="3"/>
  <c r="CO11" i="3"/>
  <c r="CP45" i="3"/>
  <c r="CP46" i="3"/>
  <c r="CP26" i="3"/>
  <c r="CQ26" i="3" s="1"/>
  <c r="CP11" i="3"/>
  <c r="CO46" i="3"/>
  <c r="CO45" i="3"/>
  <c r="CP47" i="3"/>
  <c r="CO47" i="3"/>
  <c r="CQ24" i="3"/>
  <c r="CQ34" i="3"/>
  <c r="CQ21" i="3"/>
  <c r="CQ16" i="3"/>
  <c r="CQ40" i="3"/>
  <c r="CQ38" i="3"/>
  <c r="CQ31" i="3"/>
  <c r="CQ32" i="3"/>
  <c r="CQ28" i="3"/>
  <c r="CQ13" i="3"/>
  <c r="CQ17" i="3"/>
  <c r="CQ7" i="3"/>
  <c r="CQ6" i="3"/>
  <c r="CQ41" i="3"/>
  <c r="CQ52" i="3"/>
  <c r="CQ29" i="3"/>
  <c r="CQ25" i="3"/>
  <c r="CQ49" i="3" l="1"/>
  <c r="CQ18" i="3"/>
  <c r="CR39" i="3" s="1"/>
  <c r="CQ44" i="3"/>
  <c r="CQ11" i="3"/>
  <c r="CQ46" i="3"/>
  <c r="CR26" i="3" s="1"/>
  <c r="CQ45" i="3"/>
  <c r="CQ47" i="3"/>
  <c r="CR53" i="3"/>
  <c r="CR21" i="3"/>
  <c r="CR31" i="3"/>
  <c r="CR43" i="3"/>
  <c r="CR30" i="3"/>
  <c r="CR42" i="3"/>
  <c r="CR38" i="3"/>
  <c r="CR33" i="3"/>
  <c r="CR40" i="3"/>
  <c r="CR34" i="3"/>
  <c r="CR24" i="3"/>
  <c r="CR22" i="3"/>
  <c r="CR28" i="3"/>
  <c r="CR17" i="3"/>
  <c r="CR20" i="3"/>
  <c r="CR15" i="3"/>
  <c r="CR16" i="3"/>
  <c r="CR10" i="3"/>
  <c r="CR7" i="3"/>
  <c r="CR32" i="3"/>
  <c r="CR9" i="3"/>
  <c r="CR6" i="3"/>
  <c r="CR8" i="3"/>
  <c r="CR27" i="3"/>
  <c r="CR13" i="3"/>
  <c r="CR29" i="3"/>
  <c r="CR37" i="3"/>
  <c r="CR23" i="3"/>
  <c r="CR25" i="3"/>
  <c r="CR51" i="3"/>
  <c r="CR52" i="3"/>
  <c r="CR18" i="3" l="1"/>
  <c r="CR41" i="3"/>
  <c r="CR19" i="3"/>
  <c r="CR12" i="3"/>
  <c r="CR46" i="3"/>
  <c r="CR14" i="3"/>
  <c r="CR49" i="3"/>
  <c r="CR35" i="3"/>
  <c r="CR50" i="3"/>
  <c r="CR11" i="3"/>
  <c r="CR36" i="3"/>
  <c r="CR44" i="3"/>
  <c r="CR45" i="3"/>
  <c r="CR48" i="3"/>
  <c r="CR47" i="3"/>
  <c r="CS46" i="3" l="1"/>
  <c r="U88" i="3" s="1"/>
  <c r="CS29" i="3"/>
  <c r="U45" i="3" s="1"/>
  <c r="CS7" i="3"/>
  <c r="U4" i="3" s="1"/>
  <c r="CS9" i="3"/>
  <c r="U5" i="3" s="1"/>
  <c r="CS41" i="3"/>
  <c r="T71" i="3" s="1"/>
  <c r="CS34" i="3"/>
  <c r="U65" i="3" s="1"/>
  <c r="CS50" i="3"/>
  <c r="T92" i="3" s="1"/>
  <c r="CS52" i="3"/>
  <c r="T93" i="3" s="1"/>
  <c r="CS18" i="3"/>
  <c r="T30" i="3" s="1"/>
  <c r="CS20" i="3"/>
  <c r="U30" i="3" s="1"/>
  <c r="CS14" i="3"/>
  <c r="U24" i="3" s="1"/>
  <c r="CS43" i="3"/>
  <c r="T80" i="3" s="1"/>
  <c r="CS53" i="3"/>
  <c r="T95" i="3" s="1"/>
  <c r="CS38" i="3"/>
  <c r="T70" i="3" s="1"/>
  <c r="CS26" i="3"/>
  <c r="T46" i="3" s="1"/>
  <c r="CS44" i="3"/>
  <c r="U80" i="3" s="1"/>
  <c r="CS45" i="3"/>
  <c r="T79" i="3" s="1"/>
  <c r="CS21" i="3"/>
  <c r="T31" i="3" s="1"/>
  <c r="CS8" i="3"/>
  <c r="U9" i="3" s="1"/>
  <c r="CS49" i="3"/>
  <c r="U85" i="3" s="1"/>
  <c r="CS22" i="3"/>
  <c r="T38" i="3" s="1"/>
  <c r="CS39" i="3"/>
  <c r="U71" i="3" s="1"/>
  <c r="CS15" i="3"/>
  <c r="U22" i="3" s="1"/>
  <c r="CS27" i="3"/>
  <c r="U47" i="3" s="1"/>
  <c r="CS31" i="3"/>
  <c r="U55" i="3" s="1"/>
  <c r="CS13" i="3"/>
  <c r="T14" i="3" s="1"/>
  <c r="CS12" i="3"/>
  <c r="T13" i="3" s="1"/>
  <c r="CS19" i="3"/>
  <c r="U31" i="3" s="1"/>
  <c r="CS33" i="3"/>
  <c r="U53" i="3" s="1"/>
  <c r="CS23" i="3"/>
  <c r="T40" i="3" s="1"/>
  <c r="CS32" i="3"/>
  <c r="U56" i="3" s="1"/>
  <c r="CS47" i="3"/>
  <c r="U84" i="3" s="1"/>
  <c r="CS48" i="3"/>
  <c r="U89" i="3" s="1"/>
  <c r="CS30" i="3"/>
  <c r="CS28" i="3"/>
  <c r="U48" i="3" s="1"/>
  <c r="CS6" i="3"/>
  <c r="U8" i="3" s="1"/>
  <c r="CS17" i="3"/>
  <c r="T22" i="3" s="1"/>
  <c r="CS51" i="3"/>
  <c r="U92" i="3" s="1"/>
  <c r="CS25" i="3"/>
  <c r="T39" i="3" s="1"/>
  <c r="CS36" i="3"/>
  <c r="U62" i="3" s="1"/>
  <c r="CS24" i="3"/>
  <c r="T37" i="3" s="1"/>
  <c r="CS37" i="3"/>
  <c r="T63" i="3" s="1"/>
  <c r="CS42" i="3"/>
  <c r="T78" i="3" s="1"/>
  <c r="CS16" i="3"/>
  <c r="U23" i="3" s="1"/>
  <c r="CS10" i="3"/>
  <c r="T15" i="3" s="1"/>
  <c r="CS40" i="3"/>
  <c r="U70" i="3" s="1"/>
  <c r="CS11" i="3"/>
  <c r="T17" i="3" s="1"/>
  <c r="CS35" i="3"/>
  <c r="U63" i="3" s="1"/>
  <c r="U33" i="3"/>
  <c r="T84" i="3"/>
  <c r="T86" i="3"/>
  <c r="T29" i="3"/>
  <c r="T6" i="3"/>
  <c r="T8" i="3"/>
  <c r="U78" i="3"/>
  <c r="T68" i="3"/>
  <c r="CT38" i="3"/>
  <c r="T20" i="3"/>
  <c r="T72" i="3"/>
  <c r="U94" i="3"/>
  <c r="T23" i="3"/>
  <c r="U69" i="3"/>
  <c r="U97" i="3"/>
  <c r="T47" i="3"/>
  <c r="T49" i="3"/>
  <c r="T77" i="3" l="1"/>
  <c r="U77" i="3"/>
  <c r="U72" i="3"/>
  <c r="U7" i="3"/>
  <c r="U6" i="3"/>
  <c r="U15" i="3"/>
  <c r="T9" i="3"/>
  <c r="U49" i="3"/>
  <c r="T28" i="3"/>
  <c r="CT19" i="3" s="1"/>
  <c r="U32" i="3"/>
  <c r="T62" i="3"/>
  <c r="U29" i="3"/>
  <c r="T60" i="3"/>
  <c r="CT43" i="3"/>
  <c r="U79" i="3"/>
  <c r="U76" i="3"/>
  <c r="CT34" i="3"/>
  <c r="U44" i="3"/>
  <c r="T48" i="3"/>
  <c r="T32" i="3"/>
  <c r="U13" i="3"/>
  <c r="CT12" i="3" s="1"/>
  <c r="T33" i="3"/>
  <c r="T94" i="3"/>
  <c r="CT31" i="3"/>
  <c r="T5" i="3"/>
  <c r="T25" i="3"/>
  <c r="U61" i="3"/>
  <c r="U39" i="3"/>
  <c r="U46" i="3"/>
  <c r="T55" i="3"/>
  <c r="U28" i="3"/>
  <c r="T89" i="3"/>
  <c r="T7" i="3"/>
  <c r="T65" i="3"/>
  <c r="T81" i="3"/>
  <c r="T4" i="3"/>
  <c r="U36" i="3"/>
  <c r="CT40" i="3"/>
  <c r="U96" i="3"/>
  <c r="U93" i="3"/>
  <c r="T76" i="3"/>
  <c r="T53" i="3"/>
  <c r="CT33" i="3" s="1"/>
  <c r="CT17" i="3"/>
  <c r="U54" i="3"/>
  <c r="T56" i="3"/>
  <c r="CT32" i="3" s="1"/>
  <c r="CT28" i="3"/>
  <c r="T57" i="3"/>
  <c r="T96" i="3"/>
  <c r="CT50" i="3" s="1"/>
  <c r="U21" i="3"/>
  <c r="U52" i="3"/>
  <c r="T88" i="3"/>
  <c r="T97" i="3"/>
  <c r="U25" i="3"/>
  <c r="CT15" i="3" s="1"/>
  <c r="CT44" i="3"/>
  <c r="T45" i="3"/>
  <c r="U20" i="3"/>
  <c r="T16" i="3"/>
  <c r="T87" i="3"/>
  <c r="CT47" i="3" s="1"/>
  <c r="T24" i="3"/>
  <c r="U87" i="3"/>
  <c r="CT51" i="3"/>
  <c r="CT22" i="3"/>
  <c r="U41" i="3"/>
  <c r="U86" i="3"/>
  <c r="T44" i="3"/>
  <c r="CT27" i="3" s="1"/>
  <c r="T85" i="3"/>
  <c r="T36" i="3"/>
  <c r="CT23" i="3" s="1"/>
  <c r="T61" i="3"/>
  <c r="CT37" i="3" s="1"/>
  <c r="U16" i="3"/>
  <c r="U17" i="3"/>
  <c r="U60" i="3"/>
  <c r="U14" i="3"/>
  <c r="U81" i="3"/>
  <c r="U95" i="3"/>
  <c r="T21" i="3"/>
  <c r="CT24" i="3"/>
  <c r="T64" i="3"/>
  <c r="U12" i="3"/>
  <c r="T73" i="3"/>
  <c r="U68" i="3"/>
  <c r="U64" i="3"/>
  <c r="U37" i="3"/>
  <c r="T41" i="3"/>
  <c r="T12" i="3"/>
  <c r="U73" i="3"/>
  <c r="CT39" i="3" s="1"/>
  <c r="U40" i="3"/>
  <c r="U38" i="3"/>
  <c r="T52" i="3"/>
  <c r="U57" i="3"/>
  <c r="T54" i="3"/>
  <c r="T69" i="3"/>
  <c r="CT41" i="3" s="1"/>
  <c r="CT7" i="3"/>
  <c r="CT25" i="3"/>
  <c r="CT53" i="3"/>
  <c r="CT21" i="3"/>
  <c r="CT48" i="3"/>
  <c r="CT6" i="3"/>
  <c r="CT42" i="3"/>
  <c r="CT20" i="3"/>
  <c r="CT30" i="3"/>
  <c r="CT16" i="3"/>
  <c r="CT13" i="3"/>
  <c r="CT10" i="3"/>
  <c r="CT52" i="3"/>
  <c r="CT29" i="3"/>
  <c r="CT9" i="3"/>
  <c r="CT8" i="3"/>
  <c r="CT35" i="3" l="1"/>
  <c r="CT18" i="3"/>
  <c r="CU19" i="3" s="1"/>
  <c r="CT45" i="3"/>
  <c r="CT36" i="3"/>
  <c r="CT46" i="3"/>
  <c r="CT14" i="3"/>
  <c r="CT26" i="3"/>
  <c r="CT11" i="3"/>
  <c r="CT49" i="3"/>
  <c r="CU53" i="3"/>
  <c r="CU43" i="3"/>
  <c r="CU24" i="3"/>
  <c r="CU21" i="3"/>
  <c r="CU38" i="3"/>
  <c r="CU30" i="3"/>
  <c r="CU10" i="3"/>
  <c r="CU20" i="3"/>
  <c r="CU31" i="3"/>
  <c r="CU18" i="3"/>
  <c r="CU32" i="3"/>
  <c r="CU33" i="3"/>
  <c r="CU42" i="3"/>
  <c r="CU34" i="3"/>
  <c r="CU17" i="3"/>
  <c r="CU16" i="3"/>
  <c r="CU40" i="3"/>
  <c r="CU28" i="3"/>
  <c r="CU22" i="3"/>
  <c r="CU29" i="3"/>
  <c r="CU8" i="3"/>
  <c r="CU25" i="3"/>
  <c r="CU37" i="3"/>
  <c r="CU23" i="3"/>
  <c r="CU9" i="3"/>
  <c r="CU7" i="3"/>
  <c r="CU6" i="3"/>
  <c r="CU52" i="3"/>
  <c r="CU13" i="3"/>
  <c r="CU39" i="3" l="1"/>
  <c r="CU47" i="3"/>
  <c r="CU41" i="3"/>
  <c r="CU51" i="3"/>
  <c r="CU36" i="3"/>
  <c r="CU26" i="3"/>
  <c r="CU12" i="3"/>
  <c r="CU35" i="3"/>
  <c r="CU44" i="3"/>
  <c r="CU11" i="3"/>
  <c r="CU45" i="3"/>
  <c r="CU48" i="3"/>
  <c r="CU15" i="3"/>
  <c r="CU14" i="3"/>
  <c r="CU50" i="3"/>
  <c r="CU46" i="3"/>
  <c r="CU27" i="3"/>
  <c r="CU49" i="3"/>
  <c r="CV31" i="3" l="1"/>
  <c r="CW31" i="3" s="1"/>
  <c r="CV46" i="3"/>
  <c r="CW46" i="3" s="1"/>
  <c r="CV19" i="3"/>
  <c r="CW19" i="3" s="1"/>
  <c r="CV8" i="3"/>
  <c r="CW8" i="3" s="1"/>
  <c r="CV34" i="3"/>
  <c r="CW34" i="3" s="1"/>
  <c r="CV50" i="3"/>
  <c r="CW50" i="3" s="1"/>
  <c r="CV39" i="3"/>
  <c r="CW39" i="3" s="1"/>
  <c r="CV43" i="3"/>
  <c r="CW43" i="3" s="1"/>
  <c r="CV28" i="3"/>
  <c r="CW28" i="3" s="1"/>
  <c r="CV14" i="3"/>
  <c r="CW14" i="3" s="1"/>
  <c r="CV7" i="3"/>
  <c r="CW7" i="3" s="1"/>
  <c r="CV49" i="3"/>
  <c r="CW49" i="3" s="1"/>
  <c r="CV40" i="3"/>
  <c r="CW40" i="3" s="1"/>
  <c r="CV16" i="3"/>
  <c r="CW16" i="3" s="1"/>
  <c r="CV21" i="3"/>
  <c r="CW21" i="3" s="1"/>
  <c r="CV26" i="3"/>
  <c r="CW26" i="3" s="1"/>
  <c r="CV30" i="3"/>
  <c r="CW30" i="3" s="1"/>
  <c r="CV32" i="3"/>
  <c r="CW32" i="3" s="1"/>
  <c r="CV29" i="3"/>
  <c r="CW29" i="3" s="1"/>
  <c r="CV13" i="3"/>
  <c r="CW13" i="3" s="1"/>
  <c r="CV25" i="3"/>
  <c r="CW25" i="3" s="1"/>
  <c r="CV38" i="3"/>
  <c r="CW38" i="3" s="1"/>
  <c r="CV11" i="3"/>
  <c r="CW11" i="3" s="1"/>
  <c r="CV12" i="3"/>
  <c r="CW12" i="3" s="1"/>
  <c r="CV35" i="3"/>
  <c r="CW35" i="3" s="1"/>
  <c r="CV15" i="3"/>
  <c r="CW15" i="3" s="1"/>
  <c r="CV23" i="3"/>
  <c r="CW23" i="3" s="1"/>
  <c r="CV52" i="3"/>
  <c r="CW52" i="3" s="1"/>
  <c r="CV53" i="3"/>
  <c r="CW53" i="3" s="1"/>
  <c r="CV37" i="3"/>
  <c r="CW37" i="3" s="1"/>
  <c r="CV9" i="3"/>
  <c r="CW9" i="3" s="1"/>
  <c r="CV48" i="3"/>
  <c r="CW48" i="3" s="1"/>
  <c r="CV45" i="3"/>
  <c r="CW45" i="3" s="1"/>
  <c r="CV36" i="3"/>
  <c r="CW36" i="3" s="1"/>
  <c r="CV17" i="3"/>
  <c r="CW17" i="3" s="1"/>
  <c r="CV27" i="3"/>
  <c r="CW27" i="3" s="1"/>
  <c r="CV22" i="3"/>
  <c r="CW22" i="3" s="1"/>
  <c r="CV6" i="3"/>
  <c r="CW6" i="3" s="1"/>
  <c r="CV20" i="3"/>
  <c r="CW20" i="3" s="1"/>
  <c r="CV33" i="3"/>
  <c r="CW33" i="3" s="1"/>
  <c r="CV47" i="3"/>
  <c r="CW47" i="3" s="1"/>
  <c r="CV51" i="3"/>
  <c r="CW51" i="3" s="1"/>
  <c r="CV42" i="3"/>
  <c r="CW42" i="3" s="1"/>
  <c r="CV10" i="3"/>
  <c r="CW10" i="3" s="1"/>
  <c r="CV41" i="3"/>
  <c r="CW41" i="3" s="1"/>
  <c r="CV44" i="3"/>
  <c r="CW44" i="3" s="1"/>
  <c r="CV24" i="3"/>
  <c r="CW24" i="3" s="1"/>
  <c r="CV18" i="3"/>
  <c r="CW18" i="3" s="1"/>
  <c r="CX30" i="3" l="1"/>
  <c r="CX13" i="3"/>
  <c r="CX10" i="3"/>
  <c r="CX40" i="3"/>
  <c r="CX25" i="3"/>
  <c r="CX31" i="3"/>
  <c r="CX11" i="3"/>
  <c r="CX21" i="3"/>
  <c r="CX23" i="3"/>
  <c r="CX50" i="3"/>
  <c r="CX47" i="3"/>
  <c r="CX16" i="3"/>
  <c r="CX45" i="3"/>
  <c r="CX41" i="3"/>
  <c r="CX39" i="3"/>
  <c r="CX38" i="3"/>
  <c r="CX48" i="3"/>
  <c r="CX24" i="3"/>
  <c r="CX29" i="3"/>
  <c r="CX49" i="3"/>
  <c r="CX8" i="3"/>
  <c r="CX19" i="3"/>
  <c r="CX46" i="3"/>
  <c r="CX32" i="3"/>
  <c r="CX9" i="3"/>
  <c r="CX12" i="3"/>
  <c r="CX17" i="3"/>
  <c r="CX18" i="3"/>
  <c r="CX35" i="3"/>
  <c r="CX7" i="3"/>
  <c r="CX36" i="3"/>
  <c r="CX6" i="3"/>
  <c r="CX26" i="3"/>
  <c r="CX22" i="3"/>
  <c r="CX53" i="3"/>
  <c r="CX34" i="3"/>
  <c r="CX51" i="3"/>
  <c r="CX15" i="3"/>
  <c r="CX33" i="3"/>
  <c r="CX52" i="3"/>
  <c r="CX43" i="3"/>
  <c r="CX27" i="3"/>
  <c r="CX28" i="3"/>
  <c r="CX14" i="3"/>
  <c r="CX20" i="3"/>
  <c r="CX37" i="3"/>
  <c r="CX44" i="3"/>
  <c r="CX42" i="3"/>
  <c r="CY29" i="3" l="1"/>
  <c r="CZ29" i="3" s="1"/>
  <c r="CY51" i="3"/>
  <c r="CZ51" i="3" s="1"/>
  <c r="CY28" i="3"/>
  <c r="CZ28" i="3" s="1"/>
  <c r="CY23" i="3"/>
  <c r="CZ23" i="3" s="1"/>
  <c r="CY16" i="3"/>
  <c r="CZ16" i="3" s="1"/>
  <c r="CY43" i="3"/>
  <c r="CZ43" i="3" s="1"/>
  <c r="CY30" i="3"/>
  <c r="CZ30" i="3" s="1"/>
  <c r="CY42" i="3"/>
  <c r="CZ42" i="3" s="1"/>
  <c r="CY6" i="3"/>
  <c r="CZ6" i="3" s="1"/>
  <c r="CY20" i="3"/>
  <c r="CZ20" i="3" s="1"/>
  <c r="CY41" i="3"/>
  <c r="CZ41" i="3" s="1"/>
  <c r="CY33" i="3"/>
  <c r="CZ33" i="3" s="1"/>
  <c r="CY24" i="3"/>
  <c r="CZ24" i="3" s="1"/>
  <c r="CY9" i="3"/>
  <c r="CZ9" i="3" s="1"/>
  <c r="CY45" i="3"/>
  <c r="CZ45" i="3" s="1"/>
  <c r="CY8" i="3"/>
  <c r="CZ8" i="3" s="1"/>
  <c r="CY31" i="3"/>
  <c r="CZ31" i="3" s="1"/>
  <c r="CY40" i="3"/>
  <c r="CZ40" i="3" s="1"/>
  <c r="CY50" i="3"/>
  <c r="CZ50" i="3" s="1"/>
  <c r="CY49" i="3"/>
  <c r="CZ49" i="3" s="1"/>
  <c r="CY14" i="3"/>
  <c r="CZ14" i="3" s="1"/>
  <c r="CY37" i="3"/>
  <c r="CZ37" i="3" s="1"/>
  <c r="CY46" i="3"/>
  <c r="CZ46" i="3" s="1"/>
  <c r="CY39" i="3"/>
  <c r="CZ39" i="3" s="1"/>
  <c r="CY21" i="3"/>
  <c r="CZ21" i="3" s="1"/>
  <c r="CY27" i="3"/>
  <c r="CZ27" i="3" s="1"/>
  <c r="CY34" i="3"/>
  <c r="CZ34" i="3" s="1"/>
  <c r="CY36" i="3"/>
  <c r="CZ36" i="3" s="1"/>
  <c r="CY26" i="3"/>
  <c r="CZ26" i="3" s="1"/>
  <c r="CY38" i="3"/>
  <c r="CZ38" i="3" s="1"/>
  <c r="CY48" i="3"/>
  <c r="CZ48" i="3" s="1"/>
  <c r="CY47" i="3"/>
  <c r="CZ47" i="3" s="1"/>
  <c r="CY25" i="3"/>
  <c r="CZ25" i="3" s="1"/>
  <c r="CY10" i="3"/>
  <c r="CZ10" i="3" s="1"/>
  <c r="CY44" i="3"/>
  <c r="CZ44" i="3" s="1"/>
  <c r="CY35" i="3"/>
  <c r="CZ35" i="3" s="1"/>
  <c r="CY11" i="3"/>
  <c r="CZ11" i="3" s="1"/>
  <c r="CY15" i="3"/>
  <c r="CZ15" i="3" s="1"/>
  <c r="CY22" i="3"/>
  <c r="CZ22" i="3" s="1"/>
  <c r="CY7" i="3"/>
  <c r="CZ7" i="3" s="1"/>
  <c r="CY12" i="3"/>
  <c r="CZ12" i="3" s="1"/>
  <c r="CY19" i="3"/>
  <c r="CZ19" i="3" s="1"/>
  <c r="CY32" i="3"/>
  <c r="CZ32" i="3" s="1"/>
  <c r="CY17" i="3"/>
  <c r="CZ17" i="3" s="1"/>
  <c r="CY18" i="3"/>
  <c r="CZ18" i="3" s="1"/>
  <c r="CY53" i="3"/>
  <c r="CZ53" i="3" s="1"/>
  <c r="CY13" i="3"/>
  <c r="CZ13" i="3" s="1"/>
  <c r="CY52" i="3"/>
  <c r="CZ52" i="3" s="1"/>
  <c r="DA53" i="3" l="1"/>
  <c r="DA51" i="3"/>
  <c r="DA10" i="3"/>
  <c r="DA36" i="3"/>
  <c r="DA43" i="3"/>
  <c r="DA24" i="3"/>
  <c r="DA29" i="3"/>
  <c r="DA34" i="3"/>
  <c r="DA45" i="3"/>
  <c r="DA28" i="3"/>
  <c r="DA37" i="3"/>
  <c r="DA42" i="3"/>
  <c r="DA40" i="3"/>
  <c r="DA19" i="3"/>
  <c r="DA27" i="3"/>
  <c r="DA11" i="3"/>
  <c r="DA21" i="3"/>
  <c r="DA26" i="3"/>
  <c r="DA22" i="3"/>
  <c r="DA25" i="3"/>
  <c r="DA18" i="3"/>
  <c r="DA8" i="3"/>
  <c r="DA9" i="3"/>
  <c r="DA7" i="3"/>
  <c r="DA20" i="3"/>
  <c r="DA30" i="3"/>
  <c r="DA15" i="3"/>
  <c r="DA31" i="3"/>
  <c r="DA23" i="3"/>
  <c r="DA38" i="3"/>
  <c r="DA44" i="3"/>
  <c r="DA6" i="3"/>
  <c r="DA16" i="3"/>
  <c r="DA39" i="3"/>
  <c r="DA52" i="3"/>
  <c r="DA50" i="3"/>
  <c r="DA33" i="3"/>
  <c r="DA48" i="3"/>
  <c r="DA14" i="3"/>
  <c r="DA12" i="3"/>
  <c r="DA46" i="3"/>
  <c r="DA17" i="3"/>
  <c r="DA32" i="3"/>
  <c r="DA13" i="3"/>
  <c r="DA49" i="3"/>
  <c r="DA35" i="3"/>
  <c r="DA47" i="3"/>
  <c r="DA41" i="3"/>
  <c r="DB43" i="3" l="1"/>
  <c r="DC43" i="3" s="1"/>
  <c r="DB10" i="3"/>
  <c r="DC10" i="3" s="1"/>
  <c r="DB22" i="3"/>
  <c r="DC22" i="3" s="1"/>
  <c r="DB49" i="3"/>
  <c r="DC49" i="3" s="1"/>
  <c r="DB13" i="3"/>
  <c r="DC13" i="3" s="1"/>
  <c r="DB7" i="3"/>
  <c r="DC7" i="3" s="1"/>
  <c r="DB21" i="3"/>
  <c r="DC21" i="3" s="1"/>
  <c r="DB52" i="3"/>
  <c r="DC52" i="3" s="1"/>
  <c r="DB33" i="3"/>
  <c r="DC33" i="3" s="1"/>
  <c r="DB11" i="3"/>
  <c r="DC11" i="3" s="1"/>
  <c r="DB12" i="3"/>
  <c r="DC12" i="3" s="1"/>
  <c r="DB28" i="3"/>
  <c r="DC28" i="3" s="1"/>
  <c r="DB41" i="3"/>
  <c r="DC41" i="3" s="1"/>
  <c r="DB51" i="3"/>
  <c r="DC51" i="3" s="1"/>
  <c r="DB44" i="3"/>
  <c r="DC44" i="3" s="1"/>
  <c r="DB47" i="3"/>
  <c r="DC47" i="3" s="1"/>
  <c r="DB50" i="3"/>
  <c r="DC50" i="3" s="1"/>
  <c r="DB53" i="3"/>
  <c r="DC53" i="3" s="1"/>
  <c r="DB39" i="3"/>
  <c r="DC39" i="3" s="1"/>
  <c r="DB34" i="3"/>
  <c r="DC34" i="3" s="1"/>
  <c r="DB35" i="3"/>
  <c r="DC35" i="3" s="1"/>
  <c r="DB27" i="3"/>
  <c r="DC27" i="3" s="1"/>
  <c r="DB36" i="3"/>
  <c r="DC36" i="3" s="1"/>
  <c r="DB20" i="3"/>
  <c r="DC20" i="3" s="1"/>
  <c r="DB17" i="3"/>
  <c r="DC17" i="3" s="1"/>
  <c r="DB26" i="3"/>
  <c r="DC26" i="3" s="1"/>
  <c r="DB48" i="3"/>
  <c r="DC48" i="3" s="1"/>
  <c r="DB40" i="3"/>
  <c r="DC40" i="3" s="1"/>
  <c r="DB29" i="3"/>
  <c r="DC29" i="3" s="1"/>
  <c r="DB37" i="3"/>
  <c r="DC37" i="3" s="1"/>
  <c r="DB6" i="3"/>
  <c r="DC6" i="3" s="1"/>
  <c r="DB14" i="3"/>
  <c r="DC14" i="3" s="1"/>
  <c r="DB16" i="3"/>
  <c r="DC16" i="3" s="1"/>
  <c r="DB46" i="3"/>
  <c r="DC46" i="3" s="1"/>
  <c r="DB32" i="3"/>
  <c r="DC32" i="3" s="1"/>
  <c r="DB45" i="3"/>
  <c r="DC45" i="3" s="1"/>
  <c r="DB38" i="3"/>
  <c r="DC38" i="3" s="1"/>
  <c r="DB18" i="3"/>
  <c r="DC18" i="3" s="1"/>
  <c r="DB15" i="3"/>
  <c r="DC15" i="3" s="1"/>
  <c r="DB25" i="3"/>
  <c r="DC25" i="3" s="1"/>
  <c r="DB9" i="3"/>
  <c r="DC9" i="3" s="1"/>
  <c r="DB19" i="3"/>
  <c r="DC19" i="3" s="1"/>
  <c r="DB42" i="3"/>
  <c r="DC42" i="3" s="1"/>
  <c r="DB23" i="3"/>
  <c r="DC23" i="3" s="1"/>
  <c r="DB24" i="3"/>
  <c r="DC24" i="3" s="1"/>
  <c r="DB31" i="3"/>
  <c r="DC31" i="3" s="1"/>
  <c r="DB8" i="3"/>
  <c r="DC8" i="3" s="1"/>
  <c r="DB30" i="3"/>
  <c r="DC30" i="3" s="1"/>
  <c r="DD44" i="3" l="1"/>
  <c r="BM44" i="3" s="1"/>
  <c r="DD22" i="3"/>
  <c r="BM22" i="3" s="1"/>
  <c r="DD14" i="3"/>
  <c r="BM14" i="3" s="1"/>
  <c r="DD45" i="3"/>
  <c r="BM45" i="3" s="1"/>
  <c r="DD18" i="3"/>
  <c r="BM18" i="3" s="1"/>
  <c r="DD52" i="3"/>
  <c r="BM52" i="3" s="1"/>
  <c r="DD11" i="3"/>
  <c r="BM11" i="3" s="1"/>
  <c r="DD33" i="3"/>
  <c r="BM33" i="3" s="1"/>
  <c r="DD7" i="3"/>
  <c r="BM7" i="3" s="1"/>
  <c r="DD12" i="3"/>
  <c r="BM12" i="3" s="1"/>
  <c r="DD46" i="3"/>
  <c r="BM46" i="3" s="1"/>
  <c r="DD31" i="3"/>
  <c r="BM31" i="3" s="1"/>
  <c r="DD26" i="3"/>
  <c r="BM26" i="3" s="1"/>
  <c r="DD16" i="3"/>
  <c r="BM16" i="3" s="1"/>
  <c r="DD25" i="3"/>
  <c r="BM25" i="3" s="1"/>
  <c r="DD20" i="3"/>
  <c r="BM20" i="3" s="1"/>
  <c r="DD43" i="3"/>
  <c r="BM43" i="3" s="1"/>
  <c r="DD21" i="3"/>
  <c r="BM21" i="3" s="1"/>
  <c r="DD13" i="3"/>
  <c r="BM13" i="3" s="1"/>
  <c r="DD48" i="3"/>
  <c r="BM48" i="3" s="1"/>
  <c r="DD28" i="3"/>
  <c r="BM28" i="3" s="1"/>
  <c r="DD50" i="3"/>
  <c r="BM50" i="3" s="1"/>
  <c r="DD23" i="3"/>
  <c r="BM23" i="3" s="1"/>
  <c r="DD39" i="3"/>
  <c r="BM39" i="3" s="1"/>
  <c r="DD10" i="3"/>
  <c r="BM10" i="3" s="1"/>
  <c r="DD36" i="3"/>
  <c r="BM36" i="3" s="1"/>
  <c r="DD38" i="3"/>
  <c r="BM38" i="3" s="1"/>
  <c r="DD41" i="3"/>
  <c r="BM41" i="3" s="1"/>
  <c r="DD24" i="3"/>
  <c r="BM24" i="3" s="1"/>
  <c r="DD9" i="3"/>
  <c r="BM9" i="3" s="1"/>
  <c r="DD49" i="3"/>
  <c r="BM49" i="3" s="1"/>
  <c r="DD8" i="3"/>
  <c r="BM8" i="3" s="1"/>
  <c r="DD19" i="3"/>
  <c r="BM19" i="3" s="1"/>
  <c r="DD30" i="3"/>
  <c r="BM30" i="3" s="1"/>
  <c r="DD15" i="3"/>
  <c r="BM15" i="3" s="1"/>
  <c r="DD53" i="3"/>
  <c r="BM53" i="3" s="1"/>
  <c r="DD32" i="3"/>
  <c r="BM32" i="3" s="1"/>
  <c r="DD37" i="3"/>
  <c r="BM37" i="3" s="1"/>
  <c r="DD27" i="3"/>
  <c r="BM27" i="3" s="1"/>
  <c r="DD6" i="3"/>
  <c r="BM6" i="3" s="1"/>
  <c r="DD42" i="3"/>
  <c r="BM42" i="3" s="1"/>
  <c r="DD35" i="3"/>
  <c r="BM35" i="3" s="1"/>
  <c r="DD29" i="3"/>
  <c r="BM29" i="3" s="1"/>
  <c r="DD34" i="3"/>
  <c r="BM34" i="3" s="1"/>
  <c r="DD17" i="3"/>
  <c r="BM17" i="3" s="1"/>
  <c r="DD40" i="3"/>
  <c r="BM40" i="3" s="1"/>
  <c r="DD51" i="3"/>
  <c r="BM51" i="3" s="1"/>
  <c r="DD47" i="3"/>
  <c r="BM47" i="3" s="1"/>
  <c r="DQ14" i="3" l="1"/>
  <c r="DJ14" i="3" s="1"/>
  <c r="AV17" i="3"/>
  <c r="DQ6" i="3"/>
  <c r="DJ6" i="3" s="1"/>
  <c r="AV23" i="3"/>
  <c r="AV73" i="3"/>
  <c r="AV30" i="3"/>
  <c r="DQ39" i="3"/>
  <c r="DJ39" i="3" s="1"/>
  <c r="DQ8" i="3"/>
  <c r="DJ8" i="3" s="1"/>
  <c r="AV97" i="3"/>
  <c r="DQ36" i="3"/>
  <c r="DJ36" i="3" s="1"/>
  <c r="DQ21" i="3"/>
  <c r="DJ21" i="3" s="1"/>
  <c r="DQ11" i="3"/>
  <c r="DJ11" i="3" s="1"/>
  <c r="AV24" i="3"/>
  <c r="DQ10" i="3"/>
  <c r="DJ10" i="3" s="1"/>
  <c r="DQ24" i="3"/>
  <c r="DJ24" i="3" s="1"/>
  <c r="AV33" i="3"/>
  <c r="DQ44" i="3"/>
  <c r="DJ44" i="3" s="1"/>
  <c r="DQ25" i="3"/>
  <c r="DJ25" i="3" s="1"/>
  <c r="AV87" i="3"/>
  <c r="AV15" i="3"/>
  <c r="AV22" i="3"/>
  <c r="DQ7" i="3"/>
  <c r="DJ7" i="3" s="1"/>
  <c r="AV95" i="3"/>
  <c r="DQ46" i="3"/>
  <c r="DJ46" i="3" s="1"/>
  <c r="AV9" i="3"/>
  <c r="AV8" i="3"/>
  <c r="DQ38" i="3"/>
  <c r="DJ38" i="3" s="1"/>
  <c r="DQ15" i="3"/>
  <c r="DJ15" i="3" s="1"/>
  <c r="DQ35" i="3"/>
  <c r="DJ35" i="3" s="1"/>
  <c r="DQ19" i="3"/>
  <c r="DJ19" i="3" s="1"/>
  <c r="AV14" i="3"/>
  <c r="DQ51" i="3"/>
  <c r="DJ51" i="3" s="1"/>
  <c r="AV39" i="3"/>
  <c r="AV32" i="3"/>
  <c r="DQ27" i="3"/>
  <c r="DJ27" i="3" s="1"/>
  <c r="DQ13" i="3"/>
  <c r="DJ13" i="3" s="1"/>
  <c r="AV63" i="3"/>
  <c r="DQ34" i="3"/>
  <c r="DJ34" i="3" s="1"/>
  <c r="AV55" i="3"/>
  <c r="AV41" i="3"/>
  <c r="DQ49" i="3"/>
  <c r="DJ49" i="3" s="1"/>
  <c r="DQ50" i="3"/>
  <c r="DJ50" i="3" s="1"/>
  <c r="AV40" i="3"/>
  <c r="DQ18" i="3"/>
  <c r="DJ18" i="3" s="1"/>
  <c r="AV96" i="3"/>
  <c r="DQ17" i="3"/>
  <c r="DJ17" i="3" s="1"/>
  <c r="DQ28" i="3"/>
  <c r="DJ28" i="3" s="1"/>
  <c r="AV38" i="3"/>
  <c r="AV7" i="3"/>
  <c r="AV6" i="3"/>
  <c r="AV16" i="3"/>
  <c r="AV64" i="3"/>
  <c r="DQ26" i="3"/>
  <c r="DJ26" i="3" s="1"/>
  <c r="AV47" i="3"/>
  <c r="DQ16" i="3"/>
  <c r="DJ16" i="3" s="1"/>
  <c r="DQ9" i="3"/>
  <c r="DJ9" i="3" s="1"/>
  <c r="AV94" i="3"/>
  <c r="DQ52" i="3"/>
  <c r="DJ52" i="3" s="1"/>
  <c r="DQ31" i="3"/>
  <c r="DJ31" i="3" s="1"/>
  <c r="AV71" i="3"/>
  <c r="DQ40" i="3"/>
  <c r="DJ40" i="3" s="1"/>
  <c r="AV56" i="3"/>
  <c r="DQ42" i="3"/>
  <c r="DJ42" i="3" s="1"/>
  <c r="DQ29" i="3"/>
  <c r="DJ29" i="3" s="1"/>
  <c r="DQ37" i="3"/>
  <c r="DJ37" i="3" s="1"/>
  <c r="AV86" i="3"/>
  <c r="DQ30" i="3"/>
  <c r="DJ30" i="3" s="1"/>
  <c r="AV88" i="3"/>
  <c r="DQ48" i="3"/>
  <c r="DJ48" i="3" s="1"/>
  <c r="DQ41" i="3"/>
  <c r="DJ41" i="3" s="1"/>
  <c r="AV70" i="3"/>
  <c r="AV54" i="3"/>
  <c r="AV89" i="3"/>
  <c r="AV80" i="3"/>
  <c r="AV49" i="3"/>
  <c r="AV72" i="3"/>
  <c r="AV79" i="3"/>
  <c r="DQ47" i="3"/>
  <c r="DJ47" i="3" s="1"/>
  <c r="AV62" i="3"/>
  <c r="DQ33" i="3"/>
  <c r="DJ33" i="3" s="1"/>
  <c r="AV46" i="3"/>
  <c r="AV25" i="3"/>
  <c r="AV81" i="3"/>
  <c r="AV48" i="3"/>
  <c r="AV31" i="3"/>
  <c r="DQ43" i="3"/>
  <c r="DJ43" i="3" s="1"/>
  <c r="DQ23" i="3"/>
  <c r="DJ23" i="3" s="1"/>
  <c r="DQ20" i="3"/>
  <c r="DJ20" i="3" s="1"/>
  <c r="DQ22" i="3"/>
  <c r="DJ22" i="3" s="1"/>
  <c r="AV65" i="3"/>
  <c r="DQ45" i="3"/>
  <c r="DJ45" i="3" s="1"/>
  <c r="DQ32" i="3"/>
  <c r="DJ32" i="3" s="1"/>
  <c r="DQ53" i="3"/>
  <c r="DJ53" i="3" s="1"/>
  <c r="AV57" i="3"/>
  <c r="DQ12" i="3"/>
  <c r="DJ12" i="3" s="1"/>
  <c r="AV78" i="3"/>
  <c r="DF7" i="3" l="1"/>
  <c r="DF8" i="3"/>
  <c r="DL36" i="3"/>
  <c r="AU64" i="3" s="1"/>
  <c r="DL23" i="3"/>
  <c r="AU39" i="3" s="1"/>
  <c r="DL43" i="3"/>
  <c r="AU79" i="3" s="1"/>
  <c r="DL7" i="3"/>
  <c r="DN7" i="3" s="1" a="1"/>
  <c r="DN7" i="3" s="1"/>
  <c r="DL17" i="3"/>
  <c r="AU25" i="3" s="1"/>
  <c r="DL38" i="3"/>
  <c r="AU70" i="3" s="1"/>
  <c r="DL41" i="3"/>
  <c r="DM41" i="3" s="1"/>
  <c r="DL48" i="3"/>
  <c r="AU88" i="3" s="1"/>
  <c r="DL39" i="3"/>
  <c r="AU71" i="3" s="1"/>
  <c r="DL12" i="3"/>
  <c r="AU16" i="3" s="1"/>
  <c r="DL28" i="3"/>
  <c r="AU48" i="3" s="1"/>
  <c r="DL37" i="3"/>
  <c r="AU65" i="3" s="1"/>
  <c r="DL44" i="3"/>
  <c r="AU80" i="3" s="1"/>
  <c r="DL34" i="3"/>
  <c r="AU62" i="3" s="1"/>
  <c r="DL26" i="3"/>
  <c r="DM26" i="3" s="1"/>
  <c r="DL42" i="3"/>
  <c r="AU78" i="3" s="1"/>
  <c r="DL19" i="3"/>
  <c r="AU31" i="3" s="1"/>
  <c r="DL40" i="3"/>
  <c r="AU72" i="3" s="1"/>
  <c r="DL33" i="3"/>
  <c r="AU57" i="3" s="1"/>
  <c r="DL24" i="3"/>
  <c r="AU40" i="3" s="1"/>
  <c r="DL50" i="3"/>
  <c r="DN50" i="3" s="1" a="1"/>
  <c r="DN50" i="3" s="1"/>
  <c r="DL29" i="3"/>
  <c r="DN29" i="3" s="1" a="1"/>
  <c r="DN29" i="3" s="1"/>
  <c r="DL35" i="3"/>
  <c r="AU63" i="3" s="1"/>
  <c r="DL53" i="3"/>
  <c r="AU97" i="3" s="1"/>
  <c r="DL51" i="3"/>
  <c r="AU95" i="3" s="1"/>
  <c r="DL22" i="3"/>
  <c r="AU38" i="3" s="1"/>
  <c r="DL14" i="3"/>
  <c r="DM14" i="3" s="1"/>
  <c r="DL49" i="3"/>
  <c r="AU89" i="3" s="1"/>
  <c r="DL20" i="3"/>
  <c r="DN20" i="3" s="1" a="1"/>
  <c r="DN20" i="3" s="1"/>
  <c r="DL21" i="3"/>
  <c r="AU33" i="3" s="1"/>
  <c r="DL16" i="3"/>
  <c r="AU24" i="3" s="1"/>
  <c r="DL10" i="3"/>
  <c r="AU14" i="3" s="1"/>
  <c r="DL8" i="3"/>
  <c r="AU8" i="3" s="1"/>
  <c r="DL13" i="3"/>
  <c r="AU17" i="3" s="1"/>
  <c r="DL52" i="3"/>
  <c r="AU96" i="3" s="1"/>
  <c r="DL27" i="3"/>
  <c r="AU47" i="3" s="1"/>
  <c r="DL11" i="3"/>
  <c r="DM11" i="3" s="1"/>
  <c r="DL30" i="3"/>
  <c r="AU54" i="3" s="1"/>
  <c r="DL15" i="3"/>
  <c r="AU23" i="3" s="1"/>
  <c r="DL47" i="3"/>
  <c r="AU87" i="3" s="1"/>
  <c r="DL9" i="3"/>
  <c r="AU9" i="3" s="1"/>
  <c r="DL31" i="3"/>
  <c r="AU55" i="3" s="1"/>
  <c r="DL45" i="3"/>
  <c r="DN45" i="3" s="1" a="1"/>
  <c r="DN45" i="3" s="1"/>
  <c r="DL18" i="3"/>
  <c r="AU30" i="3" s="1"/>
  <c r="DL25" i="3"/>
  <c r="AU41" i="3" s="1"/>
  <c r="DL6" i="3"/>
  <c r="AU6" i="3" s="1"/>
  <c r="DL46" i="3"/>
  <c r="AU86" i="3" s="1"/>
  <c r="DL32" i="3"/>
  <c r="AU56" i="3" s="1"/>
  <c r="DM33" i="3"/>
  <c r="DN43" i="3" a="1"/>
  <c r="DN43" i="3" s="1"/>
  <c r="DM24" i="3"/>
  <c r="DN39" i="3" a="1"/>
  <c r="DN39" i="3" s="1"/>
  <c r="DM23" i="3"/>
  <c r="DM48" i="3"/>
  <c r="DM50" i="3"/>
  <c r="DN48" i="3" a="1"/>
  <c r="DN48" i="3" s="1"/>
  <c r="DN23" i="3" a="1"/>
  <c r="DN23" i="3" s="1"/>
  <c r="DM34" i="3" l="1"/>
  <c r="DN26" i="3" a="1"/>
  <c r="DN26" i="3" s="1"/>
  <c r="DM39" i="3"/>
  <c r="DM43" i="3"/>
  <c r="AU94" i="3"/>
  <c r="AU7" i="3"/>
  <c r="DM36" i="3"/>
  <c r="AU73" i="3"/>
  <c r="AU69" i="3" s="1"/>
  <c r="AV68" i="3" s="1"/>
  <c r="DN36" i="3" a="1"/>
  <c r="DN36" i="3" s="1"/>
  <c r="DN12" i="3" a="1"/>
  <c r="DN12" i="3" s="1"/>
  <c r="DM19" i="3"/>
  <c r="AU46" i="3"/>
  <c r="DN42" i="3" a="1"/>
  <c r="DN42" i="3" s="1"/>
  <c r="DM12" i="3"/>
  <c r="DN35" i="3" a="1"/>
  <c r="DN35" i="3" s="1"/>
  <c r="DM17" i="3"/>
  <c r="DM7" i="3"/>
  <c r="DM28" i="3"/>
  <c r="DN19" i="3" a="1"/>
  <c r="DN19" i="3" s="1"/>
  <c r="DN17" i="3" a="1"/>
  <c r="DN17" i="3" s="1"/>
  <c r="DN28" i="3" a="1"/>
  <c r="DN28" i="3" s="1"/>
  <c r="DM42" i="3"/>
  <c r="DN44" i="3" a="1"/>
  <c r="DN44" i="3" s="1"/>
  <c r="AU49" i="3"/>
  <c r="AU22" i="3"/>
  <c r="AU21" i="3" s="1"/>
  <c r="AV20" i="3" s="1"/>
  <c r="AU37" i="3"/>
  <c r="AV36" i="3" s="1"/>
  <c r="DN37" i="3" a="1"/>
  <c r="DN37" i="3" s="1"/>
  <c r="DN38" i="3" a="1"/>
  <c r="DN38" i="3" s="1"/>
  <c r="DM53" i="3"/>
  <c r="DN53" i="3" a="1"/>
  <c r="DN53" i="3" s="1"/>
  <c r="DM38" i="3"/>
  <c r="DM37" i="3"/>
  <c r="DM40" i="3"/>
  <c r="DN40" i="3" a="1"/>
  <c r="DN40" i="3" s="1"/>
  <c r="AU15" i="3"/>
  <c r="AU13" i="3" s="1"/>
  <c r="AV12" i="3" s="1"/>
  <c r="DF12" i="3" s="1"/>
  <c r="DN51" i="3" a="1"/>
  <c r="DN51" i="3" s="1"/>
  <c r="DM44" i="3"/>
  <c r="DN41" i="3" a="1"/>
  <c r="DN41" i="3" s="1"/>
  <c r="DM51" i="3"/>
  <c r="DN16" i="3" a="1"/>
  <c r="DN16" i="3" s="1"/>
  <c r="DN33" i="3" a="1"/>
  <c r="DN33" i="3" s="1"/>
  <c r="DM21" i="3"/>
  <c r="DN49" i="3" a="1"/>
  <c r="DN49" i="3" s="1"/>
  <c r="DM29" i="3"/>
  <c r="DN24" i="3" a="1"/>
  <c r="DN24" i="3" s="1"/>
  <c r="DN34" i="3" a="1"/>
  <c r="DN34" i="3" s="1"/>
  <c r="DM30" i="3"/>
  <c r="DM18" i="3"/>
  <c r="DN14" i="3" a="1"/>
  <c r="DN14" i="3" s="1"/>
  <c r="DN8" i="3" a="1"/>
  <c r="DN8" i="3" s="1"/>
  <c r="AU93" i="3"/>
  <c r="AV92" i="3" s="1"/>
  <c r="DM22" i="3"/>
  <c r="DM10" i="3"/>
  <c r="DN18" i="3" a="1"/>
  <c r="DN18" i="3" s="1"/>
  <c r="DN10" i="3" a="1"/>
  <c r="DN10" i="3" s="1"/>
  <c r="DN22" i="3" a="1"/>
  <c r="DN22" i="3" s="1"/>
  <c r="DM20" i="3"/>
  <c r="DM15" i="3"/>
  <c r="DN25" i="3" a="1"/>
  <c r="DN25" i="3" s="1"/>
  <c r="DN30" i="3" a="1"/>
  <c r="DN30" i="3" s="1"/>
  <c r="DN11" i="3" a="1"/>
  <c r="DN11" i="3" s="1"/>
  <c r="AU32" i="3"/>
  <c r="AU29" i="3" s="1"/>
  <c r="AV28" i="3" s="1"/>
  <c r="DM16" i="3"/>
  <c r="DN15" i="3" a="1"/>
  <c r="DN15" i="3" s="1"/>
  <c r="DM8" i="3"/>
  <c r="DM49" i="3"/>
  <c r="DM13" i="3"/>
  <c r="AU53" i="3"/>
  <c r="AV52" i="3" s="1"/>
  <c r="DM27" i="3"/>
  <c r="AU85" i="3"/>
  <c r="AV84" i="3" s="1"/>
  <c r="AU61" i="3"/>
  <c r="AV60" i="3" s="1"/>
  <c r="DN21" i="3" a="1"/>
  <c r="DN21" i="3" s="1"/>
  <c r="DN32" i="3" a="1"/>
  <c r="DN32" i="3" s="1"/>
  <c r="DM35" i="3"/>
  <c r="DN9" i="3" a="1"/>
  <c r="DN9" i="3" s="1"/>
  <c r="DN13" i="3" a="1"/>
  <c r="DN13" i="3" s="1"/>
  <c r="DN27" i="3" a="1"/>
  <c r="DN27" i="3" s="1"/>
  <c r="DM31" i="3"/>
  <c r="DN31" i="3" a="1"/>
  <c r="DN31" i="3" s="1"/>
  <c r="DM47" i="3"/>
  <c r="DM6" i="3"/>
  <c r="DM9" i="3"/>
  <c r="DN46" i="3" a="1"/>
  <c r="DN46" i="3" s="1"/>
  <c r="DM52" i="3"/>
  <c r="DM25" i="3"/>
  <c r="AU5" i="3"/>
  <c r="AV4" i="3" s="1"/>
  <c r="DN47" i="3" a="1"/>
  <c r="DN47" i="3" s="1"/>
  <c r="DN6" i="3" a="1"/>
  <c r="DN6" i="3" s="1"/>
  <c r="DM46" i="3"/>
  <c r="DN52" i="3" a="1"/>
  <c r="DN52" i="3" s="1"/>
  <c r="DM45" i="3"/>
  <c r="AU81" i="3"/>
  <c r="AU77" i="3" s="1"/>
  <c r="AV76" i="3" s="1"/>
  <c r="DM32" i="3"/>
  <c r="DF9" i="3"/>
  <c r="AU45" i="3" l="1"/>
  <c r="AV44" i="3" s="1"/>
  <c r="DF47" i="3" s="1"/>
  <c r="DF16" i="3"/>
  <c r="DF23" i="3"/>
  <c r="DF10" i="3"/>
  <c r="DF14" i="3"/>
  <c r="DF22" i="3"/>
  <c r="DF25" i="3"/>
  <c r="DF24" i="3"/>
  <c r="DF21" i="3"/>
  <c r="DF19" i="3"/>
  <c r="DF18" i="3"/>
  <c r="DF20" i="3"/>
  <c r="DF15" i="3"/>
  <c r="DF11" i="3"/>
  <c r="DF6" i="3"/>
  <c r="DF17" i="3"/>
  <c r="DF13" i="3"/>
  <c r="DF50" i="3"/>
  <c r="DF31" i="3"/>
  <c r="DF34" i="3"/>
  <c r="DF29" i="3"/>
  <c r="DF49" i="3"/>
  <c r="DF52" i="3"/>
  <c r="DF35" i="3"/>
  <c r="DF38" i="3"/>
  <c r="DF27" i="3"/>
  <c r="DF48" i="3" l="1"/>
  <c r="DF33" i="3"/>
  <c r="DF39" i="3"/>
  <c r="DF37" i="3"/>
  <c r="DF40" i="3"/>
  <c r="DF44" i="3"/>
  <c r="DF41" i="3"/>
  <c r="DF30" i="3"/>
  <c r="DF42" i="3"/>
  <c r="DF51" i="3"/>
  <c r="DF28" i="3"/>
  <c r="DF46" i="3"/>
  <c r="DF26" i="3"/>
  <c r="DF45" i="3"/>
  <c r="DF36" i="3"/>
  <c r="DF32" i="3"/>
  <c r="DF43" i="3"/>
  <c r="DF53"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D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1" i="3" l="1"/>
  <c r="M131" i="3" s="1"/>
  <c r="AA131" i="3" s="1"/>
  <c r="D131" i="3" s="1"/>
  <c r="D124" i="3"/>
  <c r="M132" i="3" s="1"/>
  <c r="AA132" i="3" s="1"/>
  <c r="D132"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N134" i="3"/>
  <c r="AF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1" i="3" l="1"/>
  <c r="D134" i="3"/>
  <c r="AG134" i="3" s="1"/>
  <c r="AG124" i="3"/>
  <c r="D120" i="3"/>
  <c r="BS63" i="3"/>
  <c r="BS68" i="3"/>
  <c r="BS66" i="3"/>
  <c r="BS65" i="3"/>
  <c r="BS58" i="3"/>
  <c r="BS69" i="3"/>
  <c r="BS60" i="3"/>
  <c r="BS64" i="3"/>
  <c r="BS67" i="3"/>
  <c r="BS62" i="3"/>
  <c r="BS61" i="3"/>
  <c r="BS59" i="3"/>
  <c r="C190" i="31"/>
  <c r="AE11" i="45"/>
  <c r="B200" i="31"/>
  <c r="AG126" i="3"/>
  <c r="AG133" i="3"/>
  <c r="M139" i="3"/>
  <c r="AA139" i="3" s="1"/>
  <c r="N138" i="3"/>
  <c r="AF138" i="3" s="1"/>
  <c r="AG132" i="3"/>
  <c r="M138" i="3"/>
  <c r="AA138" i="3" s="1"/>
  <c r="AG131" i="3"/>
  <c r="AI44" i="45"/>
  <c r="C217" i="31"/>
  <c r="C211" i="31"/>
  <c r="AI19" i="45"/>
  <c r="C212" i="31"/>
  <c r="AI31" i="45"/>
  <c r="AI43" i="45"/>
  <c r="C213" i="31"/>
  <c r="B223" i="31"/>
  <c r="C223" i="31"/>
  <c r="AI7" i="45"/>
  <c r="C210" i="31"/>
  <c r="N139" i="3" l="1"/>
  <c r="AF139" i="3" s="1"/>
  <c r="AF147" i="3" s="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C227" i="31"/>
  <c r="AM37" i="45"/>
  <c r="C228" i="31"/>
  <c r="AM14" i="45"/>
  <c r="AM13" i="45"/>
  <c r="B232" i="31"/>
  <c r="C226" i="31"/>
  <c r="C232" i="31"/>
  <c r="C229" i="31" l="1"/>
  <c r="AM38" i="45" a="1"/>
  <c r="AM38" i="45" s="1"/>
  <c r="D139" i="3"/>
  <c r="N147" i="3" s="1"/>
  <c r="B233" i="31"/>
  <c r="C233" i="31"/>
  <c r="C220" i="3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U26" i="45"/>
  <c r="C241" i="31"/>
  <c r="C240" i="31"/>
  <c r="C247" i="31"/>
  <c r="B247" i="31"/>
  <c r="AU25" i="45"/>
  <c r="AG138" i="3"/>
  <c r="M147" i="3"/>
  <c r="M143" i="3"/>
  <c r="AQ31" i="45"/>
  <c r="C236" i="31"/>
  <c r="B244" i="31"/>
  <c r="C244" i="31"/>
  <c r="N143" i="3" l="1"/>
  <c r="AG139"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<sst xmlns="http://schemas.openxmlformats.org/spreadsheetml/2006/main" count="6777" uniqueCount="1532">
  <si>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</si>
  <si>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</si>
  <si>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</si>
  <si>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</si>
  <si>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</si>
  <si>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</si>
  <si>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</si>
  <si>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</si>
  <si>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</si>
  <si>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</si>
  <si>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</si>
  <si>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</si>
  <si>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</si>
  <si>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</si>
  <si>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</si>
  <si>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</si>
  <si>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</si>
  <si>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</si>
  <si>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</si>
  <si>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</si>
  <si>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</si>
  <si>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</si>
  <si>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</si>
  <si>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</si>
  <si>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</si>
  <si>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</si>
  <si>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</si>
  <si>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</si>
  <si>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</si>
  <si>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</si>
  <si>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</si>
  <si>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</si>
  <si>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</si>
  <si>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</si>
  <si>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</si>
  <si>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</si>
  <si>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</si>
  <si>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</si>
  <si>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</si>
  <si>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</si>
  <si>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</si>
  <si>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</si>
  <si>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</si>
  <si>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</si>
  <si>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</si>
  <si>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</si>
  <si>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</si>
  <si>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</si>
  <si>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</si>
  <si>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</si>
  <si>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</si>
  <si>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</si>
  <si>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</si>
  <si>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</si>
  <si>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</si>
  <si>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</si>
  <si>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</si>
  <si>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</si>
  <si>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</si>
  <si>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</si>
  <si>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</si>
  <si>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</si>
  <si>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</si>
  <si>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</si>
  <si>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</si>
  <si>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</si>
  <si>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</si>
  <si>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</si>
  <si>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</si>
  <si>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</si>
  <si>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</si>
  <si>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</si>
  <si>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</si>
  <si>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</si>
  <si>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</si>
  <si>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</si>
  <si>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</si>
  <si>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</si>
  <si>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</si>
  <si>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</si>
  <si>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</si>
  <si>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</si>
  <si>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</si>
  <si>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</si>
  <si>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</si>
  <si>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</si>
  <si>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</si>
  <si>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</si>
  <si>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</si>
  <si>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</si>
  <si>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</si>
  <si>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</si>
  <si>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</si>
  <si>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</si>
  <si>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</si>
  <si>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</si>
  <si>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</si>
  <si>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</si>
  <si>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</si>
  <si>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</si>
  <si>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</si>
  <si>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</si>
  <si>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</si>
  <si>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</si>
  <si>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</si>
  <si>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</si>
  <si>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</si>
  <si>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</si>
  <si>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</si>
  <si>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</si>
  <si>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</si>
  <si>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</si>
  <si>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</si>
  <si>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</si>
  <si>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</si>
  <si>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</si>
  <si>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</si>
  <si>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</si>
  <si>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</si>
  <si>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</si>
  <si>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</si>
  <si>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</si>
  <si>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</si>
  <si>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</si>
  <si>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</si>
  <si>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</si>
  <si>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</si>
  <si>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</si>
  <si>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</si>
  <si>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</si>
  <si>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</si>
  <si>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</si>
  <si>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</si>
  <si>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</si>
  <si>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</si>
  <si>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</si>
  <si>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</si>
  <si>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</si>
  <si>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</si>
  <si>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</si>
  <si>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</si>
  <si>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</si>
  <si>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</si>
  <si>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</si>
  <si>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</si>
  <si>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</si>
  <si>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</si>
  <si>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</si>
  <si>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</si>
  <si>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</si>
  <si>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</si>
  <si>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</si>
  <si>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</si>
  <si>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</si>
  <si>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</si>
  <si>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</si>
  <si>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</si>
  <si>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</si>
  <si>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</si>
  <si>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</si>
  <si>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</si>
  <si>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</si>
  <si>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</si>
  <si>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</si>
  <si>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</si>
  <si>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</si>
  <si>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</si>
  <si>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</si>
  <si>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</si>
  <si>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</si>
  <si>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</si>
  <si>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</si>
  <si>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</si>
  <si>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</si>
  <si>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</si>
  <si>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</si>
  <si>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</si>
  <si>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</si>
  <si>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</si>
  <si>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</si>
  <si>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</si>
  <si>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</si>
  <si>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</si>
  <si>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</si>
  <si>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</si>
  <si>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</si>
  <si>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</si>
  <si>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</si>
  <si>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</si>
  <si>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</si>
  <si>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</si>
  <si>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</si>
  <si>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</si>
  <si>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</si>
  <si>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</si>
  <si>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</si>
  <si>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</si>
  <si>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</si>
  <si>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</si>
  <si>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</si>
  <si>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</si>
  <si>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</si>
  <si>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</si>
  <si>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</si>
  <si>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</si>
  <si>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</si>
  <si>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</si>
  <si>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</si>
  <si>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</si>
  <si>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</si>
  <si>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</si>
  <si>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</si>
  <si>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</si>
  <si>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</si>
  <si>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</si>
  <si>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</si>
  <si>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</si>
  <si>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</si>
  <si>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</si>
  <si>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</si>
  <si>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</si>
  <si>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</si>
  <si>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</si>
  <si>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</si>
  <si>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</si>
  <si>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</si>
  <si>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</si>
  <si>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</si>
  <si>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</si>
  <si>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</si>
  <si>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</si>
  <si>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</si>
  <si>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</si>
  <si>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</si>
  <si>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</si>
  <si>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</si>
  <si>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</si>
  <si>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</si>
  <si>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</si>
  <si>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</si>
  <si>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</si>
  <si>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</si>
  <si>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</si>
  <si>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</si>
  <si>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</si>
  <si>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</si>
  <si>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</si>
  <si>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</si>
  <si>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</si>
  <si>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</si>
  <si>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</si>
  <si>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</si>
  <si>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</si>
  <si>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</si>
  <si>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</si>
  <si>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</si>
  <si>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</si>
  <si>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</si>
  <si>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</si>
  <si>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</si>
  <si>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</si>
  <si>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</si>
  <si>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</si>
  <si>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</si>
  <si>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</si>
  <si>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</si>
  <si>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</si>
  <si>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</si>
  <si>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</si>
  <si>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</si>
  <si>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</si>
  <si>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</si>
  <si>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</si>
  <si>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</si>
  <si>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</si>
  <si>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</si>
  <si>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</si>
  <si>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</si>
  <si>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</si>
  <si>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</si>
  <si>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</si>
  <si>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</si>
  <si>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</si>
  <si>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</si>
  <si>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</si>
  <si>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</si>
  <si>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</si>
  <si>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</si>
  <si>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</si>
  <si>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</si>
  <si>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</si>
  <si>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</si>
  <si>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</si>
  <si>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</si>
  <si>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</si>
  <si>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</si>
  <si>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</si>
  <si>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</si>
  <si>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</si>
  <si>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</si>
  <si>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</si>
  <si>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</si>
  <si>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</si>
  <si>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</si>
  <si>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</si>
  <si>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</si>
  <si>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</si>
  <si>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</si>
  <si>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</si>
  <si>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</si>
  <si>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</si>
  <si>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</si>
  <si>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</si>
  <si>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</si>
  <si>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</si>
  <si>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</si>
  <si>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</si>
  <si>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</si>
  <si>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</si>
  <si>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</si>
  <si>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</si>
  <si>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</si>
  <si>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</si>
  <si>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</si>
  <si>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</si>
  <si>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</si>
  <si>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</si>
  <si>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</si>
  <si>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</si>
  <si>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</si>
  <si>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</si>
  <si>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</si>
  <si>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</si>
  <si>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</si>
  <si>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</si>
  <si>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</si>
  <si>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</si>
  <si>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</si>
  <si>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</si>
  <si>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</si>
  <si>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</si>
  <si>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</si>
  <si>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</si>
  <si>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</si>
  <si>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</si>
  <si>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</si>
  <si>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</si>
  <si>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</si>
  <si>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</si>
  <si>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</si>
  <si>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</si>
  <si>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</si>
  <si>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</si>
  <si>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</si>
  <si>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</si>
  <si>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</si>
  <si>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</si>
  <si>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</si>
  <si>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</si>
  <si>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</si>
  <si>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</si>
  <si>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</si>
  <si>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</si>
  <si>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</si>
  <si>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</si>
  <si>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</si>
  <si>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</si>
  <si>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</si>
  <si>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</si>
  <si>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</si>
  <si>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</si>
  <si>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</si>
  <si>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</si>
  <si>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</si>
  <si>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</si>
  <si>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</si>
  <si>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</si>
  <si>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</si>
  <si>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</si>
  <si>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</si>
  <si>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</si>
  <si>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</si>
  <si>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</si>
  <si>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</si>
  <si>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</si>
  <si>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</si>
  <si>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</si>
  <si>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</si>
  <si>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</si>
  <si>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</si>
  <si>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</si>
  <si>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</si>
  <si>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</si>
  <si>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</si>
  <si>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</si>
  <si>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</si>
  <si>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</si>
  <si>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</si>
  <si>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</si>
  <si>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</si>
  <si>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</si>
  <si>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</si>
  <si>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</si>
  <si>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</si>
  <si>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</si>
  <si>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</si>
  <si>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</si>
  <si>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</si>
  <si>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</si>
  <si>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</si>
  <si>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</si>
  <si>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</si>
  <si>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</si>
  <si>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</si>
  <si>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</si>
  <si>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</si>
  <si>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</si>
  <si>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</si>
  <si>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</si>
  <si>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</si>
  <si>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</si>
  <si>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</si>
  <si>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</si>
  <si>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</si>
  <si>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</si>
  <si>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</si>
  <si>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</si>
  <si>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</si>
  <si>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</si>
  <si>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</si>
  <si>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</si>
  <si>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</si>
  <si>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</si>
  <si>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</si>
  <si>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</si>
  <si>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</si>
  <si>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</si>
  <si>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</si>
  <si>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</si>
  <si>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</si>
  <si>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</si>
  <si>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</si>
  <si>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</si>
  <si>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</si>
  <si>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</si>
  <si>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</si>
  <si>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</si>
  <si>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</si>
  <si>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</si>
  <si>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</si>
  <si>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</si>
  <si>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</si>
  <si>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</si>
  <si>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</si>
  <si>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</si>
  <si>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</si>
  <si>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</si>
  <si>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</si>
  <si>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</si>
  <si>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</si>
  <si>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</si>
  <si>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</si>
  <si>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</si>
  <si>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</si>
  <si>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</si>
  <si>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</si>
  <si>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</si>
  <si>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</si>
  <si>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</si>
  <si>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</si>
  <si>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</si>
  <si>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</si>
  <si>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</si>
  <si>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</si>
  <si>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</si>
  <si>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</si>
  <si>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</si>
  <si>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</si>
  <si>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</si>
  <si>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</si>
  <si>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</si>
  <si>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</si>
  <si>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</si>
  <si>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</si>
  <si>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</si>
  <si>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</si>
  <si>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</si>
  <si>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</si>
  <si>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</si>
  <si>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</si>
  <si>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</si>
  <si>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</si>
  <si>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</si>
  <si>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</si>
  <si>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</si>
  <si>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</si>
  <si>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</si>
  <si>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</si>
  <si>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</si>
  <si>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</si>
  <si>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</si>
  <si>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</si>
  <si>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</si>
  <si>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</si>
  <si>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</si>
  <si>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</si>
  <si>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</si>
  <si>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</si>
  <si>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</si>
  <si>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</si>
  <si>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</si>
  <si>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</si>
  <si>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</si>
  <si>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</si>
  <si>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</si>
  <si>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</si>
  <si>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</si>
  <si>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</si>
  <si>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</si>
  <si>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</si>
  <si>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</si>
  <si>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</si>
  <si>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</si>
  <si>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</si>
  <si>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</si>
  <si>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</si>
  <si>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</si>
  <si>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</si>
  <si>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</si>
  <si>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</si>
  <si>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</si>
  <si>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</si>
  <si>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</si>
  <si>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</si>
  <si>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</si>
  <si>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</si>
  <si>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</si>
  <si>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</si>
  <si>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</si>
  <si>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</si>
  <si>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</si>
  <si>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</si>
  <si>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</si>
  <si>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</si>
  <si>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</si>
  <si>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</si>
  <si>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</si>
  <si>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</si>
  <si>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</si>
  <si>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</si>
  <si>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</si>
  <si>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</si>
  <si>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</si>
  <si>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</si>
  <si>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</si>
  <si>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</si>
  <si>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</si>
  <si>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</si>
  <si>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</si>
  <si>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</si>
  <si>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</si>
  <si>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</si>
  <si>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</si>
  <si>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</si>
  <si>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</si>
  <si>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</si>
  <si>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</si>
  <si>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</si>
  <si>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</si>
  <si>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</si>
  <si>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</si>
  <si>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</si>
  <si>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</si>
  <si>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</si>
  <si>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</si>
  <si>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</si>
  <si>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</si>
  <si>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</si>
  <si>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</si>
  <si>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</si>
  <si>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</si>
  <si>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</si>
  <si>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</si>
  <si>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</si>
  <si>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</si>
  <si>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</si>
  <si>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</si>
  <si>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</si>
  <si>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</si>
  <si>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</si>
  <si>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</si>
  <si>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</si>
  <si>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</si>
  <si>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</si>
  <si>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</si>
  <si>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</si>
  <si>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</si>
  <si>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</si>
  <si>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</si>
  <si>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</si>
  <si>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</si>
  <si>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</si>
  <si>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</si>
  <si>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</si>
  <si>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</si>
  <si>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</si>
  <si>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</si>
  <si>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</si>
  <si>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</si>
  <si>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</si>
  <si>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</si>
  <si>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</si>
  <si>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</si>
  <si>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</si>
  <si>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</si>
  <si>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</si>
  <si>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</si>
  <si>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</si>
  <si>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</si>
  <si>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</si>
  <si>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</si>
  <si>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</si>
  <si>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</si>
  <si>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</si>
  <si>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</si>
  <si>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</si>
  <si>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</si>
  <si>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</si>
  <si>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</si>
  <si>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</si>
  <si>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</si>
  <si>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</si>
  <si>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</si>
  <si>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</si>
  <si>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</si>
  <si>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</si>
  <si>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</si>
  <si>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</si>
  <si>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</si>
  <si>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</si>
  <si>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</si>
  <si>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</si>
  <si>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</si>
  <si>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</si>
  <si>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</si>
  <si>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</si>
  <si>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</si>
  <si>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</si>
  <si>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</si>
  <si>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</si>
  <si>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</si>
  <si>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</si>
  <si>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</si>
  <si>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</si>
  <si>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</si>
  <si>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</si>
  <si>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</si>
  <si>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</si>
  <si>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</si>
  <si>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</si>
  <si>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</si>
  <si>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</si>
  <si>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</si>
  <si>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</si>
  <si>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</si>
  <si>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</si>
  <si>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</si>
  <si>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</si>
  <si>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</si>
  <si>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</si>
  <si>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</si>
  <si>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</si>
  <si>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</si>
  <si>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</si>
  <si>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</si>
  <si>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</si>
  <si>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</si>
  <si>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</si>
  <si>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</si>
  <si>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</si>
  <si>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</si>
  <si>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</si>
  <si>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</si>
  <si>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</si>
  <si>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</si>
  <si>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</si>
  <si>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</si>
  <si>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</si>
  <si>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</si>
  <si>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</si>
  <si>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</si>
  <si>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</si>
  <si>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</si>
  <si>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</si>
  <si>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</si>
  <si>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</si>
  <si>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</si>
  <si>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</si>
  <si>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</si>
  <si>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</si>
  <si>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</si>
  <si>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</si>
  <si>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</si>
  <si>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</si>
  <si>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</si>
  <si>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</si>
  <si>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</si>
  <si>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</si>
  <si>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</si>
  <si>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</si>
  <si>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</si>
  <si>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</si>
  <si>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</si>
  <si>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</si>
  <si>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</si>
  <si>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</si>
  <si>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</si>
  <si>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</si>
  <si>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</si>
  <si>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</si>
  <si>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</si>
  <si>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</si>
  <si>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</si>
  <si>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</si>
  <si>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</si>
  <si>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</si>
  <si>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</si>
  <si>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</si>
  <si>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</si>
  <si>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</si>
  <si>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</si>
  <si>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</si>
  <si>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</si>
  <si>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</si>
  <si>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</si>
  <si>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</si>
  <si>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</si>
  <si>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</si>
  <si>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</si>
  <si>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</si>
  <si>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</si>
  <si>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</si>
  <si>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</si>
  <si>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</si>
  <si>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</si>
  <si>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</si>
  <si>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</si>
  <si>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</si>
  <si>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</si>
  <si>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</si>
  <si>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</si>
  <si>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</si>
  <si>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</si>
  <si>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</si>
  <si>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</si>
  <si>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</si>
  <si>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</si>
  <si>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</si>
  <si>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</si>
  <si>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</si>
  <si>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</si>
  <si>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</si>
  <si>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</si>
  <si>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</si>
  <si>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</si>
  <si>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</si>
  <si>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</si>
  <si>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</si>
  <si>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</si>
  <si>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</si>
  <si>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</si>
  <si>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</si>
  <si>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</si>
  <si>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</si>
  <si>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</si>
  <si>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</si>
  <si>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</si>
  <si>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</si>
  <si>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</si>
  <si>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</si>
  <si>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</si>
  <si>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</si>
  <si>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</si>
  <si>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</si>
  <si>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</si>
  <si>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</si>
  <si>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</si>
  <si>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</si>
  <si>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</si>
  <si>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</si>
  <si>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</si>
  <si>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</si>
  <si>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</si>
  <si>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</si>
  <si>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</si>
  <si>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</si>
  <si>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</si>
  <si>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</si>
  <si>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</si>
  <si>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</si>
  <si>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</si>
  <si>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</si>
  <si>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</si>
  <si>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</si>
  <si>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</si>
  <si>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</si>
  <si>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</si>
  <si>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</si>
  <si>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</si>
  <si>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</si>
  <si>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</si>
  <si>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</si>
  <si>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</si>
  <si>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</si>
  <si>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</si>
  <si>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</si>
  <si>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</si>
  <si>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</si>
  <si>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</si>
  <si>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</si>
  <si>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</si>
  <si>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</si>
  <si>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</si>
  <si>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</si>
  <si>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</si>
  <si>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</si>
  <si>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</si>
  <si>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</si>
  <si>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</si>
  <si>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</si>
  <si>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</si>
  <si>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</si>
  <si>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</si>
  <si>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</si>
  <si>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</si>
  <si>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</si>
  <si>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</si>
  <si>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</si>
  <si>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</si>
  <si>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</si>
  <si>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</si>
  <si>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</si>
  <si>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</si>
  <si>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</si>
  <si>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</si>
  <si>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</si>
  <si>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</si>
  <si>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</si>
  <si>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</si>
  <si>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</si>
  <si>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</si>
  <si>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</si>
  <si>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</si>
  <si>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</si>
  <si>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</si>
  <si>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</si>
  <si>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</si>
  <si>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</si>
  <si>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</si>
  <si>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</si>
  <si>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</si>
  <si>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</si>
  <si>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</si>
  <si>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</si>
  <si>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</si>
  <si>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</si>
  <si>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</si>
  <si>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</si>
  <si>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</si>
  <si>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</si>
  <si>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</si>
  <si>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</si>
  <si>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</si>
  <si>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</si>
  <si>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</si>
  <si>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</si>
  <si>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</si>
  <si>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</si>
  <si>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</si>
  <si>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</si>
  <si>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</si>
  <si>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</si>
  <si>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</si>
  <si>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</si>
  <si>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</si>
  <si>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</si>
  <si>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</si>
  <si>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</si>
  <si>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</si>
  <si>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</si>
  <si>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</si>
  <si>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</si>
  <si>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</si>
  <si>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</si>
  <si>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</si>
  <si>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</si>
  <si>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</si>
  <si>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</si>
  <si>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</si>
  <si>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</si>
  <si>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</si>
  <si>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</si>
  <si>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</si>
  <si>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</si>
  <si>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</si>
  <si>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</si>
  <si>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</si>
  <si>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</si>
  <si>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</si>
  <si>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</si>
  <si>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</si>
  <si>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</si>
  <si>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</si>
  <si>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</si>
  <si>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</si>
  <si>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</si>
  <si>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</si>
  <si>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</si>
  <si>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</si>
  <si>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</si>
  <si>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</si>
  <si>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</si>
  <si>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</si>
  <si>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</si>
  <si>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</si>
  <si>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</si>
  <si>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</si>
  <si>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</si>
  <si>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</si>
  <si>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</si>
  <si>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</si>
  <si>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</si>
  <si>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</si>
  <si>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</si>
  <si>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</si>
  <si>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</si>
  <si>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</si>
  <si>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</si>
  <si>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</si>
  <si>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</si>
  <si>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</si>
  <si>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</si>
  <si>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</si>
  <si>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</si>
  <si>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</si>
  <si>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</si>
  <si>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</si>
  <si>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</si>
  <si>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</si>
  <si>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</si>
  <si>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</si>
  <si>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</si>
  <si>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</si>
  <si>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</si>
  <si>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</si>
  <si>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</si>
  <si>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</si>
  <si>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</si>
  <si>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</si>
  <si>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</si>
  <si>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</si>
  <si>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</si>
  <si>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</si>
  <si>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</si>
  <si>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</si>
  <si>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</si>
  <si>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</si>
  <si>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</si>
  <si>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</si>
  <si>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</si>
  <si>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</si>
  <si>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</si>
  <si>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</si>
  <si>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</si>
  <si>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</si>
  <si>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</si>
  <si>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</si>
  <si>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</si>
  <si>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</si>
  <si>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</si>
  <si>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</si>
  <si>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</si>
  <si>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</si>
  <si>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</si>
  <si>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</si>
  <si>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</si>
  <si>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</si>
  <si>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</si>
  <si>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</si>
  <si>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</si>
  <si>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</si>
  <si>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</si>
  <si>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</si>
  <si>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</si>
  <si>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</si>
  <si>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</si>
  <si>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</si>
  <si>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</si>
  <si>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</si>
  <si>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</si>
  <si>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</si>
  <si>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</si>
  <si>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</si>
  <si>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</si>
  <si>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</si>
  <si>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</si>
  <si>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</si>
  <si>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</si>
  <si>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</si>
  <si>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</si>
  <si>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</si>
  <si>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</si>
  <si>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</si>
  <si>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</si>
  <si>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</si>
  <si>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</si>
  <si>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</si>
  <si>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</si>
  <si>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</si>
  <si>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</si>
  <si>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</si>
  <si>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</si>
  <si>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</si>
  <si>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</si>
  <si>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</si>
  <si>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</si>
  <si>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</si>
  <si>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</si>
  <si>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</si>
  <si>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</si>
  <si>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</si>
  <si>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</si>
  <si>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</si>
  <si>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</si>
  <si>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</si>
  <si>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</si>
  <si>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</si>
  <si>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</si>
  <si>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</si>
  <si>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</si>
  <si>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</si>
  <si>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</si>
  <si>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</si>
  <si>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</si>
  <si>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</si>
  <si>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</si>
  <si>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</si>
  <si>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</si>
  <si>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</si>
  <si>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</si>
  <si>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</si>
  <si>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</si>
  <si>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</si>
  <si>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</si>
  <si>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</si>
  <si>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</si>
  <si>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</si>
  <si>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</si>
  <si>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</si>
  <si>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</si>
  <si>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</si>
  <si>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</si>
  <si>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</si>
  <si>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</si>
  <si>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</si>
  <si>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</si>
  <si>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</si>
  <si>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</si>
  <si>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</si>
  <si>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</si>
  <si>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</si>
  <si>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</si>
  <si>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</si>
  <si>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</si>
  <si>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</si>
  <si>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</si>
  <si>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</si>
  <si>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</si>
  <si>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</si>
  <si>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</si>
  <si>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</si>
  <si>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</si>
  <si>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</si>
  <si>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</si>
  <si>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</si>
  <si>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</si>
  <si>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</si>
  <si>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</si>
  <si>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</si>
  <si>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</si>
  <si>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</si>
  <si>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</si>
  <si>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</si>
  <si>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</si>
  <si>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</si>
  <si>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</si>
  <si>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</si>
  <si>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</si>
  <si>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</si>
  <si>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</si>
  <si>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</si>
  <si>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</si>
  <si>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</si>
  <si>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</si>
  <si>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</si>
  <si>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</si>
  <si>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</si>
  <si>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</si>
  <si>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</si>
  <si>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</si>
  <si>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</si>
  <si>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</si>
  <si>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</si>
  <si>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</si>
  <si>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</si>
  <si>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</si>
  <si>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</si>
  <si>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</si>
  <si>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</si>
  <si>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</si>
  <si>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</si>
  <si>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</si>
  <si>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</si>
  <si>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</si>
  <si>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</si>
  <si>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</si>
  <si>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</si>
  <si>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</si>
  <si>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</si>
  <si>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</si>
  <si>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</si>
  <si>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</si>
  <si>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</si>
  <si>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</si>
  <si>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</si>
  <si>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</si>
  <si>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</si>
  <si>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</si>
  <si>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</si>
  <si>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</si>
  <si>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</si>
  <si>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</si>
  <si>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</si>
  <si>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</si>
  <si>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</si>
  <si>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</si>
  <si>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</si>
  <si>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</si>
  <si>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</si>
  <si>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</si>
  <si>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</si>
  <si>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</si>
  <si>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</si>
  <si>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</si>
  <si>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</si>
  <si>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</si>
  <si>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</si>
  <si>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</si>
  <si>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</si>
  <si>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</si>
  <si>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</si>
  <si>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</si>
  <si>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</si>
  <si>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</si>
  <si>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</si>
  <si>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</si>
  <si>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</si>
  <si>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</si>
  <si>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</si>
  <si>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</si>
  <si>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</si>
  <si>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</si>
  <si>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</si>
  <si>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</si>
  <si>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</si>
  <si>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</si>
  <si>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</si>
  <si>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</si>
  <si>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</si>
  <si>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</si>
  <si>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</si>
  <si>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</si>
  <si>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</si>
  <si>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</si>
  <si>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</si>
  <si>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</si>
  <si>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</si>
  <si>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</si>
  <si>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</si>
  <si>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</si>
  <si>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</si>
  <si>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</si>
  <si>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</si>
  <si>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</si>
  <si>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</si>
  <si>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</si>
  <si>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</si>
  <si>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</si>
  <si>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</si>
  <si>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</si>
  <si>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</si>
  <si>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</si>
  <si>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</si>
  <si>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</si>
  <si>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</si>
  <si>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</si>
  <si>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</si>
  <si>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</si>
  <si>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</si>
  <si>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</si>
  <si>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</si>
  <si>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</si>
  <si>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</si>
  <si>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</si>
  <si>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</si>
  <si>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</si>
  <si>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</si>
  <si>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</si>
  <si>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</si>
  <si>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</si>
  <si>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</si>
  <si>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</si>
  <si>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</si>
  <si>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</si>
  <si>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</si>
  <si>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</si>
  <si>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</si>
  <si>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</si>
  <si>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</si>
  <si>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</si>
  <si>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</si>
  <si>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</si>
  <si>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</si>
  <si>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</si>
  <si>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</si>
  <si>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</si>
  <si>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</si>
  <si>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</si>
  <si>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</si>
  <si>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</si>
  <si>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</si>
  <si>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</si>
  <si>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</si>
  <si>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</si>
  <si>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</si>
  <si>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</si>
  <si>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</si>
  <si>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</si>
  <si>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</si>
  <si>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</si>
  <si>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</si>
  <si>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</si>
  <si>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</si>
  <si>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</si>
  <si>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</si>
  <si>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</si>
  <si>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</si>
  <si>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</si>
  <si>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</si>
  <si>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</si>
  <si>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</si>
  <si>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</si>
  <si>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</si>
  <si>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</si>
  <si>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</si>
  <si>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</si>
  <si>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</si>
  <si>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</si>
  <si>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</si>
  <si>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</si>
  <si>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</si>
  <si>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</si>
  <si>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</si>
  <si>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</si>
  <si>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</si>
  <si>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</si>
  <si>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</si>
  <si>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</si>
  <si>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</si>
  <si>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</si>
  <si>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</si>
  <si>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</si>
  <si>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</si>
  <si>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</si>
  <si>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</si>
  <si>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</si>
  <si>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</si>
  <si>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</si>
  <si>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</si>
  <si>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</si>
  <si>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</si>
  <si>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</si>
  <si>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</si>
  <si>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</si>
  <si>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</si>
  <si>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</si>
  <si>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</si>
  <si>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</si>
  <si>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</si>
  <si>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</si>
  <si>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</si>
  <si>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</si>
  <si>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</si>
  <si>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</si>
  <si>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</si>
  <si>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</si>
  <si>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</si>
  <si>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</si>
  <si>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</si>
  <si>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</si>
  <si>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</si>
  <si>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</si>
  <si>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</si>
  <si>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</si>
  <si>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</si>
  <si>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</si>
  <si>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</si>
  <si>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</si>
  <si>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</si>
  <si>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</si>
  <si>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</si>
  <si>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</si>
  <si>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</si>
  <si>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</si>
  <si>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</si>
  <si>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</si>
  <si>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</si>
  <si>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</si>
  <si>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</si>
  <si>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</si>
  <si>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</si>
  <si>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</si>
  <si>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</si>
  <si>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</si>
  <si>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</si>
  <si>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</si>
  <si>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</si>
  <si>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</si>
  <si>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</si>
  <si>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</si>
  <si>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</si>
  <si>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</si>
  <si>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</si>
  <si>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</si>
  <si>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</si>
  <si>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</si>
  <si>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</si>
  <si>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</si>
  <si>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</si>
  <si>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</si>
  <si>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</si>
  <si>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</si>
  <si>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</si>
  <si>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</si>
  <si>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</si>
  <si>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</si>
  <si>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</si>
  <si>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</si>
  <si>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</si>
  <si>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</si>
  <si>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</si>
  <si>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</si>
  <si>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</si>
  <si>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</si>
  <si>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</si>
  <si>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</si>
  <si>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</si>
  <si>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</si>
  <si>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</si>
  <si>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</si>
  <si>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</si>
  <si>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</si>
  <si>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</si>
  <si>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</si>
  <si>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</si>
  <si>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</si>
  <si>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</si>
  <si>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</si>
  <si>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</si>
  <si>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</si>
  <si>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</si>
  <si>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</si>
  <si>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</si>
  <si>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</si>
  <si>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</si>
  <si>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</si>
  <si>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</si>
  <si>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</si>
  <si>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</si>
  <si>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</si>
  <si>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</si>
  <si>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</si>
  <si>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</si>
  <si>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</si>
  <si>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</si>
  <si>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</si>
  <si>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</si>
  <si>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</si>
  <si>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</si>
  <si>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</si>
  <si>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</si>
  <si>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</si>
  <si>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</si>
  <si>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</si>
  <si>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</si>
  <si>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</si>
  <si>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</si>
  <si>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</si>
  <si>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</si>
  <si>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</si>
  <si>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</si>
  <si>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</si>
  <si>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</si>
  <si>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</si>
  <si>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</si>
  <si>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</si>
  <si>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</si>
  <si>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</si>
  <si>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</si>
  <si>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</si>
  <si>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</si>
  <si>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</si>
  <si>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</si>
  <si>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</si>
  <si>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</si>
  <si>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</si>
  <si>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</si>
  <si>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</si>
  <si>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</si>
  <si>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</si>
  <si>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</si>
  <si>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</si>
  <si>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</si>
  <si>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</si>
  <si>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</si>
  <si>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</si>
  <si>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</si>
  <si>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</si>
  <si>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</si>
  <si>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</si>
  <si>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</si>
  <si>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</si>
  <si>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</si>
  <si>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</si>
  <si>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</si>
  <si>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</si>
  <si>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</si>
  <si>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</si>
  <si>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</si>
  <si>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</si>
  <si>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</si>
  <si>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</si>
  <si>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</si>
  <si>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</si>
  <si>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</si>
  <si>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</si>
  <si>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</si>
  <si>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</si>
  <si>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</si>
  <si>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</si>
  <si>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</si>
  <si>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</si>
  <si>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</si>
  <si>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</si>
  <si>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</si>
  <si>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</si>
  <si>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</si>
  <si>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</si>
  <si>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</si>
  <si>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</si>
  <si>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</si>
  <si>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</si>
  <si>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</si>
  <si>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</si>
  <si>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</si>
  <si>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</si>
  <si>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</si>
  <si>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</si>
  <si>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</si>
  <si>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</si>
  <si>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</si>
  <si>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</si>
  <si>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</si>
  <si>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</si>
  <si>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</si>
  <si>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</si>
  <si>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</si>
  <si>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</si>
  <si>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</si>
  <si>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</si>
  <si>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</si>
  <si>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</si>
  <si>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</si>
  <si>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</si>
  <si>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</si>
  <si>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</si>
  <si>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</si>
  <si>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</si>
  <si>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</si>
  <si>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</si>
  <si>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</si>
  <si>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</si>
  <si>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</si>
  <si>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</si>
  <si>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</si>
  <si>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</si>
  <si>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</si>
  <si>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</si>
  <si>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</si>
  <si>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</si>
  <si>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</si>
  <si>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</si>
  <si>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</si>
  <si>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</si>
  <si>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</si>
  <si>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</si>
  <si>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</si>
  <si>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</si>
  <si>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</si>
  <si>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</si>
  <si>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</si>
  <si>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 xml:space="preserve">Orbert </t>
  </si>
  <si>
    <t>Kylian Mbappe</t>
  </si>
  <si>
    <t>Raphinha</t>
  </si>
  <si>
    <t>Mikel Oyarzabal</t>
  </si>
  <si>
    <t>Lamine Yamal</t>
  </si>
  <si>
    <t>Lionel Andres Messi Cuccittini (La cabra)</t>
  </si>
  <si>
    <t xml:space="preserve">Kyliam Mbappe </t>
  </si>
  <si>
    <t>Unai Simón</t>
  </si>
  <si>
    <t>Pedri</t>
  </si>
  <si>
    <t>Tim Payne carreando (Nueva Zelanda)</t>
  </si>
  <si>
    <t>Inglaterra (Fui generoso en sus partidos)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</si>
</sst>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1">
    <v>0</v>
    <v>8</v>
    <v>1</v>
    <v>1</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 zoomScaleNormal="100" workbookViewId="0">
      <selection activeCell="AW64" sqref="AW6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1</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Empate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1</v>
      </c>
      <c r="AD6" s="48">
        <v>1</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9</v>
      </c>
      <c r="AN6" s="33">
        <f t="shared" ca="1" si="15"/>
        <v>3</v>
      </c>
      <c r="AO6" s="33">
        <f t="shared" ca="1" si="15"/>
        <v>3</v>
      </c>
      <c r="AP6" s="33">
        <f t="shared" ca="1" si="15"/>
        <v>0</v>
      </c>
      <c r="AQ6" s="33">
        <f t="shared" ca="1" si="15"/>
        <v>0</v>
      </c>
      <c r="AR6" s="33">
        <f t="shared" ca="1" si="15"/>
        <v>6</v>
      </c>
      <c r="AS6" s="33">
        <f t="shared" ca="1" si="15"/>
        <v>3</v>
      </c>
      <c r="AT6" s="38">
        <f t="shared" ca="1" si="15"/>
        <v>3</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9</v>
      </c>
      <c r="BF6" s="13">
        <f ca="1">+BG6+BH6+BI6</f>
        <v>3</v>
      </c>
      <c r="BG6" s="13">
        <f t="shared" ref="BG6:BG53" ca="1" si="17">+COUNTIFS(FGLocal,BD6,Ganador,"Local")+COUNTIFS(FGVisitante,BD6,Ganador,"Visitante")</f>
        <v>3</v>
      </c>
      <c r="BH6" s="13">
        <f t="shared" ref="BH6:BH53" ca="1" si="18">+COUNTIFS(FGLocal,BD6,Ganador,"Empate")+COUNTIFS(FGVisitante,BD6,Ganador,"Empate")</f>
        <v>0</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6</v>
      </c>
      <c r="BK6" s="13">
        <f t="shared" ref="BK6:BK53" ca="1" si="21">+SUMIFS(FG_GolesLocal,FGVisitante,BD6,Ganador,"&lt;&gt;"&amp;"Pendiente",FG_GolesLocal,"&lt;&gt;"&amp;"",FG_GolesVisitante,"&lt;&gt;"&amp;"")+SUMIFS(FG_GolesVisitante,FGLocal,BD6,Ganador,"&lt;&gt;"&amp;"Pendiente",FG_GolesLocal,"&lt;&gt;"&amp;"",FG_GolesVisitante,"&lt;&gt;"&amp;"")</f>
        <v>3</v>
      </c>
      <c r="BL6" s="13">
        <f ca="1">+BJ6-BK6</f>
        <v>3</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9</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2</v>
      </c>
      <c r="AD7" s="48">
        <v>1</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4</v>
      </c>
      <c r="AN7" s="36">
        <f t="shared" ca="1" si="15"/>
        <v>3</v>
      </c>
      <c r="AO7" s="36">
        <f t="shared" ca="1" si="15"/>
        <v>1</v>
      </c>
      <c r="AP7" s="36">
        <f t="shared" ca="1" si="15"/>
        <v>1</v>
      </c>
      <c r="AQ7" s="36">
        <f t="shared" ca="1" si="15"/>
        <v>1</v>
      </c>
      <c r="AR7" s="36">
        <f t="shared" ca="1" si="15"/>
        <v>4</v>
      </c>
      <c r="AS7" s="36">
        <f t="shared" ca="1" si="15"/>
        <v>4</v>
      </c>
      <c r="AT7" s="40">
        <f t="shared" ca="1" si="15"/>
        <v>0</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1</v>
      </c>
      <c r="BF7" s="13">
        <f t="shared" ref="BF7:BF53" ca="1" si="41">+BG7+BH7+BI7</f>
        <v>3</v>
      </c>
      <c r="BG7" s="13">
        <f t="shared" ca="1" si="17"/>
        <v>0</v>
      </c>
      <c r="BH7" s="13">
        <f t="shared" ca="1" si="18"/>
        <v>1</v>
      </c>
      <c r="BI7" s="13">
        <f t="shared" ca="1" si="19"/>
        <v>2</v>
      </c>
      <c r="BJ7" s="13">
        <f t="shared" ca="1" si="20"/>
        <v>3</v>
      </c>
      <c r="BK7" s="13">
        <f t="shared" ca="1" si="21"/>
        <v>5</v>
      </c>
      <c r="BL7" s="13">
        <f t="shared" ref="BL7:BL53" ca="1" si="42">+BJ7-BK7</f>
        <v>-2</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1</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05" customHeight="1">
      <c r="A8" s="13" t="str">
        <f ca="1">+Equipos!B5</f>
        <v>República Checa</v>
      </c>
      <c r="B8" s="13"/>
      <c r="C8" s="13"/>
      <c r="D8" s="13" t="str">
        <f t="shared" si="0"/>
        <v>Visitante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2</v>
      </c>
      <c r="AN8" s="36">
        <f t="shared" ca="1" si="15"/>
        <v>3</v>
      </c>
      <c r="AO8" s="36">
        <f t="shared" ca="1" si="15"/>
        <v>0</v>
      </c>
      <c r="AP8" s="36">
        <f t="shared" ca="1" si="15"/>
        <v>2</v>
      </c>
      <c r="AQ8" s="36">
        <f t="shared" ca="1" si="15"/>
        <v>1</v>
      </c>
      <c r="AR8" s="36">
        <f t="shared" ca="1" si="15"/>
        <v>3</v>
      </c>
      <c r="AS8" s="36">
        <f t="shared" ca="1" si="15"/>
        <v>4</v>
      </c>
      <c r="AT8" s="40">
        <f t="shared" ca="1" si="15"/>
        <v>-1</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4</v>
      </c>
      <c r="BK8" s="13">
        <f t="shared" ca="1" si="21"/>
        <v>4</v>
      </c>
      <c r="BL8" s="13">
        <f t="shared" ca="1" si="42"/>
        <v>0</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1</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1</v>
      </c>
      <c r="AN9" s="44">
        <f t="shared" ca="1" si="15"/>
        <v>3</v>
      </c>
      <c r="AO9" s="44">
        <f t="shared" ca="1" si="15"/>
        <v>0</v>
      </c>
      <c r="AP9" s="44">
        <f t="shared" ca="1" si="15"/>
        <v>1</v>
      </c>
      <c r="AQ9" s="44">
        <f t="shared" ca="1" si="15"/>
        <v>2</v>
      </c>
      <c r="AR9" s="44">
        <f t="shared" ca="1" si="15"/>
        <v>3</v>
      </c>
      <c r="AS9" s="44">
        <f t="shared" ca="1" si="15"/>
        <v>5</v>
      </c>
      <c r="AT9" s="45">
        <f t="shared" ca="1" si="15"/>
        <v>-2</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2</v>
      </c>
      <c r="BF9" s="13">
        <f t="shared" ca="1" si="41"/>
        <v>3</v>
      </c>
      <c r="BG9" s="13">
        <f t="shared" ca="1" si="17"/>
        <v>0</v>
      </c>
      <c r="BH9" s="13">
        <f t="shared" ca="1" si="18"/>
        <v>2</v>
      </c>
      <c r="BI9" s="13">
        <f t="shared" ca="1" si="19"/>
        <v>1</v>
      </c>
      <c r="BJ9" s="13">
        <f t="shared" ca="1" si="20"/>
        <v>3</v>
      </c>
      <c r="BK9" s="13">
        <f t="shared" ca="1" si="21"/>
        <v>4</v>
      </c>
      <c r="BL9" s="13">
        <f t="shared" ca="1" si="42"/>
        <v>-1</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2</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6</v>
      </c>
      <c r="BF10" s="13">
        <f t="shared" ca="1" si="41"/>
        <v>3</v>
      </c>
      <c r="BG10" s="13">
        <f t="shared" ca="1" si="17"/>
        <v>2</v>
      </c>
      <c r="BH10" s="13">
        <f t="shared" ca="1" si="18"/>
        <v>0</v>
      </c>
      <c r="BI10" s="13">
        <f t="shared" ca="1" si="19"/>
        <v>1</v>
      </c>
      <c r="BJ10" s="13">
        <f t="shared" ca="1" si="20"/>
        <v>5</v>
      </c>
      <c r="BK10" s="13">
        <f t="shared" ca="1" si="21"/>
        <v>3</v>
      </c>
      <c r="BL10" s="13">
        <f t="shared" ca="1" si="42"/>
        <v>2</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6</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1</v>
      </c>
      <c r="BF11" s="13">
        <f t="shared" ca="1" si="41"/>
        <v>3</v>
      </c>
      <c r="BG11" s="13">
        <f t="shared" ca="1" si="17"/>
        <v>0</v>
      </c>
      <c r="BH11" s="13">
        <f t="shared" ca="1" si="18"/>
        <v>1</v>
      </c>
      <c r="BI11" s="13">
        <f t="shared" ca="1" si="19"/>
        <v>2</v>
      </c>
      <c r="BJ11" s="13">
        <f t="shared" ca="1" si="20"/>
        <v>3</v>
      </c>
      <c r="BK11" s="13">
        <f t="shared" ca="1" si="21"/>
        <v>5</v>
      </c>
      <c r="BL11" s="13">
        <f t="shared" ca="1" si="42"/>
        <v>-2</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1</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P.3 (2)</v>
      </c>
      <c r="BU11" s="13">
        <f t="shared" ca="1" si="24"/>
        <v>0</v>
      </c>
      <c r="BV11" s="13">
        <f t="shared" ca="1" si="25"/>
        <v>1</v>
      </c>
      <c r="BW11" s="13">
        <f t="shared" ca="1" si="26"/>
        <v>0</v>
      </c>
      <c r="BX11" s="13">
        <f t="shared" ca="1" si="48"/>
        <v>1</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P.3 (2)</v>
      </c>
      <c r="CA11" s="13">
        <f t="shared" ca="1" si="27"/>
        <v>1</v>
      </c>
      <c r="CB11" s="13">
        <f t="shared" ca="1" si="28"/>
        <v>1</v>
      </c>
      <c r="CC11" s="13">
        <f t="shared" ca="1" si="49"/>
        <v>0</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P.3 (2)</v>
      </c>
      <c r="CF11" s="13">
        <f t="shared" ca="1" si="29"/>
        <v>1</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P.3 (2)</v>
      </c>
      <c r="CI11" s="13">
        <f t="shared" ca="1" si="30"/>
        <v>0</v>
      </c>
      <c r="CJ11" s="13">
        <f t="shared" ca="1" si="31"/>
        <v>1</v>
      </c>
      <c r="CK11" s="13">
        <f t="shared" ca="1" si="32"/>
        <v>0</v>
      </c>
      <c r="CL11" s="13">
        <f t="shared" ca="1" si="50"/>
        <v>1</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P.3 (2)</v>
      </c>
      <c r="CO11" s="13">
        <f t="shared" ca="1" si="33"/>
        <v>1</v>
      </c>
      <c r="CP11" s="13">
        <f t="shared" ca="1" si="34"/>
        <v>1</v>
      </c>
      <c r="CQ11" s="13">
        <f t="shared" ca="1" si="51"/>
        <v>0</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P.3 (2)</v>
      </c>
      <c r="CT11" s="13">
        <f t="shared" ca="1" si="35"/>
        <v>1</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P.3 (2)</v>
      </c>
      <c r="CW11" s="13">
        <f t="shared" ca="1" si="36"/>
        <v>-2</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P.3 (2)</v>
      </c>
      <c r="G12" s="13"/>
      <c r="H12" s="13" t="str">
        <f t="shared" ref="H12:H17" ca="1" si="56">IF(D12="Pendiente","-",INDEX($BZ$6:$BZ$53,MATCH($AA12,$BD$6:$BD$53,0)))</f>
        <v>-</v>
      </c>
      <c r="I12" s="13" t="str">
        <f t="shared" ref="I12:I17" ca="1" si="57">IF(D12="Pendiente","-",INDEX($BZ$6:$BZ$53,MATCH($AF12,$BD$6:$BD$53,0)))</f>
        <v>P.3 (2)</v>
      </c>
      <c r="J12" s="13"/>
      <c r="K12" s="13" t="str">
        <f t="shared" ref="K12:K17" ca="1" si="58">IF(D12="Pendiente","-",INDEX($CE$6:$CE$53,MATCH($AA12,$BD$6:$BD$53,0)))</f>
        <v>-</v>
      </c>
      <c r="L12" s="13" t="str">
        <f t="shared" ref="L12:L17" ca="1" si="59">IF(D12="Pendiente","-",INDEX($CE$6:$CE$53,MATCH($AF12,$BD$6:$BD$53,0)))</f>
        <v>P.3 (2)</v>
      </c>
      <c r="M12" s="13"/>
      <c r="N12" s="13" t="str">
        <f t="shared" ref="N12:N17" ca="1" si="60">IF(D12="Pendiente","-",INDEX($CH$6:$CH$53,MATCH($AA12,$BD$6:$BD$53,0)))</f>
        <v>-</v>
      </c>
      <c r="O12" s="13" t="str">
        <f t="shared" ref="O12:O17" ca="1" si="61">IF(D12="Pendiente","-",INDEX($CH$6:$CH$53,MATCH($AF12,$BD$6:$BD$53,0)))</f>
        <v>P.3 (2)</v>
      </c>
      <c r="P12" s="13"/>
      <c r="Q12" s="13" t="str">
        <f t="shared" ref="Q12:Q17" ca="1" si="62">IF(D12="Pendiente","-",INDEX($CN$6:$CN$53,MATCH($AA12,$BD$6:$BD$53,0)))</f>
        <v>-</v>
      </c>
      <c r="R12" s="13" t="str">
        <f t="shared" ref="R12:R17" ca="1" si="63">IF(D12="Pendiente","-",INDEX($CN$6:$CN$53,MATCH($AF12,$BD$6:$BD$53,0)))</f>
        <v>P.3 (2)</v>
      </c>
      <c r="S12" s="13"/>
      <c r="T12" s="13" t="str">
        <f t="shared" ref="T12:T17" ca="1" si="64">IF(D12="Pendiente","-",INDEX($CS$6:$CS$53,MATCH($AA12,$BD$6:$BD$53,0)))</f>
        <v>-</v>
      </c>
      <c r="U12" s="13" t="str">
        <f t="shared" ref="U12:U17" ca="1" si="65">IF(D12="Pendiente","-",INDEX($CS$6:$CS$53,MATCH($AF12,$BD$6:$BD$53,0)))</f>
        <v>P.3 (2)</v>
      </c>
      <c r="V12" s="14"/>
      <c r="W12" s="678" t="s">
        <v>1</v>
      </c>
      <c r="X12" s="21">
        <f ca="1">Horarios!C12</f>
        <v>46185.625</v>
      </c>
      <c r="Y12" s="22">
        <f ca="1">Horarios!C12</f>
        <v>46185.625</v>
      </c>
      <c r="Z12" s="23" t="str">
        <f>$Z$4</f>
        <v>J1</v>
      </c>
      <c r="AA12" s="24" t="str">
        <f ca="1">A13</f>
        <v>Canadá</v>
      </c>
      <c r="AB12" s="46" t="e" cm="1" vm="5">
        <f t="array" aca="1" ref="AB12" ca="1">Ver_flag_local</f>
        <v>#VALUE!</v>
      </c>
      <c r="AC12" s="47">
        <v>2</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1</v>
      </c>
      <c r="BK12" s="13">
        <f t="shared" ca="1" si="21"/>
        <v>5</v>
      </c>
      <c r="BL12" s="13">
        <f t="shared" ca="1" si="42"/>
        <v>-4</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P.3 (2)</v>
      </c>
      <c r="BU12" s="13">
        <f t="shared" ca="1" si="24"/>
        <v>0</v>
      </c>
      <c r="BV12" s="13">
        <f t="shared" ca="1" si="25"/>
        <v>1</v>
      </c>
      <c r="BW12" s="13">
        <f t="shared" ca="1" si="26"/>
        <v>0</v>
      </c>
      <c r="BX12" s="13">
        <f t="shared" ca="1" si="48"/>
        <v>1</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P.3 (2)</v>
      </c>
      <c r="CA12" s="13">
        <f t="shared" ca="1" si="27"/>
        <v>1</v>
      </c>
      <c r="CB12" s="13">
        <f t="shared" ca="1" si="28"/>
        <v>1</v>
      </c>
      <c r="CC12" s="13">
        <f t="shared" ca="1" si="49"/>
        <v>0</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P.3 (2)</v>
      </c>
      <c r="CF12" s="13">
        <f t="shared" ca="1" si="29"/>
        <v>1</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P.3 (2)</v>
      </c>
      <c r="CI12" s="13">
        <f t="shared" ca="1" si="30"/>
        <v>0</v>
      </c>
      <c r="CJ12" s="13">
        <f t="shared" ca="1" si="31"/>
        <v>1</v>
      </c>
      <c r="CK12" s="13">
        <f t="shared" ca="1" si="32"/>
        <v>0</v>
      </c>
      <c r="CL12" s="13">
        <f t="shared" ca="1" si="50"/>
        <v>1</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P.3 (2)</v>
      </c>
      <c r="CO12" s="13">
        <f t="shared" ca="1" si="33"/>
        <v>1</v>
      </c>
      <c r="CP12" s="13">
        <f t="shared" ca="1" si="34"/>
        <v>1</v>
      </c>
      <c r="CQ12" s="13">
        <f t="shared" ca="1" si="51"/>
        <v>0</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P.3 (2)</v>
      </c>
      <c r="CT12" s="13">
        <f t="shared" ca="1" si="35"/>
        <v>1</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P.3 (2)</v>
      </c>
      <c r="CW12" s="13">
        <f t="shared" ca="1" si="36"/>
        <v>-4</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P.3 (2)</v>
      </c>
      <c r="F13" s="13" t="str">
        <f t="shared" ca="1" si="55"/>
        <v>-</v>
      </c>
      <c r="G13" s="13"/>
      <c r="H13" s="13" t="str">
        <f t="shared" ca="1" si="56"/>
        <v>P.3 (2)</v>
      </c>
      <c r="I13" s="13" t="str">
        <f t="shared" ca="1" si="57"/>
        <v>-</v>
      </c>
      <c r="J13" s="13"/>
      <c r="K13" s="13" t="str">
        <f t="shared" ca="1" si="58"/>
        <v>P.3 (2)</v>
      </c>
      <c r="L13" s="13" t="str">
        <f t="shared" ca="1" si="59"/>
        <v>-</v>
      </c>
      <c r="M13" s="13"/>
      <c r="N13" s="13" t="str">
        <f t="shared" ca="1" si="60"/>
        <v>P.3 (2)</v>
      </c>
      <c r="O13" s="13" t="str">
        <f t="shared" ca="1" si="61"/>
        <v>-</v>
      </c>
      <c r="P13" s="13"/>
      <c r="Q13" s="13" t="str">
        <f t="shared" ca="1" si="62"/>
        <v>P.3 (2)</v>
      </c>
      <c r="R13" s="13" t="str">
        <f t="shared" ca="1" si="63"/>
        <v>-</v>
      </c>
      <c r="S13" s="13"/>
      <c r="T13" s="13" t="str">
        <f t="shared" ca="1" si="64"/>
        <v>P.3 (2)</v>
      </c>
      <c r="U13" s="13" t="str">
        <f t="shared" ca="1" si="65"/>
        <v>-</v>
      </c>
      <c r="V13" s="14"/>
      <c r="W13" s="678"/>
      <c r="X13" s="21">
        <f ca="1">Horarios!C13</f>
        <v>46186.625</v>
      </c>
      <c r="Y13" s="22">
        <f ca="1">Horarios!C13</f>
        <v>46186.625</v>
      </c>
      <c r="Z13" s="23" t="str">
        <f>$Z$4</f>
        <v>J1</v>
      </c>
      <c r="AA13" s="24" t="str">
        <f ca="1">A15</f>
        <v>Catar</v>
      </c>
      <c r="AB13" s="46" t="e" cm="1" vm="7">
        <f t="array" aca="1" ref="AB13" ca="1">Ver_flag_local</f>
        <v>#VALUE!</v>
      </c>
      <c r="AC13" s="47">
        <v>0</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6</v>
      </c>
      <c r="BK13" s="13">
        <f t="shared" ca="1" si="21"/>
        <v>2</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v>
      </c>
      <c r="F14" s="13" t="str">
        <f t="shared" ca="1" si="55"/>
        <v>P.3 (2)</v>
      </c>
      <c r="G14" s="13"/>
      <c r="H14" s="13" t="str">
        <f t="shared" ca="1" si="56"/>
        <v>-</v>
      </c>
      <c r="I14" s="13" t="str">
        <f t="shared" ca="1" si="57"/>
        <v>P.3 (2)</v>
      </c>
      <c r="J14" s="13"/>
      <c r="K14" s="13" t="str">
        <f t="shared" ca="1" si="58"/>
        <v>-</v>
      </c>
      <c r="L14" s="13" t="str">
        <f t="shared" ca="1" si="59"/>
        <v>P.3 (2)</v>
      </c>
      <c r="M14" s="13"/>
      <c r="N14" s="13" t="str">
        <f t="shared" ca="1" si="60"/>
        <v>-</v>
      </c>
      <c r="O14" s="13" t="str">
        <f t="shared" ca="1" si="61"/>
        <v>P.3 (2)</v>
      </c>
      <c r="P14" s="13"/>
      <c r="Q14" s="13" t="str">
        <f t="shared" ca="1" si="62"/>
        <v>-</v>
      </c>
      <c r="R14" s="13" t="str">
        <f t="shared" ca="1" si="63"/>
        <v>P.3 (2)</v>
      </c>
      <c r="S14" s="13"/>
      <c r="T14" s="13" t="str">
        <f t="shared" ca="1" si="64"/>
        <v>-</v>
      </c>
      <c r="U14" s="13" t="str">
        <f t="shared" ca="1" si="65"/>
        <v>P.3 (2)</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2</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6</v>
      </c>
      <c r="BK14" s="13">
        <f t="shared" ca="1" si="21"/>
        <v>2</v>
      </c>
      <c r="BL14" s="13">
        <f t="shared" ca="1" si="42"/>
        <v>4</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1</v>
      </c>
      <c r="CB14" s="13">
        <f t="shared" ca="1" si="28"/>
        <v>1</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1</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1</v>
      </c>
      <c r="CP14" s="13">
        <f t="shared" ca="1" si="34"/>
        <v>1</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1</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4</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v>
      </c>
      <c r="F15" s="13" t="str">
        <f t="shared" ca="1" si="55"/>
        <v>P.3 (2)</v>
      </c>
      <c r="G15" s="13"/>
      <c r="H15" s="13" t="str">
        <f t="shared" ca="1" si="56"/>
        <v>-</v>
      </c>
      <c r="I15" s="13" t="str">
        <f t="shared" ca="1" si="57"/>
        <v>P.3 (2)</v>
      </c>
      <c r="J15" s="13"/>
      <c r="K15" s="13" t="str">
        <f t="shared" ca="1" si="58"/>
        <v>-</v>
      </c>
      <c r="L15" s="13" t="str">
        <f t="shared" ca="1" si="59"/>
        <v>P.3 (2)</v>
      </c>
      <c r="M15" s="13"/>
      <c r="N15" s="13" t="str">
        <f t="shared" ca="1" si="60"/>
        <v>-</v>
      </c>
      <c r="O15" s="13" t="str">
        <f t="shared" ca="1" si="61"/>
        <v>P.3 (2)</v>
      </c>
      <c r="P15" s="13"/>
      <c r="Q15" s="13" t="str">
        <f t="shared" ca="1" si="62"/>
        <v>-</v>
      </c>
      <c r="R15" s="13" t="str">
        <f t="shared" ca="1" si="63"/>
        <v>P.3 (2)</v>
      </c>
      <c r="S15" s="13"/>
      <c r="T15" s="13" t="str">
        <f t="shared" ca="1" si="64"/>
        <v>-</v>
      </c>
      <c r="U15" s="13" t="str">
        <f t="shared" ca="1" si="65"/>
        <v>P.3 (2)</v>
      </c>
      <c r="V15" s="14"/>
      <c r="W15" s="678"/>
      <c r="X15" s="21">
        <f ca="1">Horarios!C15</f>
        <v>46191.75</v>
      </c>
      <c r="Y15" s="22">
        <f ca="1">Horarios!C15</f>
        <v>46191.75</v>
      </c>
      <c r="Z15" s="23" t="str">
        <f>$Z$6</f>
        <v>J2</v>
      </c>
      <c r="AA15" s="24" t="str">
        <f ca="1">A13</f>
        <v>Canadá</v>
      </c>
      <c r="AB15" s="46" t="e" cm="1" vm="5">
        <f t="array" aca="1" ref="AB15" ca="1">Ver_flag_local</f>
        <v>#VALUE!</v>
      </c>
      <c r="AC15" s="47">
        <v>2</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6</v>
      </c>
      <c r="AN15" s="36">
        <f t="shared" ca="1" si="69"/>
        <v>3</v>
      </c>
      <c r="AO15" s="36">
        <f t="shared" ca="1" si="69"/>
        <v>2</v>
      </c>
      <c r="AP15" s="36">
        <f t="shared" ca="1" si="69"/>
        <v>0</v>
      </c>
      <c r="AQ15" s="36">
        <f t="shared" ca="1" si="69"/>
        <v>1</v>
      </c>
      <c r="AR15" s="36">
        <f t="shared" ca="1" si="69"/>
        <v>5</v>
      </c>
      <c r="AS15" s="36">
        <f t="shared" ca="1" si="69"/>
        <v>3</v>
      </c>
      <c r="AT15" s="71">
        <f t="shared" ca="1" si="69"/>
        <v>2</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5</v>
      </c>
      <c r="BK15" s="13">
        <f t="shared" ca="1" si="21"/>
        <v>2</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1</v>
      </c>
      <c r="CB15" s="13">
        <f t="shared" ca="1" si="28"/>
        <v>1</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1</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1</v>
      </c>
      <c r="CP15" s="13">
        <f t="shared" ca="1" si="34"/>
        <v>1</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1</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3</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8"/>
      <c r="X16" s="21">
        <f ca="1">Horarios!C16</f>
        <v>46197.625</v>
      </c>
      <c r="Y16" s="22">
        <f ca="1">Horarios!C16</f>
        <v>46197.625</v>
      </c>
      <c r="Z16" s="23" t="str">
        <f>$Z$8</f>
        <v>J3</v>
      </c>
      <c r="AA16" s="24" t="str">
        <f ca="1">A16</f>
        <v>Suiza</v>
      </c>
      <c r="AB16" s="46" t="e" cm="1" vm="8">
        <f t="array" aca="1" ref="AB16" ca="1">Ver_flag_local</f>
        <v>#VALUE!</v>
      </c>
      <c r="AC16" s="47">
        <v>2</v>
      </c>
      <c r="AD16" s="48">
        <v>1</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1</v>
      </c>
      <c r="AN16" s="36">
        <f t="shared" ca="1" si="69"/>
        <v>3</v>
      </c>
      <c r="AO16" s="36">
        <f t="shared" ca="1" si="69"/>
        <v>0</v>
      </c>
      <c r="AP16" s="36">
        <f t="shared" ca="1" si="69"/>
        <v>1</v>
      </c>
      <c r="AQ16" s="36">
        <f t="shared" ca="1" si="69"/>
        <v>2</v>
      </c>
      <c r="AR16" s="36">
        <f t="shared" ca="1" si="69"/>
        <v>3</v>
      </c>
      <c r="AS16" s="36">
        <f t="shared" ca="1" si="69"/>
        <v>5</v>
      </c>
      <c r="AT16" s="71">
        <f t="shared" ca="1" si="69"/>
        <v>-2</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7</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Empate</v>
      </c>
      <c r="E17" s="13" t="str">
        <f t="shared" ca="1" si="54"/>
        <v>P.3 (2)</v>
      </c>
      <c r="F17" s="13" t="str">
        <f t="shared" ca="1" si="55"/>
        <v>P.3 (2)</v>
      </c>
      <c r="G17" s="13"/>
      <c r="H17" s="13" t="str">
        <f t="shared" ca="1" si="56"/>
        <v>P.3 (2)</v>
      </c>
      <c r="I17" s="13" t="str">
        <f t="shared" ca="1" si="57"/>
        <v>P.3 (2)</v>
      </c>
      <c r="J17" s="13"/>
      <c r="K17" s="13" t="str">
        <f t="shared" ca="1" si="58"/>
        <v>P.3 (2)</v>
      </c>
      <c r="L17" s="13" t="str">
        <f t="shared" ca="1" si="59"/>
        <v>P.3 (2)</v>
      </c>
      <c r="M17" s="13"/>
      <c r="N17" s="13" t="str">
        <f t="shared" ca="1" si="60"/>
        <v>P.3 (2)</v>
      </c>
      <c r="O17" s="13" t="str">
        <f t="shared" ca="1" si="61"/>
        <v>P.3 (2)</v>
      </c>
      <c r="P17" s="13"/>
      <c r="Q17" s="13" t="str">
        <f t="shared" ca="1" si="62"/>
        <v>P.3 (2)</v>
      </c>
      <c r="R17" s="13" t="str">
        <f t="shared" ca="1" si="63"/>
        <v>P.3 (2)</v>
      </c>
      <c r="S17" s="13"/>
      <c r="T17" s="13" t="str">
        <f t="shared" ca="1" si="64"/>
        <v>P.3 (2)</v>
      </c>
      <c r="U17" s="13" t="str">
        <f t="shared" ca="1" si="65"/>
        <v>P.3 (2)</v>
      </c>
      <c r="V17" s="14"/>
      <c r="W17" s="679"/>
      <c r="X17" s="25">
        <f ca="1">Horarios!C17</f>
        <v>46197.625</v>
      </c>
      <c r="Y17" s="26">
        <f ca="1">Horarios!C17</f>
        <v>46197.625</v>
      </c>
      <c r="Z17" s="27" t="str">
        <f>$Z$8</f>
        <v>J3</v>
      </c>
      <c r="AA17" s="28" t="str">
        <f ca="1">A14</f>
        <v>Bosnia y Herzegovina</v>
      </c>
      <c r="AB17" s="49" t="e" cm="1" vm="6">
        <f t="array" aca="1" ref="AB17" ca="1">Ver_flag_local</f>
        <v>#VALUE!</v>
      </c>
      <c r="AC17" s="50">
        <v>1</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1</v>
      </c>
      <c r="AN17" s="75">
        <f t="shared" ca="1" si="69"/>
        <v>3</v>
      </c>
      <c r="AO17" s="75">
        <f t="shared" ca="1" si="69"/>
        <v>0</v>
      </c>
      <c r="AP17" s="75">
        <f t="shared" ca="1" si="69"/>
        <v>1</v>
      </c>
      <c r="AQ17" s="75">
        <f t="shared" ca="1" si="69"/>
        <v>2</v>
      </c>
      <c r="AR17" s="75">
        <f t="shared" ca="1" si="69"/>
        <v>1</v>
      </c>
      <c r="AS17" s="75">
        <f t="shared" ca="1" si="69"/>
        <v>5</v>
      </c>
      <c r="AT17" s="76">
        <f t="shared" ca="1" si="69"/>
        <v>-4</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4</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4</v>
      </c>
      <c r="BF18" s="13">
        <f t="shared" ca="1" si="41"/>
        <v>3</v>
      </c>
      <c r="BG18" s="13">
        <f t="shared" ca="1" si="17"/>
        <v>1</v>
      </c>
      <c r="BH18" s="13">
        <f t="shared" ca="1" si="18"/>
        <v>1</v>
      </c>
      <c r="BI18" s="13">
        <f t="shared" ca="1" si="19"/>
        <v>1</v>
      </c>
      <c r="BJ18" s="13">
        <f t="shared" ca="1" si="20"/>
        <v>4</v>
      </c>
      <c r="BK18" s="13">
        <f t="shared" ca="1" si="21"/>
        <v>3</v>
      </c>
      <c r="BL18" s="13">
        <f t="shared" ca="1" si="42"/>
        <v>1</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4</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P.2 (2)</v>
      </c>
      <c r="BU18" s="13">
        <f t="shared" ca="1" si="24"/>
        <v>0</v>
      </c>
      <c r="BV18" s="13">
        <f t="shared" ca="1" si="25"/>
        <v>1</v>
      </c>
      <c r="BW18" s="13">
        <f t="shared" ca="1" si="26"/>
        <v>0</v>
      </c>
      <c r="BX18" s="13">
        <f t="shared" ca="1" si="48"/>
        <v>1</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P.2 (2)</v>
      </c>
      <c r="CA18" s="13">
        <f t="shared" ca="1" si="27"/>
        <v>1</v>
      </c>
      <c r="CB18" s="13">
        <f t="shared" ca="1" si="28"/>
        <v>1</v>
      </c>
      <c r="CC18" s="13">
        <f t="shared" ca="1" si="49"/>
        <v>0</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P.2 (2)</v>
      </c>
      <c r="CF18" s="13">
        <f t="shared" ca="1" si="29"/>
        <v>1</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P.2 (2)</v>
      </c>
      <c r="CI18" s="13">
        <f t="shared" ca="1" si="30"/>
        <v>0</v>
      </c>
      <c r="CJ18" s="13">
        <f t="shared" ca="1" si="31"/>
        <v>1</v>
      </c>
      <c r="CK18" s="13">
        <f t="shared" ca="1" si="32"/>
        <v>0</v>
      </c>
      <c r="CL18" s="13">
        <f t="shared" ca="1" si="50"/>
        <v>1</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P.2 (2)</v>
      </c>
      <c r="CO18" s="13">
        <f t="shared" ca="1" si="33"/>
        <v>1</v>
      </c>
      <c r="CP18" s="13">
        <f t="shared" ca="1" si="34"/>
        <v>1</v>
      </c>
      <c r="CQ18" s="13">
        <f t="shared" ca="1" si="51"/>
        <v>0</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P.2 (2)</v>
      </c>
      <c r="CT18" s="13">
        <f t="shared" ca="1" si="35"/>
        <v>1</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P.2 (2)</v>
      </c>
      <c r="CW18" s="13">
        <f t="shared" ca="1" si="36"/>
        <v>1</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4</v>
      </c>
      <c r="BF19" s="13">
        <f t="shared" ca="1" si="41"/>
        <v>3</v>
      </c>
      <c r="BG19" s="13">
        <f t="shared" ca="1" si="17"/>
        <v>1</v>
      </c>
      <c r="BH19" s="13">
        <f t="shared" ca="1" si="18"/>
        <v>1</v>
      </c>
      <c r="BI19" s="13">
        <f t="shared" ca="1" si="19"/>
        <v>1</v>
      </c>
      <c r="BJ19" s="13">
        <f t="shared" ca="1" si="20"/>
        <v>4</v>
      </c>
      <c r="BK19" s="13">
        <f t="shared" ca="1" si="21"/>
        <v>4</v>
      </c>
      <c r="BL19" s="13">
        <f t="shared" ca="1" si="42"/>
        <v>0</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4</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P.2 (2)</v>
      </c>
      <c r="BU19" s="13">
        <f t="shared" ca="1" si="24"/>
        <v>0</v>
      </c>
      <c r="BV19" s="13">
        <f t="shared" ca="1" si="25"/>
        <v>1</v>
      </c>
      <c r="BW19" s="13">
        <f t="shared" ca="1" si="26"/>
        <v>0</v>
      </c>
      <c r="BX19" s="13">
        <f t="shared" ca="1" si="48"/>
        <v>1</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P.2 (2)</v>
      </c>
      <c r="CA19" s="13">
        <f t="shared" ca="1" si="27"/>
        <v>1</v>
      </c>
      <c r="CB19" s="13">
        <f t="shared" ca="1" si="28"/>
        <v>1</v>
      </c>
      <c r="CC19" s="13">
        <f t="shared" ca="1" si="49"/>
        <v>0</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P.2 (2)</v>
      </c>
      <c r="CF19" s="13">
        <f t="shared" ca="1" si="29"/>
        <v>1</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P.2 (2)</v>
      </c>
      <c r="CI19" s="13">
        <f t="shared" ca="1" si="30"/>
        <v>0</v>
      </c>
      <c r="CJ19" s="13">
        <f t="shared" ca="1" si="31"/>
        <v>1</v>
      </c>
      <c r="CK19" s="13">
        <f t="shared" ca="1" si="32"/>
        <v>0</v>
      </c>
      <c r="CL19" s="13">
        <f t="shared" ca="1" si="50"/>
        <v>1</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P.2 (2)</v>
      </c>
      <c r="CO19" s="13">
        <f t="shared" ca="1" si="33"/>
        <v>1</v>
      </c>
      <c r="CP19" s="13">
        <f t="shared" ca="1" si="34"/>
        <v>1</v>
      </c>
      <c r="CQ19" s="13">
        <f t="shared" ca="1" si="51"/>
        <v>0</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P.2 (2)</v>
      </c>
      <c r="CT19" s="13">
        <f t="shared" ca="1" si="35"/>
        <v>1</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P.2 (2)</v>
      </c>
      <c r="CW19" s="13">
        <f t="shared" ca="1" si="36"/>
        <v>0</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87" t="s">
        <v>2</v>
      </c>
      <c r="X20" s="21">
        <f ca="1">Horarios!C20</f>
        <v>46186.75</v>
      </c>
      <c r="Y20" s="22">
        <f ca="1">Horarios!C20</f>
        <v>46186.75</v>
      </c>
      <c r="Z20" s="23" t="str">
        <f>$Z$4</f>
        <v>J1</v>
      </c>
      <c r="AA20" s="24" t="str">
        <f ca="1">A21</f>
        <v>Brasil</v>
      </c>
      <c r="AB20" s="46" t="e" cm="1" vm="9">
        <f t="array" aca="1" ref="AB20" ca="1">Ver_flag_local</f>
        <v>#VALUE!</v>
      </c>
      <c r="AC20" s="47">
        <v>1</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5</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9</v>
      </c>
      <c r="BF21" s="13">
        <f t="shared" ca="1" si="41"/>
        <v>3</v>
      </c>
      <c r="BG21" s="13">
        <f t="shared" ca="1" si="17"/>
        <v>3</v>
      </c>
      <c r="BH21" s="13">
        <f t="shared" ca="1" si="18"/>
        <v>0</v>
      </c>
      <c r="BI21" s="13">
        <f t="shared" ca="1" si="19"/>
        <v>0</v>
      </c>
      <c r="BJ21" s="13">
        <f t="shared" ca="1" si="20"/>
        <v>5</v>
      </c>
      <c r="BK21" s="13">
        <f t="shared" ca="1" si="21"/>
        <v>2</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9</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87"/>
      <c r="X22" s="21">
        <f ca="1">Horarios!C22</f>
        <v>46192.75</v>
      </c>
      <c r="Y22" s="22">
        <f ca="1">Horarios!C22</f>
        <v>46192.75</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6</v>
      </c>
      <c r="AS22" s="33">
        <f t="shared" ca="1" si="87"/>
        <v>2</v>
      </c>
      <c r="AT22" s="38">
        <f t="shared" ca="1" si="87"/>
        <v>4</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6</v>
      </c>
      <c r="BK22" s="13">
        <f t="shared" ca="1" si="21"/>
        <v>1</v>
      </c>
      <c r="BL22" s="13">
        <f t="shared" ca="1" si="42"/>
        <v>5</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3</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5</v>
      </c>
      <c r="AS23" s="36">
        <f t="shared" ca="1" si="87"/>
        <v>2</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1</v>
      </c>
      <c r="BF23" s="13">
        <f t="shared" ca="1" si="41"/>
        <v>3</v>
      </c>
      <c r="BG23" s="13">
        <f t="shared" ca="1" si="17"/>
        <v>0</v>
      </c>
      <c r="BH23" s="13">
        <f t="shared" ca="1" si="18"/>
        <v>1</v>
      </c>
      <c r="BI23" s="13">
        <f t="shared" ca="1" si="19"/>
        <v>2</v>
      </c>
      <c r="BJ23" s="13">
        <f t="shared" ca="1" si="20"/>
        <v>1</v>
      </c>
      <c r="BK23" s="13">
        <f t="shared" ca="1" si="21"/>
        <v>6</v>
      </c>
      <c r="BL23" s="13">
        <f t="shared" ca="1" si="42"/>
        <v>-5</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1</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87"/>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4</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2</v>
      </c>
      <c r="BF24" s="13">
        <f t="shared" ca="1" si="41"/>
        <v>3</v>
      </c>
      <c r="BG24" s="13">
        <f t="shared" ca="1" si="17"/>
        <v>0</v>
      </c>
      <c r="BH24" s="13">
        <f t="shared" ca="1" si="18"/>
        <v>2</v>
      </c>
      <c r="BI24" s="13">
        <f t="shared" ca="1" si="19"/>
        <v>1</v>
      </c>
      <c r="BJ24" s="13">
        <f t="shared" ca="1" si="20"/>
        <v>3</v>
      </c>
      <c r="BK24" s="13">
        <f t="shared" ca="1" si="21"/>
        <v>4</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2</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2</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7</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4</v>
      </c>
      <c r="BF25" s="13">
        <f t="shared" ca="1" si="41"/>
        <v>3</v>
      </c>
      <c r="BG25" s="13">
        <f t="shared" ca="1" si="17"/>
        <v>1</v>
      </c>
      <c r="BH25" s="13">
        <f t="shared" ca="1" si="18"/>
        <v>1</v>
      </c>
      <c r="BI25" s="13">
        <f t="shared" ca="1" si="19"/>
        <v>1</v>
      </c>
      <c r="BJ25" s="13">
        <f t="shared" ca="1" si="20"/>
        <v>3</v>
      </c>
      <c r="BK25" s="13">
        <f t="shared" ca="1" si="21"/>
        <v>2</v>
      </c>
      <c r="BL25" s="13">
        <f t="shared" ca="1" si="42"/>
        <v>1</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4</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7</v>
      </c>
      <c r="BK26" s="13">
        <f t="shared" ca="1" si="21"/>
        <v>3</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6</v>
      </c>
      <c r="BK27" s="13">
        <f t="shared" ca="1" si="21"/>
        <v>4</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2</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P.2 (2)</v>
      </c>
      <c r="F28" s="13" t="str">
        <f t="shared" ref="F28:F33" ca="1" si="93">IF(D28="Pendiente","-",INDEX($BT$6:$BT$53,MATCH($AF28,$BD$6:$BD$53,0)))</f>
        <v>P.2 (2)</v>
      </c>
      <c r="G28" s="13"/>
      <c r="H28" s="13" t="str">
        <f t="shared" ref="H28:H33" ca="1" si="94">IF(D28="Pendiente","-",INDEX($BZ$6:$BZ$53,MATCH($AA28,$BD$6:$BD$53,0)))</f>
        <v>P.2 (2)</v>
      </c>
      <c r="I28" s="13" t="str">
        <f t="shared" ref="I28:I33" ca="1" si="95">IF(D28="Pendiente","-",INDEX($BZ$6:$BZ$53,MATCH($AF28,$BD$6:$BD$53,0)))</f>
        <v>P.2 (2)</v>
      </c>
      <c r="J28" s="13"/>
      <c r="K28" s="13" t="str">
        <f t="shared" ref="K28:K33" ca="1" si="96">IF(D28="Pendiente","-",INDEX($CE$6:$CE$53,MATCH($AA28,$BD$6:$BD$53,0)))</f>
        <v>P.2 (2)</v>
      </c>
      <c r="L28" s="13" t="str">
        <f t="shared" ref="L28:L33" ca="1" si="97">IF(D28="Pendiente","-",INDEX($CE$6:$CE$53,MATCH($AF28,$BD$6:$BD$53,0)))</f>
        <v>P.2 (2)</v>
      </c>
      <c r="M28" s="13"/>
      <c r="N28" s="13" t="str">
        <f t="shared" ref="N28:N33" ca="1" si="98">IF(D28="Pendiente","-",INDEX($CH$6:$CH$53,MATCH($AA28,$BD$6:$BD$53,0)))</f>
        <v>P.2 (2)</v>
      </c>
      <c r="O28" s="13" t="str">
        <f t="shared" ref="O28:O33" ca="1" si="99">IF(D28="Pendiente","-",INDEX($CH$6:$CH$53,MATCH($AF28,$BD$6:$BD$53,0)))</f>
        <v>P.2 (2)</v>
      </c>
      <c r="P28" s="13"/>
      <c r="Q28" s="13" t="str">
        <f t="shared" ref="Q28:Q33" ca="1" si="100">IF(D28="Pendiente","-",INDEX($CN$6:$CN$53,MATCH($AA28,$BD$6:$BD$53,0)))</f>
        <v>P.2 (2)</v>
      </c>
      <c r="R28" s="13" t="str">
        <f t="shared" ref="R28:R33" ca="1" si="101">IF(D28="Pendiente","-",INDEX($CN$6:$CN$53,MATCH($AF28,$BD$6:$BD$53,0)))</f>
        <v>P.2 (2)</v>
      </c>
      <c r="S28" s="13"/>
      <c r="T28" s="13" t="str">
        <f t="shared" ref="T28:T33" ca="1" si="102">IF(D28="Pendiente","-",INDEX($CS$6:$CS$53,MATCH($AA28,$BD$6:$BD$53,0)))</f>
        <v>P.2 (2)</v>
      </c>
      <c r="U28" s="13" t="str">
        <f t="shared" ref="U28:U33" ca="1" si="103">IF(D28="Pendiente","-",INDEX($CS$6:$CS$53,MATCH($AF28,$BD$6:$BD$53,0)))</f>
        <v>P.2 (2)</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1</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4</v>
      </c>
      <c r="BK28" s="13">
        <f t="shared" ca="1" si="21"/>
        <v>4</v>
      </c>
      <c r="BL28" s="13">
        <f t="shared" ca="1" si="42"/>
        <v>0</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9"/>
      <c r="X29" s="21">
        <f ca="1">Horarios!C29</f>
        <v>46187</v>
      </c>
      <c r="Y29" s="22">
        <f ca="1">Horarios!C29</f>
        <v>46187</v>
      </c>
      <c r="Z29" s="23" t="str">
        <f>$Z$4</f>
        <v>J1</v>
      </c>
      <c r="AA29" s="24" t="str">
        <f ca="1">A31</f>
        <v>Australia</v>
      </c>
      <c r="AB29" s="46" t="e" cm="1" vm="15">
        <f t="array" aca="1" ref="AB29" ca="1">Ver_flag_local</f>
        <v>#VALUE!</v>
      </c>
      <c r="AC29" s="47">
        <v>0</v>
      </c>
      <c r="AD29" s="48">
        <v>1</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7</v>
      </c>
      <c r="BL29" s="13">
        <f t="shared" ca="1" si="42"/>
        <v>-6</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P.2 (2)</v>
      </c>
      <c r="F30" s="13" t="str">
        <f t="shared" ca="1" si="93"/>
        <v>-</v>
      </c>
      <c r="G30" s="13"/>
      <c r="H30" s="13" t="str">
        <f t="shared" ca="1" si="94"/>
        <v>P.2 (2)</v>
      </c>
      <c r="I30" s="13" t="str">
        <f t="shared" ca="1" si="95"/>
        <v>-</v>
      </c>
      <c r="J30" s="13"/>
      <c r="K30" s="13" t="str">
        <f t="shared" ca="1" si="96"/>
        <v>P.2 (2)</v>
      </c>
      <c r="L30" s="13" t="str">
        <f t="shared" ca="1" si="97"/>
        <v>-</v>
      </c>
      <c r="M30" s="13"/>
      <c r="N30" s="13" t="str">
        <f t="shared" ca="1" si="98"/>
        <v>P.2 (2)</v>
      </c>
      <c r="O30" s="13" t="str">
        <f t="shared" ca="1" si="99"/>
        <v>-</v>
      </c>
      <c r="P30" s="13"/>
      <c r="Q30" s="13" t="str">
        <f t="shared" ca="1" si="100"/>
        <v>P.2 (2)</v>
      </c>
      <c r="R30" s="13" t="str">
        <f t="shared" ca="1" si="101"/>
        <v>-</v>
      </c>
      <c r="S30" s="13"/>
      <c r="T30" s="13" t="str">
        <f t="shared" ca="1" si="102"/>
        <v>P.2 (2)</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2</v>
      </c>
      <c r="AD30" s="48">
        <v>0</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5</v>
      </c>
      <c r="AS30" s="33">
        <f t="shared" ca="1" si="107"/>
        <v>2</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2</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Local</v>
      </c>
      <c r="E31" s="13" t="str">
        <f t="shared" ca="1" si="92"/>
        <v>-</v>
      </c>
      <c r="F31" s="13" t="str">
        <f t="shared" ca="1" si="93"/>
        <v>P.2 (2)</v>
      </c>
      <c r="G31" s="13"/>
      <c r="H31" s="13" t="str">
        <f t="shared" ca="1" si="94"/>
        <v>-</v>
      </c>
      <c r="I31" s="13" t="str">
        <f t="shared" ca="1" si="95"/>
        <v>P.2 (2)</v>
      </c>
      <c r="J31" s="13"/>
      <c r="K31" s="13" t="str">
        <f t="shared" ca="1" si="96"/>
        <v>-</v>
      </c>
      <c r="L31" s="13" t="str">
        <f t="shared" ca="1" si="97"/>
        <v>P.2 (2)</v>
      </c>
      <c r="M31" s="13"/>
      <c r="N31" s="13" t="str">
        <f t="shared" ca="1" si="98"/>
        <v>-</v>
      </c>
      <c r="O31" s="13" t="str">
        <f t="shared" ca="1" si="99"/>
        <v>P.2 (2)</v>
      </c>
      <c r="P31" s="13"/>
      <c r="Q31" s="13" t="str">
        <f t="shared" ca="1" si="100"/>
        <v>-</v>
      </c>
      <c r="R31" s="13" t="str">
        <f t="shared" ca="1" si="101"/>
        <v>P.2 (2)</v>
      </c>
      <c r="S31" s="13"/>
      <c r="T31" s="13" t="str">
        <f t="shared" ca="1" si="102"/>
        <v>-</v>
      </c>
      <c r="U31" s="13" t="str">
        <f t="shared" ca="1" si="103"/>
        <v>P.2 (2)</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2</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4</v>
      </c>
      <c r="AN31" s="36">
        <f t="shared" ca="1" si="107"/>
        <v>3</v>
      </c>
      <c r="AO31" s="36">
        <f t="shared" ca="1" si="107"/>
        <v>1</v>
      </c>
      <c r="AP31" s="36">
        <f t="shared" ca="1" si="107"/>
        <v>1</v>
      </c>
      <c r="AQ31" s="36">
        <f t="shared" ca="1" si="107"/>
        <v>1</v>
      </c>
      <c r="AR31" s="36">
        <f t="shared" ca="1" si="107"/>
        <v>4</v>
      </c>
      <c r="AS31" s="36">
        <f t="shared" ca="1" si="107"/>
        <v>3</v>
      </c>
      <c r="AT31" s="40">
        <f t="shared" ca="1" si="107"/>
        <v>1</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3</v>
      </c>
      <c r="BK31" s="13">
        <f t="shared" ca="1" si="21"/>
        <v>3</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Local</v>
      </c>
      <c r="E32" s="13" t="str">
        <f t="shared" ca="1" si="92"/>
        <v>-</v>
      </c>
      <c r="F32" s="13" t="str">
        <f t="shared" ca="1" si="93"/>
        <v>P.2 (2)</v>
      </c>
      <c r="G32" s="13"/>
      <c r="H32" s="13" t="str">
        <f t="shared" ca="1" si="94"/>
        <v>-</v>
      </c>
      <c r="I32" s="13" t="str">
        <f t="shared" ca="1" si="95"/>
        <v>P.2 (2)</v>
      </c>
      <c r="J32" s="13"/>
      <c r="K32" s="13" t="str">
        <f t="shared" ca="1" si="96"/>
        <v>-</v>
      </c>
      <c r="L32" s="13" t="str">
        <f t="shared" ca="1" si="97"/>
        <v>P.2 (2)</v>
      </c>
      <c r="M32" s="13"/>
      <c r="N32" s="13" t="str">
        <f t="shared" ca="1" si="98"/>
        <v>-</v>
      </c>
      <c r="O32" s="13" t="str">
        <f t="shared" ca="1" si="99"/>
        <v>P.2 (2)</v>
      </c>
      <c r="P32" s="13"/>
      <c r="Q32" s="13" t="str">
        <f t="shared" ca="1" si="100"/>
        <v>-</v>
      </c>
      <c r="R32" s="13" t="str">
        <f t="shared" ca="1" si="101"/>
        <v>P.2 (2)</v>
      </c>
      <c r="S32" s="13"/>
      <c r="T32" s="13" t="str">
        <f t="shared" ca="1" si="102"/>
        <v>-</v>
      </c>
      <c r="U32" s="13" t="str">
        <f t="shared" ca="1" si="103"/>
        <v>P.2 (2)</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2</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4</v>
      </c>
      <c r="AN32" s="36">
        <f t="shared" ca="1" si="107"/>
        <v>3</v>
      </c>
      <c r="AO32" s="36">
        <f t="shared" ca="1" si="107"/>
        <v>1</v>
      </c>
      <c r="AP32" s="36">
        <f t="shared" ca="1" si="107"/>
        <v>1</v>
      </c>
      <c r="AQ32" s="36">
        <f t="shared" ca="1" si="107"/>
        <v>1</v>
      </c>
      <c r="AR32" s="36">
        <f t="shared" ca="1" si="107"/>
        <v>4</v>
      </c>
      <c r="AS32" s="36">
        <f t="shared" ca="1" si="107"/>
        <v>4</v>
      </c>
      <c r="AT32" s="40">
        <f t="shared" ca="1" si="107"/>
        <v>0</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1</v>
      </c>
      <c r="BK32" s="13">
        <f t="shared" ca="1" si="21"/>
        <v>4</v>
      </c>
      <c r="BL32" s="13">
        <f t="shared" ca="1" si="42"/>
        <v>-3</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05" customHeight="1" thickBot="1">
      <c r="A33" s="13"/>
      <c r="B33" s="13"/>
      <c r="C33" s="13"/>
      <c r="D33" s="13" t="str">
        <f t="shared" si="91"/>
        <v>Local</v>
      </c>
      <c r="E33" s="13" t="str">
        <f t="shared" ca="1" si="92"/>
        <v>P.2 (2)</v>
      </c>
      <c r="F33" s="13" t="str">
        <f t="shared" ca="1" si="93"/>
        <v>-</v>
      </c>
      <c r="G33" s="13"/>
      <c r="H33" s="13" t="str">
        <f t="shared" ca="1" si="94"/>
        <v>P.2 (2)</v>
      </c>
      <c r="I33" s="13" t="str">
        <f t="shared" ca="1" si="95"/>
        <v>-</v>
      </c>
      <c r="J33" s="13"/>
      <c r="K33" s="13" t="str">
        <f t="shared" ca="1" si="96"/>
        <v>P.2 (2)</v>
      </c>
      <c r="L33" s="13" t="str">
        <f t="shared" ca="1" si="97"/>
        <v>-</v>
      </c>
      <c r="M33" s="13"/>
      <c r="N33" s="13" t="str">
        <f t="shared" ca="1" si="98"/>
        <v>P.2 (2)</v>
      </c>
      <c r="O33" s="13" t="str">
        <f t="shared" ca="1" si="99"/>
        <v>-</v>
      </c>
      <c r="P33" s="13"/>
      <c r="Q33" s="13" t="str">
        <f t="shared" ca="1" si="100"/>
        <v>P.2 (2)</v>
      </c>
      <c r="R33" s="13" t="str">
        <f t="shared" ca="1" si="101"/>
        <v>-</v>
      </c>
      <c r="S33" s="13"/>
      <c r="T33" s="13" t="str">
        <f t="shared" ca="1" si="102"/>
        <v>P.2 (2)</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2</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5</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2</v>
      </c>
      <c r="BF33" s="13">
        <f t="shared" ca="1" si="41"/>
        <v>3</v>
      </c>
      <c r="BG33" s="13">
        <f t="shared" ca="1" si="17"/>
        <v>0</v>
      </c>
      <c r="BH33" s="13">
        <f t="shared" ca="1" si="18"/>
        <v>2</v>
      </c>
      <c r="BI33" s="13">
        <f t="shared" ca="1" si="19"/>
        <v>1</v>
      </c>
      <c r="BJ33" s="13">
        <f t="shared" ca="1" si="20"/>
        <v>3</v>
      </c>
      <c r="BK33" s="13">
        <f t="shared" ca="1" si="21"/>
        <v>5</v>
      </c>
      <c r="BL33" s="13">
        <f t="shared" ca="1" si="42"/>
        <v>-2</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2</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8</v>
      </c>
      <c r="BK34" s="13">
        <f t="shared" ca="1" si="21"/>
        <v>1</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1</v>
      </c>
      <c r="BF35" s="13">
        <f t="shared" ca="1" si="41"/>
        <v>3</v>
      </c>
      <c r="BG35" s="13">
        <f t="shared" ca="1" si="17"/>
        <v>0</v>
      </c>
      <c r="BH35" s="13">
        <f t="shared" ca="1" si="18"/>
        <v>1</v>
      </c>
      <c r="BI35" s="13">
        <f t="shared" ca="1" si="19"/>
        <v>2</v>
      </c>
      <c r="BJ35" s="13">
        <f t="shared" ca="1" si="20"/>
        <v>1</v>
      </c>
      <c r="BK35" s="13">
        <f t="shared" ca="1" si="21"/>
        <v>6</v>
      </c>
      <c r="BL35" s="13">
        <f t="shared" ca="1" si="42"/>
        <v>-5</v>
      </c>
      <c r="BM35" s="13" t="str">
        <f t="shared" ca="1" si="22"/>
        <v>3H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1</v>
      </c>
      <c r="BS35" s="13">
        <f ca="1">BP35+COUNTIFS($BQ$6:$BQ$53,BQ35,$BR$6:BR$53,"&gt;"&amp;BR35,$BC$6:$BC$53,INDEX(T_Equipos[Grupo],MATCH(BD35,T_Equipos[NombreEquipo],0)))</f>
        <v>3</v>
      </c>
      <c r="BT35" s="13" t="str">
        <f ca="1">IF(COUNTIFS($BS$6:$BS$53,BS35,$BC$6:$BC$53,INDEX(T_Equipos[Grupo],MATCH(BD35,T_Equipos[NombreEquipo],0)))=1,"-","P."&amp;BS35&amp;" ("&amp;COUNTIFS($BS$6:$BS$53,BS35,$BC$6:$BC$53,INDEX(T_Equipos[Grupo],MATCH(BD35,T_Equipos[NombreEquipo],0)))&amp;")")</f>
        <v>P.3 (2)</v>
      </c>
      <c r="BU35" s="13">
        <f t="shared" ca="1" si="24"/>
        <v>0</v>
      </c>
      <c r="BV35" s="13">
        <f t="shared" ca="1" si="25"/>
        <v>1</v>
      </c>
      <c r="BW35" s="13">
        <f t="shared" ca="1" si="26"/>
        <v>0</v>
      </c>
      <c r="BX35" s="13">
        <f t="shared" ca="1" si="48"/>
        <v>1</v>
      </c>
      <c r="BY35" s="13">
        <f ca="1">BS35+COUNTIFS($BT$6:$BT$53,BT35,$BX$6:BX$53,"&gt;"&amp;BX35,$BC$6:$BC$53,INDEX(T_Equipos[Grupo],MATCH(BD35,T_Equipos[NombreEquipo],0)))</f>
        <v>3</v>
      </c>
      <c r="BZ35" s="13" t="str">
        <f ca="1">IF(COUNTIFS($BY$6:$BY$53,BY35,$BC$6:$BC$53,INDEX(T_Equipos[Grupo],MATCH(BD35,T_Equipos[NombreEquipo],0)))=1,"-","P."&amp;BY35&amp;" ("&amp;COUNTIFS($BY$6:$BY$53,BY35,$BC$6:$BC$53,INDEX(T_Equipos[Grupo],MATCH(BD35,T_Equipos[NombreEquipo],0)))&amp;")")</f>
        <v>P.3 (2)</v>
      </c>
      <c r="CA35" s="13">
        <f t="shared" ca="1" si="27"/>
        <v>1</v>
      </c>
      <c r="CB35" s="13">
        <f t="shared" ca="1" si="28"/>
        <v>1</v>
      </c>
      <c r="CC35" s="13">
        <f t="shared" ca="1" si="49"/>
        <v>0</v>
      </c>
      <c r="CD35" s="13">
        <f ca="1">BY35+COUNTIFS($BZ$6:$BZ$53,BZ35,$CC$6:CC$53,"&gt;"&amp;CC35,$BC$6:$BC$53,INDEX(T_Equipos[Grupo],MATCH(BD35,T_Equipos[NombreEquipo],0)))</f>
        <v>3</v>
      </c>
      <c r="CE35" s="13" t="str">
        <f ca="1">IF(COUNTIFS($CD$6:$CD$53,CD35,$BC$6:$BC$53,INDEX(T_Equipos[Grupo],MATCH(BD35,T_Equipos[NombreEquipo],0)))=1,"-","P."&amp;CD35&amp;" ("&amp;COUNTIFS($CD$6:$CD$53,CD35,$BC$6:$BC$53,INDEX(T_Equipos[Grupo],MATCH(BD35,T_Equipos[NombreEquipo],0)))&amp;")")</f>
        <v>P.3 (2)</v>
      </c>
      <c r="CF35" s="13">
        <f t="shared" ca="1" si="29"/>
        <v>1</v>
      </c>
      <c r="CG35" s="13">
        <f ca="1">CD35+COUNTIFS($CE$6:$CE$53,CE35,$CF$6:CF$53,"&gt;"&amp;CF35,$BC$6:$BC$53,INDEX(T_Equipos[Grupo],MATCH(BD35,T_Equipos[NombreEquipo],0)))</f>
        <v>3</v>
      </c>
      <c r="CH35" s="13" t="str">
        <f ca="1">IF(COUNTIFS($CG$6:$CG$53,CG35,$BC$6:$BC$53,INDEX(T_Equipos[Grupo],MATCH(BD35,T_Equipos[NombreEquipo],0)))=1,"-","P."&amp;CG35&amp;" ("&amp;COUNTIFS($CG$6:$CG$53,CG35,$BC$6:$BC$53,INDEX(T_Equipos[Grupo],MATCH(BD35,T_Equipos[NombreEquipo],0)))&amp;")")</f>
        <v>P.3 (2)</v>
      </c>
      <c r="CI35" s="13">
        <f t="shared" ca="1" si="30"/>
        <v>0</v>
      </c>
      <c r="CJ35" s="13">
        <f t="shared" ca="1" si="31"/>
        <v>1</v>
      </c>
      <c r="CK35" s="13">
        <f t="shared" ca="1" si="32"/>
        <v>0</v>
      </c>
      <c r="CL35" s="13">
        <f t="shared" ca="1" si="50"/>
        <v>1</v>
      </c>
      <c r="CM35" s="13">
        <f ca="1">CG35+COUNTIFS($CH$6:$CH$53,CH35,$CL$6:CL$53,"&gt;"&amp;CL35,$BC$6:$BC$53,INDEX(T_Equipos[Grupo],MATCH(BD35,T_Equipos[NombreEquipo],0)))</f>
        <v>3</v>
      </c>
      <c r="CN35" s="13" t="str">
        <f ca="1">IF(COUNTIFS($CM$6:$CM$53,CM35,$BC$6:$BC$53,INDEX(T_Equipos[Grupo],MATCH(BD35,T_Equipos[NombreEquipo],0)))=1,"-","P."&amp;CM35&amp;" ("&amp;COUNTIFS($CM$6:$CM$53,CM35,$BC$6:$BC$53,INDEX(T_Equipos[Grupo],MATCH(BD35,T_Equipos[NombreEquipo],0)))&amp;")")</f>
        <v>P.3 (2)</v>
      </c>
      <c r="CO35" s="13">
        <f t="shared" ca="1" si="33"/>
        <v>1</v>
      </c>
      <c r="CP35" s="13">
        <f t="shared" ca="1" si="34"/>
        <v>1</v>
      </c>
      <c r="CQ35" s="13">
        <f t="shared" ca="1" si="51"/>
        <v>0</v>
      </c>
      <c r="CR35" s="13">
        <f ca="1">CM35+COUNTIFS($CN$6:$CN$53,CN35,$CQ$6:CQ$53,"&gt;"&amp;CQ35,$BC$6:$BC$53,INDEX(T_Equipos[Grupo],MATCH(BD35,T_Equipos[NombreEquipo],0)))</f>
        <v>3</v>
      </c>
      <c r="CS35" s="13" t="str">
        <f ca="1">IF(COUNTIFS($CR$6:$CR$53,CR35,$BC$6:$BC$53,INDEX(T_Equipos[Grupo],MATCH(BD35,T_Equipos[NombreEquipo],0)))=1,"-","P."&amp;CR35&amp;" ("&amp;COUNTIFS($CR$6:$CR$53,CR35,$BC$6:$BC$53,INDEX(T_Equipos[Grupo],MATCH(BD35,T_Equipos[NombreEquipo],0)))&amp;")")</f>
        <v>P.3 (2)</v>
      </c>
      <c r="CT35" s="13">
        <f t="shared" ca="1" si="35"/>
        <v>1</v>
      </c>
      <c r="CU35" s="13">
        <f ca="1">CR35+COUNTIFS($CS$6:$CS$53,CS35,$CT$6:CT$53,"&gt;"&amp;CT35,$BC$6:$BC$53,INDEX(T_Equipos[Grupo],MATCH(BD35,T_Equipos[NombreEquipo],0)))</f>
        <v>3</v>
      </c>
      <c r="CV35" s="13" t="str">
        <f ca="1">IF(COUNTIFS($CU$6:$CU$53,CU35,$BC$6:$BC$53,INDEX(T_Equipos[Grupo],MATCH(BD35,T_Equipos[NombreEquipo],0)))=1,"-","P."&amp;CU35&amp;" ("&amp;COUNTIFS($CU$6:$CU$53,CU35,$BC$6:$BC$53,INDEX(T_Equipos[Grupo],MATCH(BD35,T_Equipos[NombreEquipo],0)))&amp;")")</f>
        <v>P.3 (2)</v>
      </c>
      <c r="CW35" s="13">
        <f t="shared" ca="1" si="36"/>
        <v>-5</v>
      </c>
      <c r="CX35" s="13">
        <f ca="1">CU35+COUNTIFS($CV$6:$CV$53,CV35,$CW$6:CW$53,"&gt;"&amp;CW35,$BC$6:$BC$53,INDEX(T_Equipos[Grupo],MATCH(BD35,T_Equipos[NombreEquipo],0)))</f>
        <v>3</v>
      </c>
      <c r="CY35" s="13" t="str">
        <f ca="1">IF(COUNTIFS($CX$6:$CX$53,CX35,$BC$6:$BC$53,INDEX(T_Equipos[Grupo],MATCH(BD35,T_Equipos[NombreEquipo],0)))=1,"-","P."&amp;CX35&amp;" ("&amp;COUNTIFS($CX$6:$CX$53,CX35,$BC$6:$BC$53,INDEX(T_Equipos[Grupo],MATCH(BD35,T_Equipos[NombreEquipo],0)))&amp;")")</f>
        <v>P.3 (2)</v>
      </c>
      <c r="CZ35" s="13">
        <f t="shared" ca="1" si="37"/>
        <v>1</v>
      </c>
      <c r="DA35" s="13">
        <f ca="1">CX35+COUNTIFS($CY$6:$CY$53,CY35,$CZ$6:CZ$53,"&gt;"&amp;CZ35,$BC$6:$BC$53,INDEX(T_Equipos[Grupo],MATCH(BD35,T_Equipos[NombreEquipo],0)))</f>
        <v>3</v>
      </c>
      <c r="DB35" s="13" t="str">
        <f ca="1">IF(COUNTIFS($DA$6:$DA$53,DA35,$BC$6:$BC$53,INDEX(T_Equipos[Grupo],MATCH(BD35,T_Equipos[NombreEquipo],0)))=1,"-","P."&amp;DA35&amp;" ("&amp;COUNTIFS($DA$6:$DA$53,DA35,$BC$6:$BC$53,INDEX(T_Equipos[Grupo],MATCH(BD35,T_Equipos[NombreEquipo],0)))&amp;")")</f>
        <v>P.3 (2)</v>
      </c>
      <c r="DC35" s="13">
        <f ca="1">IF(DB35="-","-",COUNTIFS(T_Equipos[Rank],"&lt;"&amp;INDEX(T_Equipos[Rank],MATCH(BD35,T_Equipos[NombreEquipo],0)),$BC$6:$BC$53,INDEX(T_Equipos[Grupo],MATCH(BD35,T_Equipos[NombreEquipo],0)))+1)</f>
        <v>2</v>
      </c>
      <c r="DD35" s="13">
        <f ca="1">DA35+COUNTIFS($DB$6:$DB$53,DB35,$DC$6:DC$53,"&lt;"&amp;DC35,$BC$6:$BC$53,INDEX(T_Equipos[Grupo],MATCH(BD35,T_Equipos[NombreEquipo],0)))</f>
        <v>3</v>
      </c>
      <c r="DE35" s="13"/>
      <c r="DF35" s="13">
        <f t="shared" ca="1" si="52"/>
        <v>4.0030000000000001</v>
      </c>
      <c r="DG35" s="13">
        <f ca="1">IF(DB35="-","-",COUNTIFS(DF$6:DF$53,"&lt;"&amp;DF35,$BC$6:$BC$53,INDEX(T_Equipos[Grupo],MATCH(BD35,T_Equipos[NombreEquipo],0))))</f>
        <v>3</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3</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1</v>
      </c>
      <c r="BF36" s="13">
        <f t="shared" ca="1" si="41"/>
        <v>3</v>
      </c>
      <c r="BG36" s="13">
        <f t="shared" ca="1" si="17"/>
        <v>0</v>
      </c>
      <c r="BH36" s="13">
        <f t="shared" ca="1" si="18"/>
        <v>1</v>
      </c>
      <c r="BI36" s="13">
        <f t="shared" ca="1" si="19"/>
        <v>2</v>
      </c>
      <c r="BJ36" s="13">
        <f t="shared" ca="1" si="20"/>
        <v>1</v>
      </c>
      <c r="BK36" s="13">
        <f t="shared" ca="1" si="21"/>
        <v>6</v>
      </c>
      <c r="BL36" s="13">
        <f t="shared" ca="1" si="42"/>
        <v>-5</v>
      </c>
      <c r="BM36" s="13" t="str">
        <f t="shared" ca="1" si="22"/>
        <v>4H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1</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P.3 (2)</v>
      </c>
      <c r="BU36" s="13">
        <f t="shared" ca="1" si="24"/>
        <v>0</v>
      </c>
      <c r="BV36" s="13">
        <f t="shared" ca="1" si="25"/>
        <v>1</v>
      </c>
      <c r="BW36" s="13">
        <f t="shared" ca="1" si="26"/>
        <v>0</v>
      </c>
      <c r="BX36" s="13">
        <f t="shared" ca="1" si="48"/>
        <v>1</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P.3 (2)</v>
      </c>
      <c r="CA36" s="13">
        <f t="shared" ca="1" si="27"/>
        <v>1</v>
      </c>
      <c r="CB36" s="13">
        <f t="shared" ca="1" si="28"/>
        <v>1</v>
      </c>
      <c r="CC36" s="13">
        <f t="shared" ca="1" si="49"/>
        <v>0</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P.3 (2)</v>
      </c>
      <c r="CF36" s="13">
        <f t="shared" ca="1" si="29"/>
        <v>1</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P.3 (2)</v>
      </c>
      <c r="CI36" s="13">
        <f t="shared" ca="1" si="30"/>
        <v>0</v>
      </c>
      <c r="CJ36" s="13">
        <f t="shared" ca="1" si="31"/>
        <v>1</v>
      </c>
      <c r="CK36" s="13">
        <f t="shared" ca="1" si="32"/>
        <v>0</v>
      </c>
      <c r="CL36" s="13">
        <f t="shared" ca="1" si="50"/>
        <v>1</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P.3 (2)</v>
      </c>
      <c r="CO36" s="13">
        <f t="shared" ca="1" si="33"/>
        <v>1</v>
      </c>
      <c r="CP36" s="13">
        <f t="shared" ca="1" si="34"/>
        <v>1</v>
      </c>
      <c r="CQ36" s="13">
        <f t="shared" ca="1" si="51"/>
        <v>0</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P.3 (2)</v>
      </c>
      <c r="CT36" s="13">
        <f t="shared" ca="1" si="35"/>
        <v>1</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P.3 (2)</v>
      </c>
      <c r="CW36" s="13">
        <f t="shared" ca="1" si="36"/>
        <v>-5</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P.3 (2)</v>
      </c>
      <c r="CZ36" s="13">
        <f t="shared" ca="1" si="37"/>
        <v>1</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P.3 (2)</v>
      </c>
      <c r="DC36" s="13">
        <f ca="1">IF(DB36="-","-",COUNTIFS(T_Equipos[Rank],"&lt;"&amp;INDEX(T_Equipos[Rank],MATCH(BD36,T_Equipos[NombreEquipo],0)),$BC$6:$BC$53,INDEX(T_Equipos[Grupo],MATCH(BD36,T_Equipos[NombreEquipo],0)))+1)</f>
        <v>3</v>
      </c>
      <c r="DD36" s="13">
        <f ca="1">DA36+COUNTIFS($DB$6:$DB$53,DB36,$DC$6:DC$53,"&lt;"&amp;DC36,$BC$6:$BC$53,INDEX(T_Equipos[Grupo],MATCH(BD36,T_Equipos[NombreEquipo],0)))</f>
        <v>4</v>
      </c>
      <c r="DE36" s="13"/>
      <c r="DF36" s="13">
        <f t="shared" ca="1" si="52"/>
        <v>3.004</v>
      </c>
      <c r="DG36" s="13">
        <f ca="1">IF(DB36="-","-",COUNTIFS(DF$6:DF$53,"&lt;"&amp;DF36,$BC$6:$BC$53,INDEX(T_Equipos[Grupo],MATCH(BD36,T_Equipos[NombreEquipo],0))))</f>
        <v>2</v>
      </c>
      <c r="DH36" s="13">
        <f ca="1">DA36+COUNTIFS(DB$6:DB$53,DB36,DG$6:DG$53,"&lt;"&amp;DG36,$BC$6:$BC$53,INDEX(T_Equipos[Grupo],MATCH(BD36,T_Equipos[NombreEquipo],0)))</f>
        <v>3</v>
      </c>
      <c r="DI36" s="13"/>
      <c r="DJ36" s="13">
        <f t="shared" ca="1" si="38"/>
        <v>3</v>
      </c>
      <c r="DK36" s="13">
        <f t="shared" ca="1" si="39"/>
        <v>12</v>
      </c>
      <c r="DL36" s="13">
        <f t="shared" ca="1" si="40"/>
        <v>2</v>
      </c>
      <c r="DM36" s="13" t="str">
        <f t="shared" ca="1" si="46"/>
        <v>3.2</v>
      </c>
      <c r="DN36" s="13" t="e" cm="1" vm="19">
        <f t="array" aca="1" ref="DN36" ca="1">OFFSET(Horarios!$P$3,DJ36-1,0,DL36,1)</f>
        <v>#VALUE!</v>
      </c>
      <c r="DO36" s="13"/>
      <c r="DP36" s="13" t="s">
        <v>446</v>
      </c>
      <c r="DQ36" s="13" t="str">
        <f t="shared" ca="1" si="47"/>
        <v>Cabo Verde</v>
      </c>
    </row>
    <row r="37" spans="1:121" ht="16.05" customHeight="1">
      <c r="A37" s="13" t="str">
        <f ca="1">+Equipos!B18</f>
        <v>Alemania</v>
      </c>
      <c r="B37" s="13"/>
      <c r="C37" s="13"/>
      <c r="D37" s="13" t="str">
        <f t="shared" si="111"/>
        <v>Empate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91"/>
      <c r="X37" s="21">
        <f ca="1">Horarios!C37</f>
        <v>46187.791666666664</v>
      </c>
      <c r="Y37" s="22">
        <f ca="1">Horarios!C37</f>
        <v>46187.791666666664</v>
      </c>
      <c r="Z37" s="23" t="str">
        <f>$Z$4</f>
        <v>J1</v>
      </c>
      <c r="AA37" s="24" t="str">
        <f ca="1">A39</f>
        <v>Costa de Marfil</v>
      </c>
      <c r="AB37" s="46" t="e" cm="1" vm="20">
        <f t="array" aca="1" ref="AB37" ca="1">Ver_flag_local</f>
        <v>#VALUE!</v>
      </c>
      <c r="AC37" s="47">
        <v>1</v>
      </c>
      <c r="AD37" s="48">
        <v>1</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5</v>
      </c>
      <c r="BK37" s="13">
        <f t="shared" ca="1" si="21"/>
        <v>2</v>
      </c>
      <c r="BL37" s="13">
        <f t="shared" ca="1" si="42"/>
        <v>3</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3</v>
      </c>
      <c r="DK37" s="13">
        <f t="shared" ca="1" si="39"/>
        <v>12</v>
      </c>
      <c r="DL37" s="13">
        <f t="shared" ca="1" si="40"/>
        <v>2</v>
      </c>
      <c r="DM37" s="13" t="str">
        <f t="shared" ca="1" si="46"/>
        <v>3.2</v>
      </c>
      <c r="DN37" s="13" t="e" cm="1" vm="19">
        <f t="array" aca="1" ref="DN37" ca="1">OFFSET(Horarios!$P$3,DJ37-1,0,DL37,1)</f>
        <v>#VALUE!</v>
      </c>
      <c r="DO37" s="13"/>
      <c r="DP37" s="13" t="s">
        <v>684</v>
      </c>
      <c r="DQ37" s="13" t="str">
        <f t="shared" ca="1" si="47"/>
        <v>Arabia Saudita</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2</v>
      </c>
      <c r="AD38" s="48">
        <v>1</v>
      </c>
      <c r="AE38" s="582" t="e" cm="1" vm="20">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6</v>
      </c>
      <c r="AS38" s="33">
        <f t="shared" ca="1" si="127"/>
        <v>1</v>
      </c>
      <c r="AT38" s="38">
        <f t="shared" ca="1" si="127"/>
        <v>5</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9</v>
      </c>
      <c r="BK38" s="13">
        <f t="shared" ca="1" si="21"/>
        <v>3</v>
      </c>
      <c r="BL38" s="13">
        <f t="shared" ca="1" si="42"/>
        <v>6</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91"/>
      <c r="X39" s="21">
        <f ca="1">Horarios!C39</f>
        <v>46193.833333333336</v>
      </c>
      <c r="Y39" s="22">
        <f ca="1">Horarios!C39</f>
        <v>46193.833333333336</v>
      </c>
      <c r="Z39" s="23" t="str">
        <f>$Z$6</f>
        <v>J2</v>
      </c>
      <c r="AA39" s="24" t="str">
        <f ca="1">A40</f>
        <v>Ecuador</v>
      </c>
      <c r="AB39" s="46" t="e" cm="1" vm="21">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1">
        <f t="array" aca="1" ref="AK39" ca="1">Ver_flag_visit</f>
        <v>#VALUE!</v>
      </c>
      <c r="AL39" s="34" t="str">
        <f ca="1">IFERROR(INDEX($BD$6:$BD$53,MATCH(AI39,$BN$6:$BN$53,0)),"")</f>
        <v>Ecuador</v>
      </c>
      <c r="AM39" s="35">
        <f t="shared" ca="1" si="127"/>
        <v>4</v>
      </c>
      <c r="AN39" s="36">
        <f t="shared" ca="1" si="127"/>
        <v>3</v>
      </c>
      <c r="AO39" s="36">
        <f t="shared" ca="1" si="127"/>
        <v>1</v>
      </c>
      <c r="AP39" s="36">
        <f t="shared" ca="1" si="127"/>
        <v>1</v>
      </c>
      <c r="AQ39" s="36">
        <f t="shared" ca="1" si="127"/>
        <v>1</v>
      </c>
      <c r="AR39" s="36">
        <f t="shared" ca="1" si="127"/>
        <v>3</v>
      </c>
      <c r="AS39" s="36">
        <f t="shared" ca="1" si="127"/>
        <v>2</v>
      </c>
      <c r="AT39" s="40">
        <f t="shared" ca="1" si="127"/>
        <v>1</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5</v>
      </c>
      <c r="BK39" s="13">
        <f t="shared" ca="1" si="21"/>
        <v>4</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2</v>
      </c>
      <c r="CB39" s="13">
        <f t="shared" ca="1" si="28"/>
        <v>2</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2</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2</v>
      </c>
      <c r="CP39" s="13">
        <f t="shared" ca="1" si="34"/>
        <v>2</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2</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1</v>
      </c>
      <c r="CX39" s="13">
        <f ca="1">CU39+COUNTIFS($CV$6:$CV$53,CV39,$CW$6:CW$53,"&gt;"&amp;CW39,$BC$6:$BC$53,INDEX(T_Equipos[Grupo],MATCH(BD39,T_Equipos[NombreEquipo],0)))</f>
        <v>2</v>
      </c>
      <c r="CY39" s="13" t="str">
        <f ca="1">IF(COUNTIFS($CX$6:$CX$53,CX39,$BC$6:$BC$53,INDEX(T_Equipos[Grupo],MATCH(BD39,T_Equipos[NombreEquipo],0)))=1,"-","P."&amp;CX39&amp;" ("&amp;COUNTIFS($CX$6:$CX$53,CX39,$BC$6:$BC$53,INDEX(T_Equipos[Grupo],MATCH(BD39,T_Equipos[NombreEquipo],0)))&amp;")")</f>
        <v>P.2 (2)</v>
      </c>
      <c r="CZ39" s="13">
        <f t="shared" ca="1" si="37"/>
        <v>5</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Empate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1</v>
      </c>
      <c r="AD40" s="48">
        <v>1</v>
      </c>
      <c r="AE40" s="582" t="e" cm="1" vm="20">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Costa de Marfil</v>
      </c>
      <c r="AM40" s="35">
        <f t="shared" ca="1" si="127"/>
        <v>2</v>
      </c>
      <c r="AN40" s="36">
        <f t="shared" ca="1" si="127"/>
        <v>3</v>
      </c>
      <c r="AO40" s="36">
        <f t="shared" ca="1" si="127"/>
        <v>0</v>
      </c>
      <c r="AP40" s="36">
        <f t="shared" ca="1" si="127"/>
        <v>2</v>
      </c>
      <c r="AQ40" s="36">
        <f t="shared" ca="1" si="127"/>
        <v>1</v>
      </c>
      <c r="AR40" s="36">
        <f t="shared" ca="1" si="127"/>
        <v>3</v>
      </c>
      <c r="AS40" s="36">
        <f t="shared" ca="1" si="127"/>
        <v>4</v>
      </c>
      <c r="AT40" s="40">
        <f t="shared" ca="1" si="127"/>
        <v>-1</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8</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92"/>
      <c r="X41" s="25">
        <f ca="1">Horarios!C41</f>
        <v>46198.666666666664</v>
      </c>
      <c r="Y41" s="26">
        <f ca="1">Horarios!C41</f>
        <v>46198.666666666664</v>
      </c>
      <c r="Z41" s="27" t="str">
        <f>$Z$8</f>
        <v>J3</v>
      </c>
      <c r="AA41" s="28" t="str">
        <f ca="1">A40</f>
        <v>Ecuador</v>
      </c>
      <c r="AB41" s="49" t="e" cm="1" vm="21">
        <f t="array" aca="1" ref="AB41" ca="1">Ver_flag_local</f>
        <v>#VALUE!</v>
      </c>
      <c r="AC41" s="50">
        <v>0</v>
      </c>
      <c r="AD41" s="51">
        <v>1</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1</v>
      </c>
      <c r="AN41" s="44">
        <f t="shared" ca="1" si="127"/>
        <v>3</v>
      </c>
      <c r="AO41" s="44">
        <f t="shared" ca="1" si="127"/>
        <v>0</v>
      </c>
      <c r="AP41" s="44">
        <f t="shared" ca="1" si="127"/>
        <v>1</v>
      </c>
      <c r="AQ41" s="44">
        <f t="shared" ca="1" si="127"/>
        <v>2</v>
      </c>
      <c r="AR41" s="44">
        <f t="shared" ca="1" si="127"/>
        <v>1</v>
      </c>
      <c r="AS41" s="44">
        <f t="shared" ca="1" si="127"/>
        <v>6</v>
      </c>
      <c r="AT41" s="45">
        <f t="shared" ca="1" si="127"/>
        <v>-5</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6</v>
      </c>
      <c r="BK41" s="13">
        <f t="shared" ca="1" si="21"/>
        <v>5</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2</v>
      </c>
      <c r="CB41" s="13">
        <f t="shared" ca="1" si="28"/>
        <v>2</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2</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2</v>
      </c>
      <c r="CP41" s="13">
        <f t="shared" ca="1" si="34"/>
        <v>2</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2</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P.2 (2)</v>
      </c>
      <c r="CZ41" s="13">
        <f t="shared" ca="1" si="37"/>
        <v>6</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1</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6</v>
      </c>
      <c r="BF43" s="13">
        <f t="shared" ca="1" si="41"/>
        <v>3</v>
      </c>
      <c r="BG43" s="13">
        <f t="shared" ca="1" si="17"/>
        <v>2</v>
      </c>
      <c r="BH43" s="13">
        <f t="shared" ca="1" si="18"/>
        <v>0</v>
      </c>
      <c r="BI43" s="13">
        <f t="shared" ca="1" si="19"/>
        <v>1</v>
      </c>
      <c r="BJ43" s="13">
        <f t="shared" ca="1" si="20"/>
        <v>3</v>
      </c>
      <c r="BK43" s="13">
        <f t="shared" ca="1" si="21"/>
        <v>3</v>
      </c>
      <c r="BL43" s="13">
        <f t="shared" ca="1" si="42"/>
        <v>0</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6</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54" t="s">
        <v>4</v>
      </c>
      <c r="X44" s="21">
        <f ca="1">Horarios!C44</f>
        <v>46187.666666666664</v>
      </c>
      <c r="Y44" s="22">
        <f ca="1">Horarios!C44</f>
        <v>46187.666666666664</v>
      </c>
      <c r="Z44" s="23" t="str">
        <f>$Z$4</f>
        <v>J1</v>
      </c>
      <c r="AA44" s="24" t="str">
        <f ca="1">A45</f>
        <v>Países Bajos</v>
      </c>
      <c r="AB44" s="46" t="e" cm="1" vm="22">
        <f t="array" aca="1" ref="AB44" ca="1">Ver_flag_local</f>
        <v>#VALUE!</v>
      </c>
      <c r="AC44" s="47">
        <v>2</v>
      </c>
      <c r="AD44" s="48">
        <v>2</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1</v>
      </c>
      <c r="BF44" s="13">
        <f t="shared" ca="1" si="41"/>
        <v>3</v>
      </c>
      <c r="BG44" s="13">
        <f t="shared" ca="1" si="17"/>
        <v>0</v>
      </c>
      <c r="BH44" s="13">
        <f t="shared" ca="1" si="18"/>
        <v>1</v>
      </c>
      <c r="BI44" s="13">
        <f t="shared" ca="1" si="19"/>
        <v>2</v>
      </c>
      <c r="BJ44" s="13">
        <f t="shared" ca="1" si="20"/>
        <v>1</v>
      </c>
      <c r="BK44" s="13">
        <f t="shared" ca="1" si="21"/>
        <v>4</v>
      </c>
      <c r="BL44" s="13">
        <f t="shared" ca="1" si="42"/>
        <v>-3</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1</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P.3 (2)</v>
      </c>
      <c r="BU44" s="13">
        <f t="shared" ca="1" si="24"/>
        <v>0</v>
      </c>
      <c r="BV44" s="13">
        <f t="shared" ca="1" si="25"/>
        <v>1</v>
      </c>
      <c r="BW44" s="13">
        <f t="shared" ca="1" si="26"/>
        <v>0</v>
      </c>
      <c r="BX44" s="13">
        <f t="shared" ca="1" si="48"/>
        <v>1</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P.3 (2)</v>
      </c>
      <c r="CA44" s="13">
        <f t="shared" ca="1" si="27"/>
        <v>0</v>
      </c>
      <c r="CB44" s="13">
        <f t="shared" ca="1" si="28"/>
        <v>0</v>
      </c>
      <c r="CC44" s="13">
        <f t="shared" ca="1" si="49"/>
        <v>0</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P.3 (2)</v>
      </c>
      <c r="CF44" s="13">
        <f t="shared" ca="1" si="29"/>
        <v>0</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P.3 (2)</v>
      </c>
      <c r="CI44" s="13">
        <f t="shared" ca="1" si="30"/>
        <v>0</v>
      </c>
      <c r="CJ44" s="13">
        <f t="shared" ca="1" si="31"/>
        <v>1</v>
      </c>
      <c r="CK44" s="13">
        <f t="shared" ca="1" si="32"/>
        <v>0</v>
      </c>
      <c r="CL44" s="13">
        <f t="shared" ca="1" si="50"/>
        <v>1</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P.3 (2)</v>
      </c>
      <c r="CO44" s="13">
        <f t="shared" ca="1" si="33"/>
        <v>0</v>
      </c>
      <c r="CP44" s="13">
        <f t="shared" ca="1" si="34"/>
        <v>0</v>
      </c>
      <c r="CQ44" s="13">
        <f t="shared" ca="1" si="51"/>
        <v>0</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P.3 (2)</v>
      </c>
      <c r="CT44" s="13">
        <f t="shared" ca="1" si="35"/>
        <v>0</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P.3 (2)</v>
      </c>
      <c r="CW44" s="13">
        <f t="shared" ca="1" si="36"/>
        <v>-3</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4">
        <f t="array" aca="1" ref="AB45" ca="1">Ver_flag_local</f>
        <v>#VALUE!</v>
      </c>
      <c r="AC45" s="47">
        <v>2</v>
      </c>
      <c r="AD45" s="48">
        <v>0</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1</v>
      </c>
      <c r="BK45" s="13">
        <f t="shared" ca="1" si="21"/>
        <v>5</v>
      </c>
      <c r="BL45" s="13">
        <f t="shared" ca="1" si="42"/>
        <v>-4</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3</v>
      </c>
      <c r="BT45" s="13" t="str">
        <f ca="1">IF(COUNTIFS($BS$6:$BS$53,BS45,$BC$6:$BC$53,INDEX(T_Equipos[Grupo],MATCH(BD45,T_Equipos[NombreEquipo],0)))=1,"-","P."&amp;BS45&amp;" ("&amp;COUNTIFS($BS$6:$BS$53,BS45,$BC$6:$BC$53,INDEX(T_Equipos[Grupo],MATCH(BD45,T_Equipos[NombreEquipo],0)))&amp;")")</f>
        <v>P.3 (2)</v>
      </c>
      <c r="BU45" s="13">
        <f t="shared" ca="1" si="24"/>
        <v>0</v>
      </c>
      <c r="BV45" s="13">
        <f t="shared" ca="1" si="25"/>
        <v>1</v>
      </c>
      <c r="BW45" s="13">
        <f t="shared" ca="1" si="26"/>
        <v>0</v>
      </c>
      <c r="BX45" s="13">
        <f t="shared" ca="1" si="48"/>
        <v>1</v>
      </c>
      <c r="BY45" s="13">
        <f ca="1">BS45+COUNTIFS($BT$6:$BT$53,BT45,$BX$6:BX$53,"&gt;"&amp;BX45,$BC$6:$BC$53,INDEX(T_Equipos[Grupo],MATCH(BD45,T_Equipos[NombreEquipo],0)))</f>
        <v>3</v>
      </c>
      <c r="BZ45" s="13" t="str">
        <f ca="1">IF(COUNTIFS($BY$6:$BY$53,BY45,$BC$6:$BC$53,INDEX(T_Equipos[Grupo],MATCH(BD45,T_Equipos[NombreEquipo],0)))=1,"-","P."&amp;BY45&amp;" ("&amp;COUNTIFS($BY$6:$BY$53,BY45,$BC$6:$BC$53,INDEX(T_Equipos[Grupo],MATCH(BD45,T_Equipos[NombreEquipo],0)))&amp;")")</f>
        <v>P.3 (2)</v>
      </c>
      <c r="CA45" s="13">
        <f t="shared" ca="1" si="27"/>
        <v>0</v>
      </c>
      <c r="CB45" s="13">
        <f t="shared" ca="1" si="28"/>
        <v>0</v>
      </c>
      <c r="CC45" s="13">
        <f t="shared" ca="1" si="49"/>
        <v>0</v>
      </c>
      <c r="CD45" s="13">
        <f ca="1">BY45+COUNTIFS($BZ$6:$BZ$53,BZ45,$CC$6:CC$53,"&gt;"&amp;CC45,$BC$6:$BC$53,INDEX(T_Equipos[Grupo],MATCH(BD45,T_Equipos[NombreEquipo],0)))</f>
        <v>3</v>
      </c>
      <c r="CE45" s="13" t="str">
        <f ca="1">IF(COUNTIFS($CD$6:$CD$53,CD45,$BC$6:$BC$53,INDEX(T_Equipos[Grupo],MATCH(BD45,T_Equipos[NombreEquipo],0)))=1,"-","P."&amp;CD45&amp;" ("&amp;COUNTIFS($CD$6:$CD$53,CD45,$BC$6:$BC$53,INDEX(T_Equipos[Grupo],MATCH(BD45,T_Equipos[NombreEquipo],0)))&amp;")")</f>
        <v>P.3 (2)</v>
      </c>
      <c r="CF45" s="13">
        <f t="shared" ca="1" si="29"/>
        <v>0</v>
      </c>
      <c r="CG45" s="13">
        <f ca="1">CD45+COUNTIFS($CE$6:$CE$53,CE45,$CF$6:CF$53,"&gt;"&amp;CF45,$BC$6:$BC$53,INDEX(T_Equipos[Grupo],MATCH(BD45,T_Equipos[NombreEquipo],0)))</f>
        <v>3</v>
      </c>
      <c r="CH45" s="13" t="str">
        <f ca="1">IF(COUNTIFS($CG$6:$CG$53,CG45,$BC$6:$BC$53,INDEX(T_Equipos[Grupo],MATCH(BD45,T_Equipos[NombreEquipo],0)))=1,"-","P."&amp;CG45&amp;" ("&amp;COUNTIFS($CG$6:$CG$53,CG45,$BC$6:$BC$53,INDEX(T_Equipos[Grupo],MATCH(BD45,T_Equipos[NombreEquipo],0)))&amp;")")</f>
        <v>P.3 (2)</v>
      </c>
      <c r="CI45" s="13">
        <f t="shared" ca="1" si="30"/>
        <v>0</v>
      </c>
      <c r="CJ45" s="13">
        <f t="shared" ca="1" si="31"/>
        <v>1</v>
      </c>
      <c r="CK45" s="13">
        <f t="shared" ca="1" si="32"/>
        <v>0</v>
      </c>
      <c r="CL45" s="13">
        <f t="shared" ca="1" si="50"/>
        <v>1</v>
      </c>
      <c r="CM45" s="13">
        <f ca="1">CG45+COUNTIFS($CH$6:$CH$53,CH45,$CL$6:CL$53,"&gt;"&amp;CL45,$BC$6:$BC$53,INDEX(T_Equipos[Grupo],MATCH(BD45,T_Equipos[NombreEquipo],0)))</f>
        <v>3</v>
      </c>
      <c r="CN45" s="13" t="str">
        <f ca="1">IF(COUNTIFS($CM$6:$CM$53,CM45,$BC$6:$BC$53,INDEX(T_Equipos[Grupo],MATCH(BD45,T_Equipos[NombreEquipo],0)))=1,"-","P."&amp;CM45&amp;" ("&amp;COUNTIFS($CM$6:$CM$53,CM45,$BC$6:$BC$53,INDEX(T_Equipos[Grupo],MATCH(BD45,T_Equipos[NombreEquipo],0)))&amp;")")</f>
        <v>P.3 (2)</v>
      </c>
      <c r="CO45" s="13">
        <f t="shared" ca="1" si="33"/>
        <v>0</v>
      </c>
      <c r="CP45" s="13">
        <f t="shared" ca="1" si="34"/>
        <v>0</v>
      </c>
      <c r="CQ45" s="13">
        <f t="shared" ca="1" si="51"/>
        <v>0</v>
      </c>
      <c r="CR45" s="13">
        <f ca="1">CM45+COUNTIFS($CN$6:$CN$53,CN45,$CQ$6:CQ$53,"&gt;"&amp;CQ45,$BC$6:$BC$53,INDEX(T_Equipos[Grupo],MATCH(BD45,T_Equipos[NombreEquipo],0)))</f>
        <v>3</v>
      </c>
      <c r="CS45" s="13" t="str">
        <f ca="1">IF(COUNTIFS($CR$6:$CR$53,CR45,$BC$6:$BC$53,INDEX(T_Equipos[Grupo],MATCH(BD45,T_Equipos[NombreEquipo],0)))=1,"-","P."&amp;CR45&amp;" ("&amp;COUNTIFS($CR$6:$CR$53,CR45,$BC$6:$BC$53,INDEX(T_Equipos[Grupo],MATCH(BD45,T_Equipos[NombreEquipo],0)))&amp;")")</f>
        <v>P.3 (2)</v>
      </c>
      <c r="CT45" s="13">
        <f t="shared" ca="1" si="35"/>
        <v>0</v>
      </c>
      <c r="CU45" s="13">
        <f ca="1">CR45+COUNTIFS($CS$6:$CS$53,CS45,$CT$6:CT$53,"&gt;"&amp;CT45,$BC$6:$BC$53,INDEX(T_Equipos[Grupo],MATCH(BD45,T_Equipos[NombreEquipo],0)))</f>
        <v>3</v>
      </c>
      <c r="CV45" s="13" t="str">
        <f ca="1">IF(COUNTIFS($CU$6:$CU$53,CU45,$BC$6:$BC$53,INDEX(T_Equipos[Grupo],MATCH(BD45,T_Equipos[NombreEquipo],0)))=1,"-","P."&amp;CU45&amp;" ("&amp;COUNTIFS($CU$6:$CU$53,CU45,$BC$6:$BC$53,INDEX(T_Equipos[Grupo],MATCH(BD45,T_Equipos[NombreEquipo],0)))&amp;")")</f>
        <v>P.3 (2)</v>
      </c>
      <c r="CW45" s="13">
        <f t="shared" ca="1" si="36"/>
        <v>-4</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54"/>
      <c r="X46" s="21">
        <f ca="1">Horarios!C46</f>
        <v>46193.541666666664</v>
      </c>
      <c r="Y46" s="22">
        <f ca="1">Horarios!C46</f>
        <v>46193.541666666664</v>
      </c>
      <c r="Z46" s="23" t="str">
        <f>$Z$6</f>
        <v>J2</v>
      </c>
      <c r="AA46" s="24" t="str">
        <f ca="1">A45</f>
        <v>Países Bajos</v>
      </c>
      <c r="AB46" s="46" t="e" cm="1" vm="22">
        <f t="array" aca="1" ref="AB46" ca="1">Ver_flag_local</f>
        <v>#VALUE!</v>
      </c>
      <c r="AC46" s="47">
        <v>2</v>
      </c>
      <c r="AD46" s="48">
        <v>1</v>
      </c>
      <c r="AE46" s="582" t="e" cm="1" vm="24">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7</v>
      </c>
      <c r="AS46" s="33">
        <f t="shared" ca="1" si="147"/>
        <v>3</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6</v>
      </c>
      <c r="BK46" s="13">
        <f t="shared" ca="1" si="21"/>
        <v>2</v>
      </c>
      <c r="BL46" s="13">
        <f t="shared" ca="1" si="42"/>
        <v>4</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1</v>
      </c>
      <c r="CB46" s="13">
        <f t="shared" ca="1" si="28"/>
        <v>1</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1</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1</v>
      </c>
      <c r="CP46" s="13">
        <f t="shared" ca="1" si="34"/>
        <v>1</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1</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4</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54"/>
      <c r="X47" s="21">
        <f ca="1">Horarios!C47</f>
        <v>46194</v>
      </c>
      <c r="Y47" s="22">
        <f ca="1">Horarios!C47</f>
        <v>46194</v>
      </c>
      <c r="Z47" s="23" t="str">
        <f>$Z$6</f>
        <v>J2</v>
      </c>
      <c r="AA47" s="24" t="str">
        <f ca="1">A48</f>
        <v>Túnez</v>
      </c>
      <c r="AB47" s="46" t="e" cm="1" vm="25">
        <f t="array" aca="1" ref="AB47" ca="1">Ver_flag_local</f>
        <v>#VALUE!</v>
      </c>
      <c r="AC47" s="47">
        <v>1</v>
      </c>
      <c r="AD47" s="48">
        <v>2</v>
      </c>
      <c r="AE47" s="582" t="e" cm="1" vm="23">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Japón</v>
      </c>
      <c r="AM47" s="35">
        <f t="shared" ca="1" si="147"/>
        <v>7</v>
      </c>
      <c r="AN47" s="36">
        <f t="shared" ca="1" si="147"/>
        <v>3</v>
      </c>
      <c r="AO47" s="36">
        <f t="shared" ca="1" si="147"/>
        <v>2</v>
      </c>
      <c r="AP47" s="36">
        <f t="shared" ca="1" si="147"/>
        <v>1</v>
      </c>
      <c r="AQ47" s="36">
        <f t="shared" ca="1" si="147"/>
        <v>0</v>
      </c>
      <c r="AR47" s="36">
        <f t="shared" ca="1" si="147"/>
        <v>6</v>
      </c>
      <c r="AS47" s="36">
        <f t="shared" ca="1" si="147"/>
        <v>4</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1</v>
      </c>
      <c r="BK47" s="13">
        <f t="shared" ca="1" si="21"/>
        <v>5</v>
      </c>
      <c r="BL47" s="13">
        <f t="shared" ca="1" si="42"/>
        <v>-4</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0</v>
      </c>
      <c r="CB47" s="13">
        <f t="shared" ca="1" si="28"/>
        <v>0</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0</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0</v>
      </c>
      <c r="CP47" s="13">
        <f t="shared" ca="1" si="34"/>
        <v>0</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0</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-4</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54"/>
      <c r="X48" s="21">
        <f ca="1">Horarios!C48</f>
        <v>46198.791666666664</v>
      </c>
      <c r="Y48" s="22">
        <f ca="1">Horarios!C48</f>
        <v>46198.791666666664</v>
      </c>
      <c r="Z48" s="23" t="str">
        <f>$Z$8</f>
        <v>J3</v>
      </c>
      <c r="AA48" s="24" t="str">
        <f ca="1">A46</f>
        <v>Japón</v>
      </c>
      <c r="AB48" s="46" t="e" cm="1" vm="23">
        <f t="array" aca="1" ref="AB48" ca="1">Ver_flag_local</f>
        <v>#VALUE!</v>
      </c>
      <c r="AC48" s="47">
        <v>2</v>
      </c>
      <c r="AD48" s="48">
        <v>1</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4</v>
      </c>
      <c r="AS48" s="36">
        <f t="shared" ca="1" si="147"/>
        <v>4</v>
      </c>
      <c r="AT48" s="40">
        <f t="shared" ca="1" si="147"/>
        <v>0</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1</v>
      </c>
      <c r="BK48" s="13">
        <f t="shared" ca="1" si="21"/>
        <v>4</v>
      </c>
      <c r="BL48" s="13">
        <f t="shared" ca="1" si="42"/>
        <v>-3</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0</v>
      </c>
      <c r="CB48" s="13">
        <f t="shared" ca="1" si="28"/>
        <v>0</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0</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0</v>
      </c>
      <c r="CP48" s="13">
        <f t="shared" ca="1" si="34"/>
        <v>0</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0</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-3</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55"/>
      <c r="X49" s="25">
        <f ca="1">Horarios!C49</f>
        <v>46198.791666666664</v>
      </c>
      <c r="Y49" s="26">
        <f ca="1">Horarios!C49</f>
        <v>46198.791666666664</v>
      </c>
      <c r="Z49" s="27" t="str">
        <f>$Z$8</f>
        <v>J3</v>
      </c>
      <c r="AA49" s="28" t="str">
        <f ca="1">A48</f>
        <v>Túnez</v>
      </c>
      <c r="AB49" s="49" t="e" cm="1" vm="25">
        <f t="array" aca="1" ref="AB49" ca="1">Ver_flag_local</f>
        <v>#VALUE!</v>
      </c>
      <c r="AC49" s="50">
        <v>0</v>
      </c>
      <c r="AD49" s="51">
        <v>3</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7</v>
      </c>
      <c r="AT49" s="45">
        <f t="shared" ca="1" si="147"/>
        <v>-6</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5</v>
      </c>
      <c r="BK49" s="13">
        <f t="shared" ca="1" si="21"/>
        <v>2</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1</v>
      </c>
      <c r="CB49" s="13">
        <f t="shared" ca="1" si="28"/>
        <v>1</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1</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1</v>
      </c>
      <c r="CP49" s="13">
        <f t="shared" ca="1" si="34"/>
        <v>1</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1</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3</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5</v>
      </c>
      <c r="BK50" s="13">
        <f t="shared" ca="1" si="21"/>
        <v>1</v>
      </c>
      <c r="BL50" s="13">
        <f t="shared" ca="1" si="42"/>
        <v>4</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(2)</v>
      </c>
      <c r="BU50" s="13">
        <f t="shared" ca="1" si="24"/>
        <v>0</v>
      </c>
      <c r="BV50" s="13">
        <f t="shared" ca="1" si="25"/>
        <v>1</v>
      </c>
      <c r="BW50" s="13">
        <f t="shared" ca="1" si="26"/>
        <v>0</v>
      </c>
      <c r="BX50" s="13">
        <f t="shared" ca="1" si="48"/>
        <v>1</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P.1 (2)</v>
      </c>
      <c r="CA50" s="13">
        <f t="shared" ca="1" si="27"/>
        <v>1</v>
      </c>
      <c r="CB50" s="13">
        <f t="shared" ca="1" si="28"/>
        <v>1</v>
      </c>
      <c r="CC50" s="13">
        <f t="shared" ca="1" si="49"/>
        <v>0</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P.1 (2)</v>
      </c>
      <c r="CF50" s="13">
        <f t="shared" ca="1" si="29"/>
        <v>1</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P.1 (2)</v>
      </c>
      <c r="CI50" s="13">
        <f t="shared" ca="1" si="30"/>
        <v>0</v>
      </c>
      <c r="CJ50" s="13">
        <f t="shared" ca="1" si="31"/>
        <v>1</v>
      </c>
      <c r="CK50" s="13">
        <f t="shared" ca="1" si="32"/>
        <v>0</v>
      </c>
      <c r="CL50" s="13">
        <f t="shared" ca="1" si="50"/>
        <v>1</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P.1 (2)</v>
      </c>
      <c r="CO50" s="13">
        <f t="shared" ca="1" si="33"/>
        <v>1</v>
      </c>
      <c r="CP50" s="13">
        <f t="shared" ca="1" si="34"/>
        <v>1</v>
      </c>
      <c r="CQ50" s="13">
        <f t="shared" ca="1" si="51"/>
        <v>0</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P.1 (2)</v>
      </c>
      <c r="CT50" s="13">
        <f t="shared" ca="1" si="35"/>
        <v>1</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P.1 (2)</v>
      </c>
      <c r="CW50" s="13">
        <f t="shared" ca="1" si="36"/>
        <v>4</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7</v>
      </c>
      <c r="BF51" s="13">
        <f t="shared" ca="1" si="41"/>
        <v>3</v>
      </c>
      <c r="BG51" s="13">
        <f t="shared" ca="1" si="17"/>
        <v>2</v>
      </c>
      <c r="BH51" s="13">
        <f t="shared" ca="1" si="18"/>
        <v>1</v>
      </c>
      <c r="BI51" s="13">
        <f t="shared" ca="1" si="19"/>
        <v>0</v>
      </c>
      <c r="BJ51" s="13">
        <f t="shared" ca="1" si="20"/>
        <v>5</v>
      </c>
      <c r="BK51" s="13">
        <f t="shared" ca="1" si="21"/>
        <v>2</v>
      </c>
      <c r="BL51" s="13">
        <f t="shared" ca="1" si="42"/>
        <v>3</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7</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(2)</v>
      </c>
      <c r="BU51" s="13">
        <f t="shared" ca="1" si="24"/>
        <v>0</v>
      </c>
      <c r="BV51" s="13">
        <f t="shared" ca="1" si="25"/>
        <v>1</v>
      </c>
      <c r="BW51" s="13">
        <f t="shared" ca="1" si="26"/>
        <v>0</v>
      </c>
      <c r="BX51" s="13">
        <f t="shared" ca="1" si="48"/>
        <v>1</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P.1 (2)</v>
      </c>
      <c r="CA51" s="13">
        <f t="shared" ca="1" si="27"/>
        <v>1</v>
      </c>
      <c r="CB51" s="13">
        <f t="shared" ca="1" si="28"/>
        <v>1</v>
      </c>
      <c r="CC51" s="13">
        <f t="shared" ca="1" si="49"/>
        <v>0</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P.1 (2)</v>
      </c>
      <c r="CF51" s="13">
        <f t="shared" ca="1" si="29"/>
        <v>1</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P.1 (2)</v>
      </c>
      <c r="CI51" s="13">
        <f t="shared" ca="1" si="30"/>
        <v>0</v>
      </c>
      <c r="CJ51" s="13">
        <f t="shared" ca="1" si="31"/>
        <v>1</v>
      </c>
      <c r="CK51" s="13">
        <f t="shared" ca="1" si="32"/>
        <v>0</v>
      </c>
      <c r="CL51" s="13">
        <f t="shared" ca="1" si="50"/>
        <v>1</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P.1 (2)</v>
      </c>
      <c r="CO51" s="13">
        <f t="shared" ca="1" si="33"/>
        <v>1</v>
      </c>
      <c r="CP51" s="13">
        <f t="shared" ca="1" si="34"/>
        <v>1</v>
      </c>
      <c r="CQ51" s="13">
        <f t="shared" ca="1" si="51"/>
        <v>0</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P.1 (2)</v>
      </c>
      <c r="CT51" s="13">
        <f t="shared" ca="1" si="35"/>
        <v>1</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P.1 (2)</v>
      </c>
      <c r="CW51" s="13">
        <f t="shared" ca="1" si="36"/>
        <v>3</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6">
        <f t="array" aca="1" ref="AB52" ca="1">Ver_flag_local</f>
        <v>#VALUE!</v>
      </c>
      <c r="AC52" s="47">
        <v>2</v>
      </c>
      <c r="AD52" s="48">
        <v>1</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2</v>
      </c>
      <c r="BK52" s="13">
        <f t="shared" ca="1" si="21"/>
        <v>3</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8">
        <f t="array" aca="1" ref="AB53" ca="1">Ver_flag_local</f>
        <v>#VALUE!</v>
      </c>
      <c r="AC53" s="47">
        <v>1</v>
      </c>
      <c r="AD53" s="48">
        <v>1</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0</v>
      </c>
      <c r="BK53" s="13">
        <f t="shared" ca="1" si="21"/>
        <v>6</v>
      </c>
      <c r="BL53" s="13">
        <f t="shared" ca="1" si="42"/>
        <v>-6</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6">
        <f t="array" aca="1" ref="AB54" ca="1">Ver_flag_local</f>
        <v>#VALUE!</v>
      </c>
      <c r="AC54" s="47">
        <v>2</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2</v>
      </c>
      <c r="AT54" s="38">
        <f t="shared" ca="1" si="165"/>
        <v>5</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Empate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9">
        <f t="array" aca="1" ref="AB55" ca="1">Ver_flag_local</f>
        <v>#VALUE!</v>
      </c>
      <c r="AC55" s="47">
        <v>1</v>
      </c>
      <c r="AD55" s="48">
        <v>1</v>
      </c>
      <c r="AE55" s="582" t="e" cm="1" vm="27">
        <f t="array" aca="1" ref="AE55" ca="1">Ver_flag_visit</f>
        <v>#VALUE!</v>
      </c>
      <c r="AF55" s="29" t="str">
        <f ca="1">A54</f>
        <v>Egipto</v>
      </c>
      <c r="AG55" s="311">
        <f t="shared" si="162"/>
        <v>1</v>
      </c>
      <c r="AH55" s="188">
        <v>40</v>
      </c>
      <c r="AI55" s="177" t="str">
        <f t="shared" ref="AI55:AI57" si="166">AJ55&amp;$B$52</f>
        <v>2G</v>
      </c>
      <c r="AJ55" s="39">
        <v>2</v>
      </c>
      <c r="AK55" s="589" t="e" cm="1" vm="27">
        <f t="array" aca="1" ref="AK55" ca="1">Ver_flag_visit</f>
        <v>#VALUE!</v>
      </c>
      <c r="AL55" s="34" t="str">
        <f ca="1">IFERROR(INDEX($BD$6:$BD$53,MATCH(AI55,$BN$6:$BN$53,0)),"")</f>
        <v>Egipto</v>
      </c>
      <c r="AM55" s="35">
        <f t="shared" ca="1" si="165"/>
        <v>4</v>
      </c>
      <c r="AN55" s="36">
        <f t="shared" ca="1" si="165"/>
        <v>3</v>
      </c>
      <c r="AO55" s="36">
        <f t="shared" ca="1" si="165"/>
        <v>1</v>
      </c>
      <c r="AP55" s="36">
        <f t="shared" ca="1" si="165"/>
        <v>1</v>
      </c>
      <c r="AQ55" s="36">
        <f t="shared" ca="1" si="165"/>
        <v>1</v>
      </c>
      <c r="AR55" s="36">
        <f t="shared" ca="1" si="165"/>
        <v>3</v>
      </c>
      <c r="AS55" s="36">
        <f t="shared" ca="1" si="165"/>
        <v>3</v>
      </c>
      <c r="AT55" s="40">
        <f t="shared" ca="1" si="165"/>
        <v>0</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7">
        <f t="array" aca="1" ref="AB56" ca="1">Ver_flag_local</f>
        <v>#VALUE!</v>
      </c>
      <c r="AC56" s="47">
        <v>1</v>
      </c>
      <c r="AD56" s="48">
        <v>0</v>
      </c>
      <c r="AE56" s="582" t="e" cm="1" vm="28">
        <f t="array" aca="1" ref="AE56" ca="1">Ver_flag_visit</f>
        <v>#VALUE!</v>
      </c>
      <c r="AF56" s="29" t="str">
        <f ca="1">A55</f>
        <v>Irán</v>
      </c>
      <c r="AG56" s="311">
        <f t="shared" si="162"/>
        <v>1</v>
      </c>
      <c r="AH56" s="188">
        <v>63</v>
      </c>
      <c r="AI56" s="177" t="str">
        <f t="shared" si="166"/>
        <v>3G</v>
      </c>
      <c r="AJ56" s="39">
        <v>3</v>
      </c>
      <c r="AK56" s="589" t="e" cm="1" vm="29">
        <f t="array" aca="1" ref="AK56" ca="1">Ver_flag_visit</f>
        <v>#VALUE!</v>
      </c>
      <c r="AL56" s="34" t="str">
        <f ca="1">IFERROR(INDEX($BD$6:$BD$53,MATCH(AI56,$BN$6:$BN$53,0)),"")</f>
        <v>Nueva Zelanda</v>
      </c>
      <c r="AM56" s="35">
        <f t="shared" ca="1" si="165"/>
        <v>2</v>
      </c>
      <c r="AN56" s="36">
        <f t="shared" ca="1" si="165"/>
        <v>3</v>
      </c>
      <c r="AO56" s="36">
        <f t="shared" ca="1" si="165"/>
        <v>0</v>
      </c>
      <c r="AP56" s="36">
        <f t="shared" ca="1" si="165"/>
        <v>2</v>
      </c>
      <c r="AQ56" s="36">
        <f t="shared" ca="1" si="165"/>
        <v>1</v>
      </c>
      <c r="AR56" s="36">
        <f t="shared" ca="1" si="165"/>
        <v>3</v>
      </c>
      <c r="AS56" s="36">
        <f t="shared" ca="1" si="165"/>
        <v>5</v>
      </c>
      <c r="AT56" s="40">
        <f t="shared" ca="1" si="165"/>
        <v>-2</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9">
        <f t="array" aca="1" ref="AB57" ca="1">Ver_flag_local</f>
        <v>#VALUE!</v>
      </c>
      <c r="AC57" s="50">
        <v>1</v>
      </c>
      <c r="AD57" s="51">
        <v>3</v>
      </c>
      <c r="AE57" s="583" t="e" cm="1" vm="26">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Irán</v>
      </c>
      <c r="AM57" s="43">
        <f t="shared" ca="1" si="165"/>
        <v>1</v>
      </c>
      <c r="AN57" s="44">
        <f t="shared" ca="1" si="165"/>
        <v>3</v>
      </c>
      <c r="AO57" s="44">
        <f t="shared" ca="1" si="165"/>
        <v>0</v>
      </c>
      <c r="AP57" s="44">
        <f t="shared" ca="1" si="165"/>
        <v>1</v>
      </c>
      <c r="AQ57" s="44">
        <f t="shared" ca="1" si="165"/>
        <v>2</v>
      </c>
      <c r="AR57" s="44">
        <f t="shared" ca="1" si="165"/>
        <v>1</v>
      </c>
      <c r="AS57" s="44">
        <f t="shared" ca="1" si="165"/>
        <v>4</v>
      </c>
      <c r="AT57" s="45">
        <f t="shared" ca="1" si="165"/>
        <v>-3</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2</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0</v>
      </c>
      <c r="BH58" s="13">
        <f t="shared" ref="BH58:BH69" ca="1" si="170">CHOOSE(IF($BB$57=2, 2, 1),
  INDEX($BH$6:$BH$53,MATCH($BB58,$BN$6:$BN$53,0)),
  INDEX($BH$6:$BH$53,MATCH($BB58,$BN$6:$BN$53,0))-(COUNTIFS(FGLocal,$BD58,FGVisitante,INDEX($BD$6:$BD$53,MATCH(BO58,$BN$6:$BN$53,0)),Ganador,"Empate")+COUNTIFS(FGVisitante,$BD58,FGLocal,INDEX($BD$6:$BD$53,MATCH(BO58,$BN$6:$BN$53,0)),Ganador,"Empate"))
)</f>
        <v>2</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7</v>
      </c>
      <c r="BN58" s="13">
        <f ca="1">CF58</f>
        <v>7</v>
      </c>
      <c r="BO58" s="13" t="str">
        <f t="shared" ref="BO58:BO69" si="174">"4"&amp;BC58</f>
        <v>4A</v>
      </c>
      <c r="BP58" s="13"/>
      <c r="BQ58" s="13"/>
      <c r="BR58" s="13">
        <f t="shared" ref="BR58:BR69" ca="1" si="175">+BE58</f>
        <v>2</v>
      </c>
      <c r="BS58" s="13">
        <f ca="1">COUNTIFS(BR$58:BR$69,"&gt;"&amp;BR58)+1</f>
        <v>6</v>
      </c>
      <c r="BT58" s="13" t="str">
        <f ca="1">IF(COUNTIF(BS$58:BS$69,BS58)=1,"-","Pos. "&amp;BS58&amp;" ("&amp;COUNTIF(BS$58:BS$69,BS58)&amp;")")</f>
        <v>Pos. 6 (3)</v>
      </c>
      <c r="BU58" s="13">
        <f t="shared" ref="BU58:BU69" ca="1" si="176">IF(BT58="-","-",BL58)</f>
        <v>-1</v>
      </c>
      <c r="BV58" s="13">
        <f t="shared" ref="BV58:BV69" ca="1" si="177">BS58+COUNTIFS(BT$58:BT$69,BT58,BU$58:BU$69,"&gt;"&amp;BU58)</f>
        <v>6</v>
      </c>
      <c r="BW58" s="13" t="str">
        <f t="shared" ref="BW58:BW69" ca="1" si="178">IF(COUNTIF(BV$58:BV$69,BV58)=1,"-","Pos. "&amp;BV58&amp;" ("&amp;COUNTIF(BV$58:BV$69,BV58)&amp;")")</f>
        <v>Pos. 6 (2)</v>
      </c>
      <c r="BX58" s="13">
        <f t="shared" ref="BX58:BX69" ca="1" si="179">IF(BW58="-","-",BJ58)</f>
        <v>3</v>
      </c>
      <c r="BY58" s="13">
        <f t="shared" ref="BY58:BY69" ca="1" si="180">BV58+COUNTIFS(BW$58:BW$69,BW58,BX$58:BX$69,"&gt;"&amp;BX58)</f>
        <v>6</v>
      </c>
      <c r="BZ58" s="13" t="str">
        <f t="shared" ref="BZ58:BZ69" ca="1" si="181">IF(COUNTIF(BY$58:BY$69,BY58)=1,"-","Pos. "&amp;BY58&amp;" ("&amp;COUNTIF(BY$58:BY$69,BY58)&amp;")")</f>
        <v>Pos. 6 (2)</v>
      </c>
      <c r="CA58" s="13">
        <f t="shared" ref="CA58:CA69" ca="1" si="182">IF(BZ58="-","-",COUNTIF($BD$58:$BD$69,"&gt;"&amp;BD58))</f>
        <v>3</v>
      </c>
      <c r="CB58" s="13">
        <f ca="1">BY58+COUNTIFS(BZ$58:BZ$69,BZ58,CA$58:CA$69,"&gt;"&amp;CA58)</f>
        <v>7</v>
      </c>
      <c r="CC58" s="13"/>
      <c r="CD58" s="13">
        <f t="shared" ref="CD58:CD69" ca="1" si="183">IF(OR(INDEX($AW$102:$AW$113,MATCH($BD58,$AV$102:$AV$113,0))="",BZ58="-"),CB58,INDEX($AW$102:$AW$113,MATCH($BD58,$AV$102:$AV$113,0))+CB58/1000)</f>
        <v>7.0069999999999997</v>
      </c>
      <c r="CE58" s="13">
        <f ca="1">IF(BZ58="-","-",COUNTIF(CD$58:CD$69,"&lt;"&amp;CD58))</f>
        <v>6</v>
      </c>
      <c r="CF58" s="13">
        <f ca="1">BY58+COUNTIFS(BZ$58:BZ$69,BZ58,CE$58:CE$69,"&lt;"&amp;CE58)</f>
        <v>7</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Senegal</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1</v>
      </c>
      <c r="BF59" s="13">
        <f t="shared" ref="BF59:BF69" ca="1" si="189">+BG59+BH59+BI59</f>
        <v>3</v>
      </c>
      <c r="BG59" s="13">
        <f t="shared" ca="1" si="169"/>
        <v>0</v>
      </c>
      <c r="BH59" s="13">
        <f t="shared" ca="1" si="170"/>
        <v>1</v>
      </c>
      <c r="BI59" s="13">
        <f t="shared" ca="1" si="171"/>
        <v>2</v>
      </c>
      <c r="BJ59" s="13">
        <f t="shared" ca="1" si="172"/>
        <v>3</v>
      </c>
      <c r="BK59" s="13">
        <f t="shared" ca="1" si="173"/>
        <v>5</v>
      </c>
      <c r="BL59" s="13">
        <f t="shared" ref="BL59:BL69" ca="1" si="190">+BJ59-BK59</f>
        <v>-2</v>
      </c>
      <c r="BM59" s="13">
        <f t="shared" ref="BM59:BM69" ca="1" si="191">CB59</f>
        <v>9</v>
      </c>
      <c r="BN59" s="13">
        <f t="shared" ref="BN59:BN69" ca="1" si="192">CF59</f>
        <v>9</v>
      </c>
      <c r="BO59" s="13" t="str">
        <f t="shared" si="174"/>
        <v>4B</v>
      </c>
      <c r="BP59" s="13"/>
      <c r="BQ59" s="13"/>
      <c r="BR59" s="13">
        <f t="shared" ca="1" si="175"/>
        <v>1</v>
      </c>
      <c r="BS59" s="13">
        <f t="shared" ref="BS59:BS69" ca="1" si="193">COUNTIFS(BR$58:BR$69,"&gt;"&amp;BR59)+1</f>
        <v>9</v>
      </c>
      <c r="BT59" s="13" t="str">
        <f t="shared" ref="BT59:BT69" ca="1" si="194">IF(COUNTIF(BS$58:BS$69,BS59)=1,"-","Pos. "&amp;BS59&amp;" ("&amp;COUNTIF(BS$58:BS$69,BS59)&amp;")")</f>
        <v>Pos. 9 (4)</v>
      </c>
      <c r="BU59" s="13">
        <f t="shared" ca="1" si="176"/>
        <v>-2</v>
      </c>
      <c r="BV59" s="13">
        <f t="shared" ca="1" si="177"/>
        <v>9</v>
      </c>
      <c r="BW59" s="13" t="str">
        <f t="shared" ca="1" si="178"/>
        <v>-</v>
      </c>
      <c r="BX59" s="13" t="str">
        <f t="shared" ca="1" si="179"/>
        <v>-</v>
      </c>
      <c r="BY59" s="13">
        <f t="shared" ca="1" si="180"/>
        <v>9</v>
      </c>
      <c r="BZ59" s="13" t="str">
        <f t="shared" ca="1" si="181"/>
        <v>-</v>
      </c>
      <c r="CA59" s="13" t="str">
        <f t="shared" ca="1" si="182"/>
        <v>-</v>
      </c>
      <c r="CB59" s="13">
        <f t="shared" ref="CB59:CB68" ca="1" si="195">BY59+COUNTIFS(BZ$58:BZ$69,BZ59,CA$58:CA$69,"&gt;"&amp;CA59)</f>
        <v>9</v>
      </c>
      <c r="CC59" s="13"/>
      <c r="CD59" s="13">
        <f t="shared" ca="1" si="183"/>
        <v>9</v>
      </c>
      <c r="CE59" s="13" t="str">
        <f t="shared" ref="CE59:CE69" ca="1" si="196">IF(BZ59="-","-",COUNTIF(CD$58:CD$69,"&lt;"&amp;CD59))</f>
        <v>-</v>
      </c>
      <c r="CF59" s="13">
        <f t="shared" ref="CF59:CF69" ca="1" si="197">BY59+COUNTIFS(BZ$58:BZ$69,BZ59,CE$58:CE$69,"&lt;"&amp;CE59)</f>
        <v>9</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Paraguay</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P.3 (2)</v>
      </c>
      <c r="G60" s="13"/>
      <c r="H60" s="13" t="str">
        <f t="shared" ref="H60:H65" ca="1" si="202">IF(D60="Pendiente","-",INDEX($BZ$6:$BZ$53,MATCH($AA60,$BD$6:$BD$53,0)))</f>
        <v>-</v>
      </c>
      <c r="I60" s="13" t="str">
        <f t="shared" ref="I60:I65" ca="1" si="203">IF(D60="Pendiente","-",INDEX($BZ$6:$BZ$53,MATCH($AF60,$BD$6:$BD$53,0)))</f>
        <v>P.3 (2)</v>
      </c>
      <c r="J60" s="13"/>
      <c r="K60" s="13" t="str">
        <f t="shared" ref="K60:K65" ca="1" si="204">IF(D60="Pendiente","-",INDEX($CE$6:$CE$53,MATCH($AA60,$BD$6:$BD$53,0)))</f>
        <v>-</v>
      </c>
      <c r="L60" s="13" t="str">
        <f t="shared" ref="L60:L65" ca="1" si="205">IF(D60="Pendiente","-",INDEX($CE$6:$CE$53,MATCH($AF60,$BD$6:$BD$53,0)))</f>
        <v>P.3 (2)</v>
      </c>
      <c r="M60" s="13"/>
      <c r="N60" s="13" t="str">
        <f t="shared" ref="N60:N65" ca="1" si="206">IF(D60="Pendiente","-",INDEX($CH$6:$CH$53,MATCH($AA60,$BD$6:$BD$53,0)))</f>
        <v>-</v>
      </c>
      <c r="O60" s="13" t="str">
        <f t="shared" ref="O60:O65" ca="1" si="207">IF(D60="Pendiente","-",INDEX($CH$6:$CH$53,MATCH($AF60,$BD$6:$BD$53,0)))</f>
        <v>P.3 (2)</v>
      </c>
      <c r="P60" s="13"/>
      <c r="Q60" s="13" t="str">
        <f t="shared" ref="Q60:Q65" ca="1" si="208">IF(D60="Pendiente","-",INDEX($CN$6:$CN$53,MATCH($AA60,$BD$6:$BD$53,0)))</f>
        <v>-</v>
      </c>
      <c r="R60" s="13" t="str">
        <f t="shared" ref="R60:R65" ca="1" si="209">IF(D60="Pendiente","-",INDEX($CN$6:$CN$53,MATCH($AF60,$BD$6:$BD$53,0)))</f>
        <v>P.3 (2)</v>
      </c>
      <c r="S60" s="13"/>
      <c r="T60" s="13" t="str">
        <f t="shared" ref="T60:T65" ca="1" si="210">IF(D60="Pendiente","-",INDEX($CS$6:$CS$53,MATCH($AA60,$BD$6:$BD$53,0)))</f>
        <v>-</v>
      </c>
      <c r="U60" s="13" t="str">
        <f t="shared" ref="U60:U65" ca="1" si="211">IF(D60="Pendiente","-",INDEX($CS$6:$CS$53,MATCH($AF60,$BD$6:$BD$53,0)))</f>
        <v>P.3 (2)</v>
      </c>
      <c r="V60" s="14"/>
      <c r="W60" s="656" t="s">
        <v>447</v>
      </c>
      <c r="X60" s="21">
        <f ca="1">Horarios!C60</f>
        <v>46188.5</v>
      </c>
      <c r="Y60" s="22">
        <f ca="1">Horarios!C60</f>
        <v>46188.5</v>
      </c>
      <c r="Z60" s="23" t="str">
        <f>$Z$4</f>
        <v>J1</v>
      </c>
      <c r="AA60" s="24" t="str">
        <f ca="1">A61</f>
        <v>España</v>
      </c>
      <c r="AB60" s="46" t="e" cm="1" vm="30">
        <f t="array" aca="1" ref="AB60" ca="1">Ver_flag_local</f>
        <v>#VALUE!</v>
      </c>
      <c r="AC60" s="47">
        <v>3</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¡EMPATE! Puedes seleccionar el orden de los empatados.</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4</v>
      </c>
      <c r="BL60" s="13">
        <f t="shared" ca="1" si="190"/>
        <v>0</v>
      </c>
      <c r="BM60" s="13">
        <f t="shared" ca="1" si="191"/>
        <v>3</v>
      </c>
      <c r="BN60" s="13">
        <f t="shared" ca="1" si="192"/>
        <v>3</v>
      </c>
      <c r="BO60" s="13" t="str">
        <f t="shared" si="174"/>
        <v>4C</v>
      </c>
      <c r="BP60" s="13"/>
      <c r="BQ60" s="13"/>
      <c r="BR60" s="13">
        <f t="shared" ca="1" si="175"/>
        <v>3</v>
      </c>
      <c r="BS60" s="13">
        <f t="shared" ca="1" si="193"/>
        <v>3</v>
      </c>
      <c r="BT60" s="13" t="str">
        <f t="shared" ca="1" si="194"/>
        <v>Pos. 3 (3)</v>
      </c>
      <c r="BU60" s="13">
        <f t="shared" ca="1" si="176"/>
        <v>0</v>
      </c>
      <c r="BV60" s="13">
        <f t="shared" ca="1" si="177"/>
        <v>3</v>
      </c>
      <c r="BW60" s="13" t="str">
        <f t="shared" ca="1" si="178"/>
        <v>Pos. 3 (2)</v>
      </c>
      <c r="BX60" s="13">
        <f t="shared" ca="1" si="179"/>
        <v>4</v>
      </c>
      <c r="BY60" s="13">
        <f t="shared" ca="1" si="180"/>
        <v>3</v>
      </c>
      <c r="BZ60" s="13" t="str">
        <f t="shared" ca="1" si="181"/>
        <v>Pos. 3 (2)</v>
      </c>
      <c r="CA60" s="13">
        <f t="shared" ca="1" si="182"/>
        <v>7</v>
      </c>
      <c r="CB60" s="13">
        <f t="shared" ca="1" si="195"/>
        <v>3</v>
      </c>
      <c r="CC60" s="13"/>
      <c r="CD60" s="13">
        <f t="shared" ca="1" si="183"/>
        <v>3.0030000000000001</v>
      </c>
      <c r="CE60" s="13">
        <f t="shared" ca="1" si="196"/>
        <v>2</v>
      </c>
      <c r="CF60" s="13">
        <f t="shared" ca="1" si="197"/>
        <v>3</v>
      </c>
      <c r="DJ60" s="13">
        <f t="shared" ca="1" si="184"/>
        <v>3</v>
      </c>
      <c r="DK60" s="13"/>
      <c r="DL60" s="13">
        <f t="shared" ca="1" si="185"/>
        <v>2</v>
      </c>
      <c r="DM60" s="13" t="str">
        <f t="shared" ca="1" si="186"/>
        <v>3.2</v>
      </c>
      <c r="DN60" s="13" t="e" cm="1" vm="19">
        <f t="array" aca="1" ref="DN60" ca="1">OFFSET(Horarios!$P$3,DJ60-1,0,DL60,1)</f>
        <v>#VALUE!</v>
      </c>
      <c r="DO60" s="13"/>
      <c r="DP60" s="13">
        <v>3</v>
      </c>
      <c r="DQ60" s="13" t="str">
        <f t="shared" ca="1" si="198"/>
        <v>Escocia</v>
      </c>
    </row>
    <row r="61" spans="1:121" ht="16.05" customHeight="1">
      <c r="A61" s="13" t="str">
        <f ca="1">+Equipos!B30</f>
        <v>España</v>
      </c>
      <c r="B61" s="13"/>
      <c r="C61" s="13"/>
      <c r="D61" s="13" t="str">
        <f t="shared" si="199"/>
        <v>Visitante</v>
      </c>
      <c r="E61" s="13" t="str">
        <f t="shared" ca="1" si="200"/>
        <v>P.3 (2)</v>
      </c>
      <c r="F61" s="13" t="str">
        <f t="shared" ca="1" si="201"/>
        <v>-</v>
      </c>
      <c r="G61" s="13"/>
      <c r="H61" s="13" t="str">
        <f t="shared" ca="1" si="202"/>
        <v>P.3 (2)</v>
      </c>
      <c r="I61" s="13" t="str">
        <f t="shared" ca="1" si="203"/>
        <v>-</v>
      </c>
      <c r="J61" s="13"/>
      <c r="K61" s="13" t="str">
        <f t="shared" ca="1" si="204"/>
        <v>P.3 (2)</v>
      </c>
      <c r="L61" s="13" t="str">
        <f t="shared" ca="1" si="205"/>
        <v>-</v>
      </c>
      <c r="M61" s="13"/>
      <c r="N61" s="13" t="str">
        <f t="shared" ca="1" si="206"/>
        <v>P.3 (2)</v>
      </c>
      <c r="O61" s="13" t="str">
        <f t="shared" ca="1" si="207"/>
        <v>-</v>
      </c>
      <c r="P61" s="13"/>
      <c r="Q61" s="13" t="str">
        <f t="shared" ca="1" si="208"/>
        <v>P.3 (2)</v>
      </c>
      <c r="R61" s="13" t="str">
        <f t="shared" ca="1" si="209"/>
        <v>-</v>
      </c>
      <c r="S61" s="13"/>
      <c r="T61" s="13" t="str">
        <f t="shared" ca="1" si="210"/>
        <v>P.3 (2)</v>
      </c>
      <c r="U61" s="13" t="str">
        <f t="shared" ca="1" si="211"/>
        <v>-</v>
      </c>
      <c r="V61" s="14"/>
      <c r="W61" s="656"/>
      <c r="X61" s="21">
        <f ca="1">Horarios!C61</f>
        <v>46188.75</v>
      </c>
      <c r="Y61" s="22">
        <f ca="1">Horarios!C61</f>
        <v>46188.75</v>
      </c>
      <c r="Z61" s="23" t="str">
        <f>$Z$4</f>
        <v>J1</v>
      </c>
      <c r="AA61" s="24" t="str">
        <f ca="1">A63</f>
        <v>Arabia Saudita</v>
      </c>
      <c r="AB61" s="46" t="e" cm="1" vm="32">
        <f t="array" aca="1" ref="AB61" ca="1">Ver_flag_local</f>
        <v>#VALUE!</v>
      </c>
      <c r="AC61" s="47">
        <v>0</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2</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4</v>
      </c>
      <c r="BF61" s="13">
        <f t="shared" ca="1" si="189"/>
        <v>3</v>
      </c>
      <c r="BG61" s="13">
        <f t="shared" ca="1" si="169"/>
        <v>1</v>
      </c>
      <c r="BH61" s="13">
        <f t="shared" ca="1" si="170"/>
        <v>1</v>
      </c>
      <c r="BI61" s="13">
        <f t="shared" ca="1" si="171"/>
        <v>1</v>
      </c>
      <c r="BJ61" s="13">
        <f t="shared" ca="1" si="172"/>
        <v>4</v>
      </c>
      <c r="BK61" s="13">
        <f t="shared" ca="1" si="173"/>
        <v>4</v>
      </c>
      <c r="BL61" s="13">
        <f t="shared" ca="1" si="190"/>
        <v>0</v>
      </c>
      <c r="BM61" s="13">
        <f t="shared" ca="1" si="191"/>
        <v>2</v>
      </c>
      <c r="BN61" s="13">
        <f t="shared" ca="1" si="192"/>
        <v>2</v>
      </c>
      <c r="BO61" s="13" t="str">
        <f t="shared" si="174"/>
        <v>4D</v>
      </c>
      <c r="BP61" s="13"/>
      <c r="BQ61" s="13"/>
      <c r="BR61" s="13">
        <f t="shared" ca="1" si="175"/>
        <v>4</v>
      </c>
      <c r="BS61" s="13">
        <f t="shared" ca="1" si="193"/>
        <v>1</v>
      </c>
      <c r="BT61" s="13" t="str">
        <f t="shared" ca="1" si="194"/>
        <v>Pos. 1 (2)</v>
      </c>
      <c r="BU61" s="13">
        <f t="shared" ca="1" si="176"/>
        <v>0</v>
      </c>
      <c r="BV61" s="13">
        <f t="shared" ca="1" si="177"/>
        <v>2</v>
      </c>
      <c r="BW61" s="13" t="str">
        <f t="shared" ca="1" si="178"/>
        <v>-</v>
      </c>
      <c r="BX61" s="13" t="str">
        <f t="shared" ca="1" si="179"/>
        <v>-</v>
      </c>
      <c r="BY61" s="13">
        <f t="shared" ca="1" si="180"/>
        <v>2</v>
      </c>
      <c r="BZ61" s="13" t="str">
        <f t="shared" ca="1" si="181"/>
        <v>-</v>
      </c>
      <c r="CA61" s="13" t="str">
        <f t="shared" ca="1" si="182"/>
        <v>-</v>
      </c>
      <c r="CB61" s="13">
        <f t="shared" ca="1" si="195"/>
        <v>2</v>
      </c>
      <c r="CC61" s="13"/>
      <c r="CD61" s="13">
        <f t="shared" ca="1" si="183"/>
        <v>2</v>
      </c>
      <c r="CE61" s="13" t="str">
        <f t="shared" ca="1" si="196"/>
        <v>-</v>
      </c>
      <c r="CF61" s="13">
        <f t="shared" ca="1" si="197"/>
        <v>2</v>
      </c>
      <c r="DJ61" s="13">
        <f t="shared" ca="1" si="184"/>
        <v>3</v>
      </c>
      <c r="DK61" s="13"/>
      <c r="DL61" s="13">
        <f t="shared" ca="1" si="185"/>
        <v>2</v>
      </c>
      <c r="DM61" s="13" t="str">
        <f t="shared" ca="1" si="186"/>
        <v>3.2</v>
      </c>
      <c r="DN61" s="13" t="e" cm="1" vm="19">
        <f t="array" aca="1" ref="DN61" ca="1">OFFSET(Horarios!$P$3,DJ61-1,0,DL61,1)</f>
        <v>#VALUE!</v>
      </c>
      <c r="DO61" s="13"/>
      <c r="DP61" s="13">
        <v>4</v>
      </c>
      <c r="DQ61" s="13" t="str">
        <f t="shared" ca="1" si="198"/>
        <v>Suecia</v>
      </c>
    </row>
    <row r="62" spans="1:121" ht="16.05" customHeight="1">
      <c r="A62" s="13" t="str">
        <f ca="1">+Equipos!B31</f>
        <v>Cabo Verde</v>
      </c>
      <c r="B62" s="13"/>
      <c r="C62" s="13"/>
      <c r="D62" s="13" t="str">
        <f t="shared" si="199"/>
        <v>Local</v>
      </c>
      <c r="E62" s="13" t="str">
        <f t="shared" ca="1" si="200"/>
        <v>-</v>
      </c>
      <c r="F62" s="13" t="str">
        <f t="shared" ca="1" si="201"/>
        <v>P.3 (2)</v>
      </c>
      <c r="G62" s="13"/>
      <c r="H62" s="13" t="str">
        <f t="shared" ca="1" si="202"/>
        <v>-</v>
      </c>
      <c r="I62" s="13" t="str">
        <f t="shared" ca="1" si="203"/>
        <v>P.3 (2)</v>
      </c>
      <c r="J62" s="13"/>
      <c r="K62" s="13" t="str">
        <f t="shared" ca="1" si="204"/>
        <v>-</v>
      </c>
      <c r="L62" s="13" t="str">
        <f t="shared" ca="1" si="205"/>
        <v>P.3 (2)</v>
      </c>
      <c r="M62" s="13"/>
      <c r="N62" s="13" t="str">
        <f t="shared" ca="1" si="206"/>
        <v>-</v>
      </c>
      <c r="O62" s="13" t="str">
        <f t="shared" ca="1" si="207"/>
        <v>P.3 (2)</v>
      </c>
      <c r="P62" s="13"/>
      <c r="Q62" s="13" t="str">
        <f t="shared" ca="1" si="208"/>
        <v>-</v>
      </c>
      <c r="R62" s="13" t="str">
        <f t="shared" ca="1" si="209"/>
        <v>P.3 (2)</v>
      </c>
      <c r="S62" s="13"/>
      <c r="T62" s="13" t="str">
        <f t="shared" ca="1" si="210"/>
        <v>-</v>
      </c>
      <c r="U62" s="13" t="str">
        <f t="shared" ca="1" si="211"/>
        <v>P.3 (2)</v>
      </c>
      <c r="V62" s="14"/>
      <c r="W62" s="656"/>
      <c r="X62" s="21">
        <f ca="1">Horarios!C62</f>
        <v>46194.5</v>
      </c>
      <c r="Y62" s="22">
        <f ca="1">Horarios!C62</f>
        <v>46194.5</v>
      </c>
      <c r="Z62" s="23" t="str">
        <f>$Z$6</f>
        <v>J2</v>
      </c>
      <c r="AA62" s="24" t="str">
        <f ca="1">A61</f>
        <v>España</v>
      </c>
      <c r="AB62" s="46" t="e" cm="1" vm="30">
        <f t="array" aca="1" ref="AB62" ca="1">Ver_flag_local</f>
        <v>#VALUE!</v>
      </c>
      <c r="AC62" s="47">
        <v>3</v>
      </c>
      <c r="AD62" s="48">
        <v>0</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8</v>
      </c>
      <c r="AS62" s="33">
        <f t="shared" ca="1" si="215"/>
        <v>1</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2</v>
      </c>
      <c r="BF62" s="13">
        <f t="shared" ca="1" si="189"/>
        <v>3</v>
      </c>
      <c r="BG62" s="13">
        <f t="shared" ca="1" si="169"/>
        <v>0</v>
      </c>
      <c r="BH62" s="13">
        <f t="shared" ca="1" si="170"/>
        <v>2</v>
      </c>
      <c r="BI62" s="13">
        <f t="shared" ca="1" si="171"/>
        <v>1</v>
      </c>
      <c r="BJ62" s="13">
        <f t="shared" ca="1" si="172"/>
        <v>3</v>
      </c>
      <c r="BK62" s="13">
        <f t="shared" ca="1" si="173"/>
        <v>4</v>
      </c>
      <c r="BL62" s="13">
        <f t="shared" ca="1" si="190"/>
        <v>-1</v>
      </c>
      <c r="BM62" s="13">
        <f t="shared" ca="1" si="191"/>
        <v>6</v>
      </c>
      <c r="BN62" s="13">
        <f t="shared" ca="1" si="192"/>
        <v>6</v>
      </c>
      <c r="BO62" s="13" t="str">
        <f t="shared" si="174"/>
        <v>4E</v>
      </c>
      <c r="BP62" s="13"/>
      <c r="BQ62" s="13"/>
      <c r="BR62" s="13">
        <f t="shared" ca="1" si="175"/>
        <v>2</v>
      </c>
      <c r="BS62" s="13">
        <f t="shared" ca="1" si="193"/>
        <v>6</v>
      </c>
      <c r="BT62" s="13" t="str">
        <f t="shared" ca="1" si="194"/>
        <v>Pos. 6 (3)</v>
      </c>
      <c r="BU62" s="13">
        <f t="shared" ca="1" si="176"/>
        <v>-1</v>
      </c>
      <c r="BV62" s="13">
        <f t="shared" ca="1" si="177"/>
        <v>6</v>
      </c>
      <c r="BW62" s="13" t="str">
        <f t="shared" ca="1" si="178"/>
        <v>Pos. 6 (2)</v>
      </c>
      <c r="BX62" s="13">
        <f t="shared" ca="1" si="179"/>
        <v>3</v>
      </c>
      <c r="BY62" s="13">
        <f t="shared" ca="1" si="180"/>
        <v>6</v>
      </c>
      <c r="BZ62" s="13" t="str">
        <f t="shared" ca="1" si="181"/>
        <v>Pos. 6 (2)</v>
      </c>
      <c r="CA62" s="13">
        <f t="shared" ca="1" si="182"/>
        <v>8</v>
      </c>
      <c r="CB62" s="13">
        <f t="shared" ca="1" si="195"/>
        <v>6</v>
      </c>
      <c r="CC62" s="13"/>
      <c r="CD62" s="13">
        <f t="shared" ca="1" si="183"/>
        <v>6.0060000000000002</v>
      </c>
      <c r="CE62" s="13">
        <f t="shared" ca="1" si="196"/>
        <v>5</v>
      </c>
      <c r="CF62" s="13">
        <f t="shared" ca="1" si="197"/>
        <v>6</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Ghana</v>
      </c>
    </row>
    <row r="63" spans="1:121" ht="16.05" customHeight="1">
      <c r="A63" s="13" t="str">
        <f ca="1">+Equipos!B32</f>
        <v>Arabia Saudita</v>
      </c>
      <c r="B63" s="13"/>
      <c r="C63" s="13"/>
      <c r="D63" s="13" t="str">
        <f t="shared" si="199"/>
        <v>Local</v>
      </c>
      <c r="E63" s="13" t="str">
        <f t="shared" ca="1" si="200"/>
        <v>-</v>
      </c>
      <c r="F63" s="13" t="str">
        <f t="shared" ca="1" si="201"/>
        <v>P.3 (2)</v>
      </c>
      <c r="G63" s="13"/>
      <c r="H63" s="13" t="str">
        <f t="shared" ca="1" si="202"/>
        <v>-</v>
      </c>
      <c r="I63" s="13" t="str">
        <f t="shared" ca="1" si="203"/>
        <v>P.3 (2)</v>
      </c>
      <c r="J63" s="13"/>
      <c r="K63" s="13" t="str">
        <f t="shared" ca="1" si="204"/>
        <v>-</v>
      </c>
      <c r="L63" s="13" t="str">
        <f t="shared" ca="1" si="205"/>
        <v>P.3 (2)</v>
      </c>
      <c r="M63" s="13"/>
      <c r="N63" s="13" t="str">
        <f t="shared" ca="1" si="206"/>
        <v>-</v>
      </c>
      <c r="O63" s="13" t="str">
        <f t="shared" ca="1" si="207"/>
        <v>P.3 (2)</v>
      </c>
      <c r="P63" s="13"/>
      <c r="Q63" s="13" t="str">
        <f t="shared" ca="1" si="208"/>
        <v>-</v>
      </c>
      <c r="R63" s="13" t="str">
        <f t="shared" ca="1" si="209"/>
        <v>P.3 (2)</v>
      </c>
      <c r="S63" s="13"/>
      <c r="T63" s="13" t="str">
        <f t="shared" ca="1" si="210"/>
        <v>-</v>
      </c>
      <c r="U63" s="13" t="str">
        <f t="shared" ca="1" si="211"/>
        <v>P.3 (2)</v>
      </c>
      <c r="V63" s="14"/>
      <c r="W63" s="656"/>
      <c r="X63" s="21">
        <f ca="1">Horarios!C63</f>
        <v>46194.75</v>
      </c>
      <c r="Y63" s="22">
        <f ca="1">Horarios!C63</f>
        <v>46194.75</v>
      </c>
      <c r="Z63" s="23" t="str">
        <f>$Z$6</f>
        <v>J2</v>
      </c>
      <c r="AA63" s="24" t="str">
        <f ca="1">A64</f>
        <v>Uruguay</v>
      </c>
      <c r="AB63" s="46" t="e" cm="1" vm="33">
        <f t="array" aca="1" ref="AB63" ca="1">Ver_flag_local</f>
        <v>#VALUE!</v>
      </c>
      <c r="AC63" s="47">
        <v>2</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5</v>
      </c>
      <c r="AS63" s="36">
        <f t="shared" ca="1" si="215"/>
        <v>2</v>
      </c>
      <c r="AT63" s="40">
        <f t="shared" ca="1" si="215"/>
        <v>3</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4</v>
      </c>
      <c r="BK63" s="13">
        <f t="shared" ca="1" si="173"/>
        <v>4</v>
      </c>
      <c r="BL63" s="13">
        <f t="shared" ca="1" si="190"/>
        <v>0</v>
      </c>
      <c r="BM63" s="13">
        <f t="shared" ca="1" si="191"/>
        <v>4</v>
      </c>
      <c r="BN63" s="13">
        <f t="shared" ca="1" si="192"/>
        <v>4</v>
      </c>
      <c r="BO63" s="13" t="str">
        <f t="shared" si="174"/>
        <v>4F</v>
      </c>
      <c r="BP63" s="13"/>
      <c r="BQ63" s="13"/>
      <c r="BR63" s="13">
        <f t="shared" ca="1" si="175"/>
        <v>3</v>
      </c>
      <c r="BS63" s="13">
        <f t="shared" ca="1" si="193"/>
        <v>3</v>
      </c>
      <c r="BT63" s="13" t="str">
        <f t="shared" ca="1" si="194"/>
        <v>Pos. 3 (3)</v>
      </c>
      <c r="BU63" s="13">
        <f t="shared" ca="1" si="176"/>
        <v>0</v>
      </c>
      <c r="BV63" s="13">
        <f t="shared" ca="1" si="177"/>
        <v>3</v>
      </c>
      <c r="BW63" s="13" t="str">
        <f t="shared" ca="1" si="178"/>
        <v>Pos. 3 (2)</v>
      </c>
      <c r="BX63" s="13">
        <f t="shared" ca="1" si="179"/>
        <v>4</v>
      </c>
      <c r="BY63" s="13">
        <f t="shared" ca="1" si="180"/>
        <v>3</v>
      </c>
      <c r="BZ63" s="13" t="str">
        <f t="shared" ca="1" si="181"/>
        <v>Pos. 3 (2)</v>
      </c>
      <c r="CA63" s="13">
        <f t="shared" ca="1" si="182"/>
        <v>1</v>
      </c>
      <c r="CB63" s="13">
        <f t="shared" ca="1" si="195"/>
        <v>4</v>
      </c>
      <c r="CC63" s="13"/>
      <c r="CD63" s="13">
        <f t="shared" ca="1" si="183"/>
        <v>4.0039999999999996</v>
      </c>
      <c r="CE63" s="13">
        <f t="shared" ca="1" si="196"/>
        <v>3</v>
      </c>
      <c r="CF63" s="13">
        <f t="shared" ca="1" si="197"/>
        <v>4</v>
      </c>
      <c r="DJ63" s="13">
        <f t="shared" ca="1" si="184"/>
        <v>6</v>
      </c>
      <c r="DK63" s="13"/>
      <c r="DL63" s="13">
        <f t="shared" ca="1" si="185"/>
        <v>2</v>
      </c>
      <c r="DM63" s="13" t="str">
        <f t="shared" ca="1" si="186"/>
        <v>6.2</v>
      </c>
      <c r="DN63" s="13" t="e" cm="1" vm="19">
        <f t="array" aca="1" ref="DN63" ca="1">OFFSET(Horarios!$P$3,DJ63-1,0,DL63,1)</f>
        <v>#VALUE!</v>
      </c>
      <c r="DO63" s="13"/>
      <c r="DP63" s="13">
        <v>6</v>
      </c>
      <c r="DQ63" s="13" t="str">
        <f t="shared" ca="1" si="198"/>
        <v>Costa de Marfil</v>
      </c>
    </row>
    <row r="64" spans="1:121" ht="16.05" customHeight="1">
      <c r="A64" s="13" t="str">
        <f ca="1">+Equipos!B33</f>
        <v>Uruguay</v>
      </c>
      <c r="B64" s="13"/>
      <c r="C64" s="13"/>
      <c r="D64" s="13" t="str">
        <f t="shared" si="199"/>
        <v>Empate</v>
      </c>
      <c r="E64" s="13" t="str">
        <f t="shared" ca="1" si="200"/>
        <v>P.3 (2)</v>
      </c>
      <c r="F64" s="13" t="str">
        <f t="shared" ca="1" si="201"/>
        <v>P.3 (2)</v>
      </c>
      <c r="G64" s="13"/>
      <c r="H64" s="13" t="str">
        <f t="shared" ca="1" si="202"/>
        <v>P.3 (2)</v>
      </c>
      <c r="I64" s="13" t="str">
        <f t="shared" ca="1" si="203"/>
        <v>P.3 (2)</v>
      </c>
      <c r="J64" s="13"/>
      <c r="K64" s="13" t="str">
        <f t="shared" ca="1" si="204"/>
        <v>P.3 (2)</v>
      </c>
      <c r="L64" s="13" t="str">
        <f t="shared" ca="1" si="205"/>
        <v>P.3 (2)</v>
      </c>
      <c r="M64" s="13"/>
      <c r="N64" s="13" t="str">
        <f t="shared" ca="1" si="206"/>
        <v>P.3 (2)</v>
      </c>
      <c r="O64" s="13" t="str">
        <f t="shared" ca="1" si="207"/>
        <v>P.3 (2)</v>
      </c>
      <c r="P64" s="13"/>
      <c r="Q64" s="13" t="str">
        <f t="shared" ca="1" si="208"/>
        <v>P.3 (2)</v>
      </c>
      <c r="R64" s="13" t="str">
        <f t="shared" ca="1" si="209"/>
        <v>P.3 (2)</v>
      </c>
      <c r="S64" s="13"/>
      <c r="T64" s="13" t="str">
        <f t="shared" ca="1" si="210"/>
        <v>P.3 (2)</v>
      </c>
      <c r="U64" s="13" t="str">
        <f t="shared" ca="1" si="211"/>
        <v>P.3 (2)</v>
      </c>
      <c r="V64" s="14"/>
      <c r="W64" s="656"/>
      <c r="X64" s="21">
        <f ca="1">Horarios!C64</f>
        <v>46199.833333333336</v>
      </c>
      <c r="Y64" s="22">
        <f ca="1">Horarios!C64</f>
        <v>46199.833333333336</v>
      </c>
      <c r="Z64" s="23" t="str">
        <f>$Z$8</f>
        <v>J3</v>
      </c>
      <c r="AA64" s="24" t="str">
        <f ca="1">A62</f>
        <v>Cabo Verde</v>
      </c>
      <c r="AB64" s="46" t="e" cm="1" vm="31">
        <f t="array" aca="1" ref="AB64" ca="1">Ver_flag_local</f>
        <v>#VALUE!</v>
      </c>
      <c r="AC64" s="47">
        <v>1</v>
      </c>
      <c r="AD64" s="48">
        <v>1</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1</v>
      </c>
      <c r="AN64" s="36">
        <f t="shared" ca="1" si="215"/>
        <v>3</v>
      </c>
      <c r="AO64" s="36">
        <f t="shared" ca="1" si="215"/>
        <v>0</v>
      </c>
      <c r="AP64" s="36">
        <f t="shared" ca="1" si="215"/>
        <v>1</v>
      </c>
      <c r="AQ64" s="36">
        <f t="shared" ca="1" si="215"/>
        <v>2</v>
      </c>
      <c r="AR64" s="36">
        <f t="shared" ca="1" si="215"/>
        <v>1</v>
      </c>
      <c r="AS64" s="36">
        <f t="shared" ca="1" si="215"/>
        <v>6</v>
      </c>
      <c r="AT64" s="40">
        <f t="shared" ca="1" si="215"/>
        <v>-5</v>
      </c>
      <c r="AU64" s="318">
        <f ca="1">INDEX($DL$6:$DL$53,MATCH(AI64,$DP$6:$DP$53,0))</f>
        <v>2</v>
      </c>
      <c r="AV64" s="178" t="str">
        <f ca="1">INDEX($BD$6:$BD$53,MATCH(AI64,$BM$6:$BM$53,0))</f>
        <v>Cabo Verde</v>
      </c>
      <c r="AW64" s="202">
        <v>4</v>
      </c>
      <c r="AX64" s="167"/>
      <c r="AY64" s="193" t="str">
        <f ca="1">+A63</f>
        <v>Arabia Saudita</v>
      </c>
      <c r="AZ64" s="194"/>
      <c r="BB64" s="13" t="str">
        <f t="shared" si="187"/>
        <v>3G</v>
      </c>
      <c r="BC64" s="13" t="s">
        <v>6</v>
      </c>
      <c r="BD64" s="13" t="str">
        <f t="shared" ca="1" si="168"/>
        <v>Nueva Zelanda</v>
      </c>
      <c r="BE64" s="13">
        <f t="shared" ca="1" si="188"/>
        <v>2</v>
      </c>
      <c r="BF64" s="13">
        <f t="shared" ca="1" si="189"/>
        <v>3</v>
      </c>
      <c r="BG64" s="13">
        <f t="shared" ca="1" si="169"/>
        <v>0</v>
      </c>
      <c r="BH64" s="13">
        <f t="shared" ca="1" si="170"/>
        <v>2</v>
      </c>
      <c r="BI64" s="13">
        <f t="shared" ca="1" si="171"/>
        <v>1</v>
      </c>
      <c r="BJ64" s="13">
        <f t="shared" ca="1" si="172"/>
        <v>3</v>
      </c>
      <c r="BK64" s="13">
        <f t="shared" ca="1" si="173"/>
        <v>5</v>
      </c>
      <c r="BL64" s="13">
        <f t="shared" ca="1" si="190"/>
        <v>-2</v>
      </c>
      <c r="BM64" s="13">
        <f t="shared" ca="1" si="191"/>
        <v>8</v>
      </c>
      <c r="BN64" s="13">
        <f t="shared" ca="1" si="192"/>
        <v>8</v>
      </c>
      <c r="BO64" s="13" t="str">
        <f t="shared" si="174"/>
        <v>4G</v>
      </c>
      <c r="BP64" s="13"/>
      <c r="BQ64" s="13"/>
      <c r="BR64" s="13">
        <f t="shared" ca="1" si="175"/>
        <v>2</v>
      </c>
      <c r="BS64" s="13">
        <f t="shared" ca="1" si="193"/>
        <v>6</v>
      </c>
      <c r="BT64" s="13" t="str">
        <f t="shared" ca="1" si="194"/>
        <v>Pos. 6 (3)</v>
      </c>
      <c r="BU64" s="13">
        <f t="shared" ca="1" si="176"/>
        <v>-2</v>
      </c>
      <c r="BV64" s="13">
        <f t="shared" ca="1" si="177"/>
        <v>8</v>
      </c>
      <c r="BW64" s="13" t="str">
        <f t="shared" ca="1" si="178"/>
        <v>-</v>
      </c>
      <c r="BX64" s="13" t="str">
        <f t="shared" ca="1" si="179"/>
        <v>-</v>
      </c>
      <c r="BY64" s="13">
        <f t="shared" ca="1" si="180"/>
        <v>8</v>
      </c>
      <c r="BZ64" s="13" t="str">
        <f t="shared" ca="1" si="181"/>
        <v>-</v>
      </c>
      <c r="CA64" s="13" t="str">
        <f t="shared" ca="1" si="182"/>
        <v>-</v>
      </c>
      <c r="CB64" s="13">
        <f t="shared" ca="1" si="195"/>
        <v>8</v>
      </c>
      <c r="CC64" s="13"/>
      <c r="CD64" s="13">
        <f t="shared" ca="1" si="183"/>
        <v>8</v>
      </c>
      <c r="CE64" s="13" t="str">
        <f t="shared" ca="1" si="196"/>
        <v>-</v>
      </c>
      <c r="CF64" s="13">
        <f t="shared" ca="1" si="197"/>
        <v>8</v>
      </c>
      <c r="DJ64" s="13">
        <f t="shared" ca="1" si="184"/>
        <v>6</v>
      </c>
      <c r="DK64" s="13"/>
      <c r="DL64" s="13">
        <f t="shared" ca="1" si="185"/>
        <v>2</v>
      </c>
      <c r="DM64" s="13" t="str">
        <f t="shared" ca="1" si="186"/>
        <v>6.2</v>
      </c>
      <c r="DN64" s="13" t="e" cm="1" vm="19">
        <f t="array" aca="1" ref="DN64" ca="1">OFFSET(Horarios!$P$3,DJ64-1,0,DL64,1)</f>
        <v>#VALUE!</v>
      </c>
      <c r="DO64" s="13"/>
      <c r="DP64" s="13">
        <v>7</v>
      </c>
      <c r="DQ64" s="13" t="str">
        <f t="shared" ca="1" si="198"/>
        <v>República Checa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7"/>
      <c r="X65" s="25">
        <f ca="1">Horarios!C65</f>
        <v>46199.833333333336</v>
      </c>
      <c r="Y65" s="26">
        <f ca="1">Horarios!C65</f>
        <v>46199.833333333336</v>
      </c>
      <c r="Z65" s="27" t="str">
        <f>$Z$8</f>
        <v>J3</v>
      </c>
      <c r="AA65" s="28" t="str">
        <f ca="1">A64</f>
        <v>Uruguay</v>
      </c>
      <c r="AB65" s="49" t="e" cm="1" vm="33">
        <f t="array" aca="1" ref="AB65" ca="1">Ver_flag_local</f>
        <v>#VALUE!</v>
      </c>
      <c r="AC65" s="50">
        <v>1</v>
      </c>
      <c r="AD65" s="51">
        <v>2</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1</v>
      </c>
      <c r="AN65" s="44">
        <f t="shared" ca="1" si="215"/>
        <v>3</v>
      </c>
      <c r="AO65" s="44">
        <f t="shared" ca="1" si="215"/>
        <v>0</v>
      </c>
      <c r="AP65" s="44">
        <f t="shared" ca="1" si="215"/>
        <v>1</v>
      </c>
      <c r="AQ65" s="44">
        <f t="shared" ca="1" si="215"/>
        <v>2</v>
      </c>
      <c r="AR65" s="44">
        <f t="shared" ca="1" si="215"/>
        <v>1</v>
      </c>
      <c r="AS65" s="44">
        <f t="shared" ca="1" si="215"/>
        <v>6</v>
      </c>
      <c r="AT65" s="45">
        <f t="shared" ca="1" si="215"/>
        <v>-5</v>
      </c>
      <c r="AU65" s="318">
        <f ca="1">INDEX($DL$6:$DL$53,MATCH(AI65,$DP$6:$DP$53,0))</f>
        <v>2</v>
      </c>
      <c r="AV65" s="178" t="str">
        <f ca="1">INDEX($BD$6:$BD$53,MATCH(AI65,$BM$6:$BM$53,0))</f>
        <v>Arabia Saudita</v>
      </c>
      <c r="AW65" s="202">
        <v>3</v>
      </c>
      <c r="AX65" s="167"/>
      <c r="AY65" s="197" t="str">
        <f ca="1">+A64</f>
        <v>Uruguay</v>
      </c>
      <c r="AZ65" s="198"/>
      <c r="BB65" s="13" t="str">
        <f t="shared" si="187"/>
        <v>3H</v>
      </c>
      <c r="BC65" s="13" t="s">
        <v>447</v>
      </c>
      <c r="BD65" s="13" t="str">
        <f t="shared" ca="1" si="168"/>
        <v>Arabia Saudita</v>
      </c>
      <c r="BE65" s="13">
        <f t="shared" ca="1" si="188"/>
        <v>1</v>
      </c>
      <c r="BF65" s="13">
        <f t="shared" ca="1" si="189"/>
        <v>3</v>
      </c>
      <c r="BG65" s="13">
        <f t="shared" ca="1" si="169"/>
        <v>0</v>
      </c>
      <c r="BH65" s="13">
        <f t="shared" ca="1" si="170"/>
        <v>1</v>
      </c>
      <c r="BI65" s="13">
        <f t="shared" ca="1" si="171"/>
        <v>2</v>
      </c>
      <c r="BJ65" s="13">
        <f t="shared" ca="1" si="172"/>
        <v>1</v>
      </c>
      <c r="BK65" s="13">
        <f t="shared" ca="1" si="173"/>
        <v>6</v>
      </c>
      <c r="BL65" s="13">
        <f t="shared" ca="1" si="190"/>
        <v>-5</v>
      </c>
      <c r="BM65" s="13">
        <f t="shared" ca="1" si="191"/>
        <v>12</v>
      </c>
      <c r="BN65" s="13">
        <f t="shared" ca="1" si="192"/>
        <v>12</v>
      </c>
      <c r="BO65" s="13" t="str">
        <f t="shared" si="174"/>
        <v>4H</v>
      </c>
      <c r="BP65" s="13"/>
      <c r="BQ65" s="13"/>
      <c r="BR65" s="13">
        <f t="shared" ca="1" si="175"/>
        <v>1</v>
      </c>
      <c r="BS65" s="13">
        <f t="shared" ca="1" si="193"/>
        <v>9</v>
      </c>
      <c r="BT65" s="13" t="str">
        <f t="shared" ca="1" si="194"/>
        <v>Pos. 9 (4)</v>
      </c>
      <c r="BU65" s="13">
        <f t="shared" ca="1" si="176"/>
        <v>-5</v>
      </c>
      <c r="BV65" s="13">
        <f t="shared" ca="1" si="177"/>
        <v>12</v>
      </c>
      <c r="BW65" s="13" t="str">
        <f t="shared" ca="1" si="178"/>
        <v>-</v>
      </c>
      <c r="BX65" s="13" t="str">
        <f t="shared" ca="1" si="179"/>
        <v>-</v>
      </c>
      <c r="BY65" s="13">
        <f t="shared" ca="1" si="180"/>
        <v>12</v>
      </c>
      <c r="BZ65" s="13" t="str">
        <f t="shared" ca="1" si="181"/>
        <v>-</v>
      </c>
      <c r="CA65" s="13" t="str">
        <f t="shared" ca="1" si="182"/>
        <v>-</v>
      </c>
      <c r="CB65" s="13">
        <f t="shared" ca="1" si="195"/>
        <v>12</v>
      </c>
      <c r="CC65" s="13"/>
      <c r="CD65" s="13">
        <f t="shared" ca="1" si="183"/>
        <v>12</v>
      </c>
      <c r="CE65" s="13" t="str">
        <f t="shared" ca="1" si="196"/>
        <v>-</v>
      </c>
      <c r="CF65" s="13">
        <f t="shared" ca="1" si="197"/>
        <v>12</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Nueva Zelanda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5</v>
      </c>
      <c r="BK66" s="13">
        <f t="shared" ca="1" si="173"/>
        <v>4</v>
      </c>
      <c r="BL66" s="13">
        <f t="shared" ca="1" si="190"/>
        <v>1</v>
      </c>
      <c r="BM66" s="13">
        <f t="shared" ca="1" si="191"/>
        <v>1</v>
      </c>
      <c r="BN66" s="13">
        <f t="shared" ca="1" si="192"/>
        <v>1</v>
      </c>
      <c r="BO66" s="13" t="str">
        <f t="shared" si="174"/>
        <v>4I</v>
      </c>
      <c r="BP66" s="13"/>
      <c r="BQ66" s="13"/>
      <c r="BR66" s="13">
        <f t="shared" ca="1" si="175"/>
        <v>4</v>
      </c>
      <c r="BS66" s="13">
        <f t="shared" ca="1" si="193"/>
        <v>1</v>
      </c>
      <c r="BT66" s="13" t="str">
        <f t="shared" ca="1" si="194"/>
        <v>Pos. 1 (2)</v>
      </c>
      <c r="BU66" s="13">
        <f t="shared" ca="1" si="176"/>
        <v>1</v>
      </c>
      <c r="BV66" s="13">
        <f t="shared" ca="1" si="177"/>
        <v>1</v>
      </c>
      <c r="BW66" s="13" t="str">
        <f t="shared" ca="1" si="178"/>
        <v>-</v>
      </c>
      <c r="BX66" s="13" t="str">
        <f t="shared" ca="1" si="179"/>
        <v>-</v>
      </c>
      <c r="BY66" s="13">
        <f t="shared" ca="1" si="180"/>
        <v>1</v>
      </c>
      <c r="BZ66" s="13" t="str">
        <f t="shared" ca="1" si="181"/>
        <v>-</v>
      </c>
      <c r="CA66" s="13" t="str">
        <f t="shared" ca="1" si="182"/>
        <v>-</v>
      </c>
      <c r="CB66" s="13">
        <f t="shared" ca="1" si="195"/>
        <v>1</v>
      </c>
      <c r="CC66" s="13"/>
      <c r="CD66" s="13">
        <f t="shared" ca="1" si="183"/>
        <v>1</v>
      </c>
      <c r="CE66" s="13" t="str">
        <f t="shared" ca="1" si="196"/>
        <v>-</v>
      </c>
      <c r="CF66" s="13">
        <f t="shared" ca="1" si="197"/>
        <v>1</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Bosnia y Herzegovina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1</v>
      </c>
      <c r="BF67" s="13">
        <f t="shared" ca="1" si="189"/>
        <v>3</v>
      </c>
      <c r="BG67" s="13">
        <f t="shared" ca="1" si="169"/>
        <v>0</v>
      </c>
      <c r="BH67" s="13">
        <f t="shared" ca="1" si="170"/>
        <v>1</v>
      </c>
      <c r="BI67" s="13">
        <f t="shared" ca="1" si="171"/>
        <v>2</v>
      </c>
      <c r="BJ67" s="13">
        <f t="shared" ca="1" si="172"/>
        <v>1</v>
      </c>
      <c r="BK67" s="13">
        <f t="shared" ca="1" si="173"/>
        <v>4</v>
      </c>
      <c r="BL67" s="13">
        <f t="shared" ca="1" si="190"/>
        <v>-3</v>
      </c>
      <c r="BM67" s="13">
        <f t="shared" ca="1" si="191"/>
        <v>10</v>
      </c>
      <c r="BN67" s="13">
        <f t="shared" ca="1" si="192"/>
        <v>10</v>
      </c>
      <c r="BO67" s="13" t="str">
        <f t="shared" si="174"/>
        <v>4J</v>
      </c>
      <c r="BP67" s="13"/>
      <c r="BQ67" s="13"/>
      <c r="BR67" s="13">
        <f t="shared" ca="1" si="175"/>
        <v>1</v>
      </c>
      <c r="BS67" s="13">
        <f t="shared" ca="1" si="193"/>
        <v>9</v>
      </c>
      <c r="BT67" s="13" t="str">
        <f t="shared" ca="1" si="194"/>
        <v>Pos. 9 (4)</v>
      </c>
      <c r="BU67" s="13">
        <f t="shared" ca="1" si="176"/>
        <v>-3</v>
      </c>
      <c r="BV67" s="13">
        <f t="shared" ca="1" si="177"/>
        <v>10</v>
      </c>
      <c r="BW67" s="13" t="str">
        <f t="shared" ca="1" si="178"/>
        <v>Pos. 10 (2)</v>
      </c>
      <c r="BX67" s="13">
        <f t="shared" ca="1" si="179"/>
        <v>1</v>
      </c>
      <c r="BY67" s="13">
        <f t="shared" ca="1" si="180"/>
        <v>10</v>
      </c>
      <c r="BZ67" s="13" t="str">
        <f t="shared" ca="1" si="181"/>
        <v>Pos. 10 (2)</v>
      </c>
      <c r="CA67" s="13">
        <f t="shared" ca="1" si="182"/>
        <v>10</v>
      </c>
      <c r="CB67" s="13">
        <f t="shared" ca="1" si="195"/>
        <v>10</v>
      </c>
      <c r="CC67" s="13"/>
      <c r="CD67" s="13">
        <f t="shared" ca="1" si="183"/>
        <v>10.01</v>
      </c>
      <c r="CE67" s="13">
        <f t="shared" ca="1" si="196"/>
        <v>9</v>
      </c>
      <c r="CF67" s="13">
        <f t="shared" ca="1" si="197"/>
        <v>10</v>
      </c>
      <c r="DJ67" s="13">
        <f t="shared" ca="1" si="184"/>
        <v>10</v>
      </c>
      <c r="DK67" s="13"/>
      <c r="DL67" s="13">
        <f t="shared" ca="1" si="185"/>
        <v>2</v>
      </c>
      <c r="DM67" s="13" t="str">
        <f t="shared" ca="1" si="186"/>
        <v>10.2</v>
      </c>
      <c r="DN67" s="13" t="e" cm="1" vm="19">
        <f t="array" aca="1" ref="DN67" ca="1">OFFSET(Horarios!$P$3,DJ67-1,0,DL67,1)</f>
        <v>#VALUE!</v>
      </c>
      <c r="DO67" s="13"/>
      <c r="DP67" s="13">
        <v>10</v>
      </c>
      <c r="DQ67" s="13" t="str">
        <f t="shared" ca="1" si="198"/>
        <v>Austria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62" t="s">
        <v>448</v>
      </c>
      <c r="X68" s="21">
        <f ca="1">Horarios!C68</f>
        <v>46189.625</v>
      </c>
      <c r="Y68" s="22">
        <f ca="1">Horarios!C68</f>
        <v>46189.625</v>
      </c>
      <c r="Z68" s="23" t="str">
        <f>$Z$4</f>
        <v>J1</v>
      </c>
      <c r="AA68" s="24" t="str">
        <f ca="1">A69</f>
        <v>Francia</v>
      </c>
      <c r="AB68" s="46" t="e" cm="1" vm="34">
        <f t="array" aca="1" ref="AB68" ca="1">Ver_flag_local</f>
        <v>#VALUE!</v>
      </c>
      <c r="AC68" s="47">
        <v>2</v>
      </c>
      <c r="AD68" s="48">
        <v>1</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1</v>
      </c>
      <c r="BK68" s="13">
        <f t="shared" ca="1" si="173"/>
        <v>4</v>
      </c>
      <c r="BL68" s="13">
        <f t="shared" ca="1" si="190"/>
        <v>-3</v>
      </c>
      <c r="BM68" s="13">
        <f t="shared" ca="1" si="191"/>
        <v>11</v>
      </c>
      <c r="BN68" s="13">
        <f t="shared" ca="1" si="192"/>
        <v>11</v>
      </c>
      <c r="BO68" s="13" t="str">
        <f t="shared" si="174"/>
        <v>4K</v>
      </c>
      <c r="BP68" s="13"/>
      <c r="BQ68" s="13"/>
      <c r="BR68" s="13">
        <f t="shared" ca="1" si="175"/>
        <v>1</v>
      </c>
      <c r="BS68" s="13">
        <f t="shared" ca="1" si="193"/>
        <v>9</v>
      </c>
      <c r="BT68" s="13" t="str">
        <f t="shared" ca="1" si="194"/>
        <v>Pos. 9 (4)</v>
      </c>
      <c r="BU68" s="13">
        <f t="shared" ca="1" si="176"/>
        <v>-3</v>
      </c>
      <c r="BV68" s="13">
        <f t="shared" ca="1" si="177"/>
        <v>10</v>
      </c>
      <c r="BW68" s="13" t="str">
        <f t="shared" ca="1" si="178"/>
        <v>Pos. 10 (2)</v>
      </c>
      <c r="BX68" s="13">
        <f t="shared" ca="1" si="179"/>
        <v>1</v>
      </c>
      <c r="BY68" s="13">
        <f t="shared" ca="1" si="180"/>
        <v>10</v>
      </c>
      <c r="BZ68" s="13" t="str">
        <f t="shared" ca="1" si="181"/>
        <v>Pos. 10 (2)</v>
      </c>
      <c r="CA68" s="13">
        <f t="shared" ca="1" si="182"/>
        <v>0</v>
      </c>
      <c r="CB68" s="13">
        <f t="shared" ca="1" si="195"/>
        <v>11</v>
      </c>
      <c r="CC68" s="13"/>
      <c r="CD68" s="13">
        <f t="shared" ca="1" si="183"/>
        <v>11.010999999999999</v>
      </c>
      <c r="CE68" s="13">
        <f t="shared" ca="1" si="196"/>
        <v>10</v>
      </c>
      <c r="CF68" s="13">
        <f t="shared" ca="1" si="197"/>
        <v>11</v>
      </c>
      <c r="DJ68" s="13">
        <f t="shared" ca="1" si="184"/>
        <v>10</v>
      </c>
      <c r="DK68" s="13"/>
      <c r="DL68" s="13">
        <f t="shared" ca="1" si="185"/>
        <v>2</v>
      </c>
      <c r="DM68" s="13" t="str">
        <f t="shared" ca="1" si="186"/>
        <v>10.2</v>
      </c>
      <c r="DN68" s="13" t="e" cm="1" vm="19">
        <f t="array" aca="1" ref="DN68" ca="1">OFFSET(Horarios!$P$3,DJ68-1,0,DL68,1)</f>
        <v>#VALUE!</v>
      </c>
      <c r="DO68" s="13"/>
      <c r="DP68" s="13">
        <v>11</v>
      </c>
      <c r="DQ68" s="13" t="str">
        <f t="shared" ca="1" si="198"/>
        <v>Uzbekistán</v>
      </c>
    </row>
    <row r="69" spans="1:121" ht="16.05"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62"/>
      <c r="X69" s="21">
        <f ca="1">Horarios!C69</f>
        <v>46189.75</v>
      </c>
      <c r="Y69" s="22">
        <f ca="1">Horarios!C69</f>
        <v>46189.75</v>
      </c>
      <c r="Z69" s="23" t="str">
        <f>$Z$4</f>
        <v>J1</v>
      </c>
      <c r="AA69" s="24" t="str">
        <f ca="1">A71</f>
        <v>Irak</v>
      </c>
      <c r="AB69" s="46" t="e" cm="1" vm="36">
        <f t="array" aca="1" ref="AB69" ca="1">Ver_flag_local</f>
        <v>#VALUE!</v>
      </c>
      <c r="AC69" s="47">
        <v>0</v>
      </c>
      <c r="AD69" s="48">
        <v>2</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2</v>
      </c>
      <c r="BK69" s="13">
        <f t="shared" ca="1" si="173"/>
        <v>3</v>
      </c>
      <c r="BL69" s="13">
        <f t="shared" ca="1" si="190"/>
        <v>-1</v>
      </c>
      <c r="BM69" s="13">
        <f t="shared" ca="1" si="191"/>
        <v>5</v>
      </c>
      <c r="BN69" s="13">
        <f t="shared" ca="1" si="192"/>
        <v>5</v>
      </c>
      <c r="BO69" s="13" t="str">
        <f t="shared" si="174"/>
        <v>4L</v>
      </c>
      <c r="BP69" s="13"/>
      <c r="BQ69" s="13"/>
      <c r="BR69" s="13">
        <f t="shared" ca="1" si="175"/>
        <v>3</v>
      </c>
      <c r="BS69" s="13">
        <f t="shared" ca="1" si="193"/>
        <v>3</v>
      </c>
      <c r="BT69" s="13" t="str">
        <f t="shared" ca="1" si="194"/>
        <v>Pos. 3 (3)</v>
      </c>
      <c r="BU69" s="13">
        <f t="shared" ca="1" si="176"/>
        <v>-1</v>
      </c>
      <c r="BV69" s="13">
        <f t="shared" ca="1" si="177"/>
        <v>5</v>
      </c>
      <c r="BW69" s="13" t="str">
        <f t="shared" ca="1" si="178"/>
        <v>-</v>
      </c>
      <c r="BX69" s="13" t="str">
        <f t="shared" ca="1" si="179"/>
        <v>-</v>
      </c>
      <c r="BY69" s="13">
        <f t="shared" ca="1" si="180"/>
        <v>5</v>
      </c>
      <c r="BZ69" s="13" t="str">
        <f t="shared" ca="1" si="181"/>
        <v>-</v>
      </c>
      <c r="CA69" s="13" t="str">
        <f t="shared" ca="1" si="182"/>
        <v>-</v>
      </c>
      <c r="CB69" s="13">
        <f ca="1">BY69+COUNTIFS(BZ$58:BZ$69,BZ69,CA$58:CA$69,"&gt;"&amp;CA69)</f>
        <v>5</v>
      </c>
      <c r="CC69" s="13"/>
      <c r="CD69" s="13">
        <f t="shared" ca="1" si="183"/>
        <v>5</v>
      </c>
      <c r="CE69" s="13" t="str">
        <f t="shared" ca="1" si="196"/>
        <v>-</v>
      </c>
      <c r="CF69" s="13">
        <f t="shared" ca="1" si="197"/>
        <v>5</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Arabia Saudita</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4</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9</v>
      </c>
      <c r="AS70" s="33">
        <f t="shared" ca="1" si="233"/>
        <v>3</v>
      </c>
      <c r="AT70" s="38">
        <f t="shared" ca="1" si="233"/>
        <v>6</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2</v>
      </c>
      <c r="AD71" s="48">
        <v>2</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6</v>
      </c>
      <c r="AS71" s="36">
        <f t="shared" ca="1" si="233"/>
        <v>5</v>
      </c>
      <c r="AT71" s="40">
        <f t="shared" ca="1" si="233"/>
        <v>1</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2</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5</v>
      </c>
      <c r="AS72" s="36">
        <f t="shared" ca="1" si="233"/>
        <v>4</v>
      </c>
      <c r="AT72" s="40">
        <f t="shared" ca="1" si="233"/>
        <v>1</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2</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8</v>
      </c>
      <c r="AT73" s="45">
        <f t="shared" ca="1" si="233"/>
        <v>-8</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58" t="s">
        <v>5</v>
      </c>
      <c r="X76" s="21">
        <f ca="1">Horarios!C76</f>
        <v>46189.875</v>
      </c>
      <c r="Y76" s="22">
        <f ca="1">Horarios!C76</f>
        <v>46189.875</v>
      </c>
      <c r="Z76" s="23" t="str">
        <f>$Z$4</f>
        <v>J1</v>
      </c>
      <c r="AA76" s="24" t="str">
        <f ca="1">A77</f>
        <v>Argentina</v>
      </c>
      <c r="AB76" s="46" t="e" cm="1" vm="38">
        <f t="array" aca="1" ref="AB76" ca="1">Ver_flag_local</f>
        <v>#VALUE!</v>
      </c>
      <c r="AC76" s="47">
        <v>2</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Empate</v>
      </c>
      <c r="E77" s="13" t="str">
        <f t="shared" ca="1" si="236"/>
        <v>P.3 (2)</v>
      </c>
      <c r="F77" s="13" t="str">
        <f t="shared" ca="1" si="237"/>
        <v>P.3 (2)</v>
      </c>
      <c r="G77" s="13"/>
      <c r="H77" s="13" t="str">
        <f t="shared" ca="1" si="238"/>
        <v>P.3 (2)</v>
      </c>
      <c r="I77" s="13" t="str">
        <f t="shared" ca="1" si="239"/>
        <v>P.3 (2)</v>
      </c>
      <c r="J77" s="13"/>
      <c r="K77" s="13" t="str">
        <f t="shared" ca="1" si="240"/>
        <v>P.3 (2)</v>
      </c>
      <c r="L77" s="13" t="str">
        <f t="shared" ca="1" si="241"/>
        <v>P.3 (2)</v>
      </c>
      <c r="M77" s="13"/>
      <c r="N77" s="13" t="str">
        <f t="shared" ca="1" si="242"/>
        <v>P.3 (2)</v>
      </c>
      <c r="O77" s="13" t="str">
        <f t="shared" ca="1" si="243"/>
        <v>P.3 (2)</v>
      </c>
      <c r="P77" s="13"/>
      <c r="Q77" s="13" t="str">
        <f t="shared" ca="1" si="244"/>
        <v>P.3 (2)</v>
      </c>
      <c r="R77" s="13" t="str">
        <f t="shared" ca="1" si="245"/>
        <v>P.3 (2)</v>
      </c>
      <c r="S77" s="13"/>
      <c r="T77" s="13" t="str">
        <f t="shared" ca="1" si="246"/>
        <v>P.3 (2)</v>
      </c>
      <c r="U77" s="13" t="str">
        <f t="shared" ca="1" si="247"/>
        <v>P.3 (2)</v>
      </c>
      <c r="V77" s="14"/>
      <c r="W77" s="658"/>
      <c r="X77" s="21">
        <f ca="1">Horarios!C77</f>
        <v>46190</v>
      </c>
      <c r="Y77" s="22">
        <f ca="1">Horarios!C77</f>
        <v>46190</v>
      </c>
      <c r="Z77" s="23" t="str">
        <f>$Z$4</f>
        <v>J1</v>
      </c>
      <c r="AA77" s="24" t="str">
        <f ca="1">A79</f>
        <v>Austria</v>
      </c>
      <c r="AB77" s="46" t="e" cm="1" vm="40">
        <f t="array" aca="1" ref="AB77" ca="1">Ver_flag_local</f>
        <v>#VALUE!</v>
      </c>
      <c r="AC77" s="47">
        <v>0</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P.3 (2)</v>
      </c>
      <c r="G78" s="13"/>
      <c r="H78" s="13" t="str">
        <f t="shared" ca="1" si="238"/>
        <v>-</v>
      </c>
      <c r="I78" s="13" t="str">
        <f t="shared" ca="1" si="239"/>
        <v>P.3 (2)</v>
      </c>
      <c r="J78" s="13"/>
      <c r="K78" s="13" t="str">
        <f t="shared" ca="1" si="240"/>
        <v>-</v>
      </c>
      <c r="L78" s="13" t="str">
        <f t="shared" ca="1" si="241"/>
        <v>P.3 (2)</v>
      </c>
      <c r="M78" s="13"/>
      <c r="N78" s="13" t="str">
        <f t="shared" ca="1" si="242"/>
        <v>-</v>
      </c>
      <c r="O78" s="13" t="str">
        <f t="shared" ca="1" si="243"/>
        <v>P.3 (2)</v>
      </c>
      <c r="P78" s="13"/>
      <c r="Q78" s="13" t="str">
        <f t="shared" ca="1" si="244"/>
        <v>-</v>
      </c>
      <c r="R78" s="13" t="str">
        <f t="shared" ca="1" si="245"/>
        <v>P.3 (2)</v>
      </c>
      <c r="S78" s="13"/>
      <c r="T78" s="13" t="str">
        <f t="shared" ca="1" si="246"/>
        <v>-</v>
      </c>
      <c r="U78" s="13" t="str">
        <f t="shared" ca="1" si="247"/>
        <v>P.3 (2)</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3</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1</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P.3 (2)</v>
      </c>
      <c r="F79" s="13" t="str">
        <f t="shared" ca="1" si="237"/>
        <v>-</v>
      </c>
      <c r="G79" s="13"/>
      <c r="H79" s="13" t="str">
        <f t="shared" ca="1" si="238"/>
        <v>P.3 (2)</v>
      </c>
      <c r="I79" s="13" t="str">
        <f t="shared" ca="1" si="239"/>
        <v>-</v>
      </c>
      <c r="J79" s="13"/>
      <c r="K79" s="13" t="str">
        <f t="shared" ca="1" si="240"/>
        <v>P.3 (2)</v>
      </c>
      <c r="L79" s="13" t="str">
        <f t="shared" ca="1" si="241"/>
        <v>-</v>
      </c>
      <c r="M79" s="13"/>
      <c r="N79" s="13" t="str">
        <f t="shared" ca="1" si="242"/>
        <v>P.3 (2)</v>
      </c>
      <c r="O79" s="13" t="str">
        <f t="shared" ca="1" si="243"/>
        <v>-</v>
      </c>
      <c r="P79" s="13"/>
      <c r="Q79" s="13" t="str">
        <f t="shared" ca="1" si="244"/>
        <v>P.3 (2)</v>
      </c>
      <c r="R79" s="13" t="str">
        <f t="shared" ca="1" si="245"/>
        <v>-</v>
      </c>
      <c r="S79" s="13"/>
      <c r="T79" s="13" t="str">
        <f t="shared" ca="1" si="246"/>
        <v>P.3 (2)</v>
      </c>
      <c r="U79" s="13" t="str">
        <f t="shared" ca="1" si="247"/>
        <v>-</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1</v>
      </c>
      <c r="AD79" s="48">
        <v>2</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6</v>
      </c>
      <c r="AN79" s="36">
        <f t="shared" ca="1" si="251"/>
        <v>3</v>
      </c>
      <c r="AO79" s="36">
        <f t="shared" ca="1" si="251"/>
        <v>2</v>
      </c>
      <c r="AP79" s="36">
        <f t="shared" ca="1" si="251"/>
        <v>0</v>
      </c>
      <c r="AQ79" s="36">
        <f t="shared" ca="1" si="251"/>
        <v>1</v>
      </c>
      <c r="AR79" s="36">
        <f t="shared" ca="1" si="251"/>
        <v>3</v>
      </c>
      <c r="AS79" s="36">
        <f t="shared" ca="1" si="251"/>
        <v>3</v>
      </c>
      <c r="AT79" s="40">
        <f t="shared" ca="1" si="251"/>
        <v>0</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Local</v>
      </c>
      <c r="E80" s="13" t="str">
        <f t="shared" ca="1" si="236"/>
        <v>-</v>
      </c>
      <c r="F80" s="13" t="str">
        <f t="shared" ca="1" si="237"/>
        <v>P.3 (2)</v>
      </c>
      <c r="G80" s="13"/>
      <c r="H80" s="13" t="str">
        <f t="shared" ca="1" si="238"/>
        <v>-</v>
      </c>
      <c r="I80" s="13" t="str">
        <f t="shared" ca="1" si="239"/>
        <v>P.3 (2)</v>
      </c>
      <c r="J80" s="13"/>
      <c r="K80" s="13" t="str">
        <f t="shared" ca="1" si="240"/>
        <v>-</v>
      </c>
      <c r="L80" s="13" t="str">
        <f t="shared" ca="1" si="241"/>
        <v>P.3 (2)</v>
      </c>
      <c r="M80" s="13"/>
      <c r="N80" s="13" t="str">
        <f t="shared" ca="1" si="242"/>
        <v>-</v>
      </c>
      <c r="O80" s="13" t="str">
        <f t="shared" ca="1" si="243"/>
        <v>P.3 (2)</v>
      </c>
      <c r="P80" s="13"/>
      <c r="Q80" s="13" t="str">
        <f t="shared" ca="1" si="244"/>
        <v>-</v>
      </c>
      <c r="R80" s="13" t="str">
        <f t="shared" ca="1" si="245"/>
        <v>P.3 (2)</v>
      </c>
      <c r="S80" s="13"/>
      <c r="T80" s="13" t="str">
        <f t="shared" ca="1" si="246"/>
        <v>-</v>
      </c>
      <c r="U80" s="13" t="str">
        <f t="shared" ca="1" si="247"/>
        <v>P.3 (2)</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1</v>
      </c>
      <c r="AD80" s="48">
        <v>0</v>
      </c>
      <c r="AE80" s="582" t="e" cm="1" vm="40">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Austria</v>
      </c>
      <c r="AM80" s="35">
        <f t="shared" ca="1" si="251"/>
        <v>1</v>
      </c>
      <c r="AN80" s="36">
        <f t="shared" ca="1" si="251"/>
        <v>3</v>
      </c>
      <c r="AO80" s="36">
        <f t="shared" ca="1" si="251"/>
        <v>0</v>
      </c>
      <c r="AP80" s="36">
        <f t="shared" ca="1" si="251"/>
        <v>1</v>
      </c>
      <c r="AQ80" s="36">
        <f t="shared" ca="1" si="251"/>
        <v>2</v>
      </c>
      <c r="AR80" s="36">
        <f t="shared" ca="1" si="251"/>
        <v>1</v>
      </c>
      <c r="AS80" s="36">
        <f t="shared" ca="1" si="251"/>
        <v>4</v>
      </c>
      <c r="AT80" s="40">
        <f t="shared" ca="1" si="251"/>
        <v>-3</v>
      </c>
      <c r="AU80" s="318">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Visitante</v>
      </c>
      <c r="E81" s="13" t="str">
        <f t="shared" ca="1" si="236"/>
        <v>P.3 (2)</v>
      </c>
      <c r="F81" s="13" t="str">
        <f t="shared" ca="1" si="237"/>
        <v>-</v>
      </c>
      <c r="G81" s="13"/>
      <c r="H81" s="13" t="str">
        <f t="shared" ca="1" si="238"/>
        <v>P.3 (2)</v>
      </c>
      <c r="I81" s="13" t="str">
        <f t="shared" ca="1" si="239"/>
        <v>-</v>
      </c>
      <c r="J81" s="13"/>
      <c r="K81" s="13" t="str">
        <f t="shared" ca="1" si="240"/>
        <v>P.3 (2)</v>
      </c>
      <c r="L81" s="13" t="str">
        <f t="shared" ca="1" si="241"/>
        <v>-</v>
      </c>
      <c r="M81" s="13"/>
      <c r="N81" s="13" t="str">
        <f t="shared" ca="1" si="242"/>
        <v>P.3 (2)</v>
      </c>
      <c r="O81" s="13" t="str">
        <f t="shared" ca="1" si="243"/>
        <v>-</v>
      </c>
      <c r="P81" s="13"/>
      <c r="Q81" s="13" t="str">
        <f t="shared" ca="1" si="244"/>
        <v>P.3 (2)</v>
      </c>
      <c r="R81" s="13" t="str">
        <f t="shared" ca="1" si="245"/>
        <v>-</v>
      </c>
      <c r="S81" s="13"/>
      <c r="T81" s="13" t="str">
        <f t="shared" ca="1" si="246"/>
        <v>P.3 (2)</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3</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1</v>
      </c>
      <c r="AS81" s="44">
        <f t="shared" ca="1" si="251"/>
        <v>5</v>
      </c>
      <c r="AT81" s="45">
        <f t="shared" ca="1" si="251"/>
        <v>-4</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P.3 (2)</v>
      </c>
      <c r="G84" s="13"/>
      <c r="H84" s="13" t="str">
        <f t="shared" ref="H84:H89" ca="1" si="256">IF(D84="Pendiente","-",INDEX($BZ$6:$BZ$53,MATCH($AA84,$BD$6:$BD$53,0)))</f>
        <v>P.1 (2)</v>
      </c>
      <c r="I84" s="13" t="str">
        <f t="shared" ref="I84:I89" ca="1" si="257">IF(D84="Pendiente","-",INDEX($BZ$6:$BZ$53,MATCH($AF84,$BD$6:$BD$53,0)))</f>
        <v>P.3 (2)</v>
      </c>
      <c r="J84" s="13"/>
      <c r="K84" s="13" t="str">
        <f t="shared" ref="K84:K89" ca="1" si="258">IF(D84="Pendiente","-",INDEX($CE$6:$CE$53,MATCH($AA84,$BD$6:$BD$53,0)))</f>
        <v>P.1 (2)</v>
      </c>
      <c r="L84" s="13" t="str">
        <f t="shared" ref="L84:L89" ca="1" si="259">IF(D84="Pendiente","-",INDEX($CE$6:$CE$53,MATCH($AF84,$BD$6:$BD$53,0)))</f>
        <v>P.3 (2)</v>
      </c>
      <c r="M84" s="13"/>
      <c r="N84" s="13" t="str">
        <f t="shared" ref="N84:N89" ca="1" si="260">IF(D84="Pendiente","-",INDEX($CH$6:$CH$53,MATCH($AA84,$BD$6:$BD$53,0)))</f>
        <v>P.1 (2)</v>
      </c>
      <c r="O84" s="13" t="str">
        <f t="shared" ref="O84:O89" ca="1" si="261">IF(D84="Pendiente","-",INDEX($CH$6:$CH$53,MATCH($AF84,$BD$6:$BD$53,0)))</f>
        <v>P.3 (2)</v>
      </c>
      <c r="P84" s="13"/>
      <c r="Q84" s="13" t="str">
        <f t="shared" ref="Q84:Q89" ca="1" si="262">IF(D84="Pendiente","-",INDEX($CN$6:$CN$53,MATCH($AA84,$BD$6:$BD$53,0)))</f>
        <v>P.1 (2)</v>
      </c>
      <c r="R84" s="13" t="str">
        <f t="shared" ref="R84:R89" ca="1" si="263">IF(D84="Pendiente","-",INDEX($CN$6:$CN$53,MATCH($AF84,$BD$6:$BD$53,0)))</f>
        <v>P.3 (2)</v>
      </c>
      <c r="S84" s="13"/>
      <c r="T84" s="13" t="str">
        <f t="shared" ref="T84:T89" ca="1" si="264">IF(D84="Pendiente","-",INDEX($CS$6:$CS$53,MATCH($AA84,$BD$6:$BD$53,0)))</f>
        <v>P.1 (2)</v>
      </c>
      <c r="U84" s="13" t="str">
        <f t="shared" ref="U84:U89" ca="1" si="265">IF(D84="Pendiente","-",INDEX($CS$6:$CS$53,MATCH($AF84,$BD$6:$BD$53,0)))</f>
        <v>P.3 (2)</v>
      </c>
      <c r="V84" s="14"/>
      <c r="W84" s="66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1</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P.3 (2)</v>
      </c>
      <c r="F85" s="13" t="str">
        <f t="shared" ca="1" si="255"/>
        <v>P.1 (2)</v>
      </c>
      <c r="G85" s="13"/>
      <c r="H85" s="13" t="str">
        <f t="shared" ca="1" si="256"/>
        <v>P.3 (2)</v>
      </c>
      <c r="I85" s="13" t="str">
        <f t="shared" ca="1" si="257"/>
        <v>P.1 (2)</v>
      </c>
      <c r="J85" s="13"/>
      <c r="K85" s="13" t="str">
        <f t="shared" ca="1" si="258"/>
        <v>P.3 (2)</v>
      </c>
      <c r="L85" s="13" t="str">
        <f t="shared" ca="1" si="259"/>
        <v>P.1 (2)</v>
      </c>
      <c r="M85" s="13"/>
      <c r="N85" s="13" t="str">
        <f t="shared" ca="1" si="260"/>
        <v>P.3 (2)</v>
      </c>
      <c r="O85" s="13" t="str">
        <f t="shared" ca="1" si="261"/>
        <v>P.1 (2)</v>
      </c>
      <c r="P85" s="13"/>
      <c r="Q85" s="13" t="str">
        <f t="shared" ca="1" si="262"/>
        <v>P.3 (2)</v>
      </c>
      <c r="R85" s="13" t="str">
        <f t="shared" ca="1" si="263"/>
        <v>P.1 (2)</v>
      </c>
      <c r="S85" s="13"/>
      <c r="T85" s="13" t="str">
        <f t="shared" ca="1" si="264"/>
        <v>P.3 (2)</v>
      </c>
      <c r="U85" s="13" t="str">
        <f t="shared" ca="1" si="265"/>
        <v>P.1 (2)</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2</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P.1 (2)</v>
      </c>
      <c r="F86" s="13" t="str">
        <f t="shared" ca="1" si="255"/>
        <v>P.3 (2)</v>
      </c>
      <c r="G86" s="13"/>
      <c r="H86" s="13" t="str">
        <f t="shared" ca="1" si="256"/>
        <v>P.1 (2)</v>
      </c>
      <c r="I86" s="13" t="str">
        <f t="shared" ca="1" si="257"/>
        <v>P.3 (2)</v>
      </c>
      <c r="J86" s="13"/>
      <c r="K86" s="13" t="str">
        <f t="shared" ca="1" si="258"/>
        <v>P.1 (2)</v>
      </c>
      <c r="L86" s="13" t="str">
        <f t="shared" ca="1" si="259"/>
        <v>P.3 (2)</v>
      </c>
      <c r="M86" s="13"/>
      <c r="N86" s="13" t="str">
        <f t="shared" ca="1" si="260"/>
        <v>P.1 (2)</v>
      </c>
      <c r="O86" s="13" t="str">
        <f t="shared" ca="1" si="261"/>
        <v>P.3 (2)</v>
      </c>
      <c r="P86" s="13"/>
      <c r="Q86" s="13" t="str">
        <f t="shared" ca="1" si="262"/>
        <v>P.1 (2)</v>
      </c>
      <c r="R86" s="13" t="str">
        <f t="shared" ca="1" si="263"/>
        <v>P.3 (2)</v>
      </c>
      <c r="S86" s="13"/>
      <c r="T86" s="13" t="str">
        <f t="shared" ca="1" si="264"/>
        <v>P.1 (2)</v>
      </c>
      <c r="U86" s="13" t="str">
        <f t="shared" ca="1" si="265"/>
        <v>P.3 (2)</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2</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6</v>
      </c>
      <c r="AS86" s="33">
        <f t="shared" ca="1" si="269"/>
        <v>2</v>
      </c>
      <c r="AT86" s="38">
        <f t="shared" ca="1" si="269"/>
        <v>4</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P.1 (2)</v>
      </c>
      <c r="F87" s="13" t="str">
        <f t="shared" ca="1" si="255"/>
        <v>P.3 (2)</v>
      </c>
      <c r="G87" s="13"/>
      <c r="H87" s="13" t="str">
        <f t="shared" ca="1" si="256"/>
        <v>P.1 (2)</v>
      </c>
      <c r="I87" s="13" t="str">
        <f t="shared" ca="1" si="257"/>
        <v>P.3 (2)</v>
      </c>
      <c r="J87" s="13"/>
      <c r="K87" s="13" t="str">
        <f t="shared" ca="1" si="258"/>
        <v>P.1 (2)</v>
      </c>
      <c r="L87" s="13" t="str">
        <f t="shared" ca="1" si="259"/>
        <v>P.3 (2)</v>
      </c>
      <c r="M87" s="13"/>
      <c r="N87" s="13" t="str">
        <f t="shared" ca="1" si="260"/>
        <v>P.1 (2)</v>
      </c>
      <c r="O87" s="13" t="str">
        <f t="shared" ca="1" si="261"/>
        <v>P.3 (2)</v>
      </c>
      <c r="P87" s="13"/>
      <c r="Q87" s="13" t="str">
        <f t="shared" ca="1" si="262"/>
        <v>P.1 (2)</v>
      </c>
      <c r="R87" s="13" t="str">
        <f t="shared" ca="1" si="263"/>
        <v>P.3 (2)</v>
      </c>
      <c r="S87" s="13"/>
      <c r="T87" s="13" t="str">
        <f t="shared" ca="1" si="264"/>
        <v>P.1 (2)</v>
      </c>
      <c r="U87" s="13" t="str">
        <f t="shared" ca="1" si="265"/>
        <v>P.3 (2)</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2</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5</v>
      </c>
      <c r="AS87" s="36">
        <f t="shared" ca="1" si="269"/>
        <v>2</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64"/>
      <c r="X88" s="21">
        <f ca="1">Horarios!C88</f>
        <v>46200.8125</v>
      </c>
      <c r="Y88" s="22">
        <f ca="1">Horarios!C88</f>
        <v>46200.8125</v>
      </c>
      <c r="Z88" s="23" t="str">
        <f>$Z$8</f>
        <v>J3</v>
      </c>
      <c r="AA88" s="24" t="str">
        <f ca="1">A88</f>
        <v>Colombia</v>
      </c>
      <c r="AB88" s="46" t="e" cm="1" vm="45">
        <f t="array" aca="1" ref="AB88" ca="1">Ver_flag_local</f>
        <v>#VALUE!</v>
      </c>
      <c r="AC88" s="47">
        <v>1</v>
      </c>
      <c r="AD88" s="48">
        <v>1</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1</v>
      </c>
      <c r="AS88" s="36">
        <f t="shared" ca="1" si="269"/>
        <v>4</v>
      </c>
      <c r="AT88" s="40">
        <f t="shared" ca="1" si="269"/>
        <v>-3</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65"/>
      <c r="X89" s="25">
        <f ca="1">Horarios!C89</f>
        <v>46200.8125</v>
      </c>
      <c r="Y89" s="26">
        <f ca="1">Horarios!C89</f>
        <v>46200.8125</v>
      </c>
      <c r="Z89" s="27" t="str">
        <f>$Z$8</f>
        <v>J3</v>
      </c>
      <c r="AA89" s="28" t="str">
        <f ca="1">A86</f>
        <v>RD Congo</v>
      </c>
      <c r="AB89" s="49" t="e" cm="1" vm="43">
        <f t="array" aca="1" ref="AB89" ca="1">Ver_flag_local</f>
        <v>#VALUE!</v>
      </c>
      <c r="AC89" s="50">
        <v>0</v>
      </c>
      <c r="AD89" s="51">
        <v>0</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1</v>
      </c>
      <c r="AS89" s="44">
        <f t="shared" ca="1" si="269"/>
        <v>5</v>
      </c>
      <c r="AT89" s="45">
        <f t="shared" ca="1" si="269"/>
        <v>-4</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Empate</v>
      </c>
      <c r="E92" s="13" t="str">
        <f t="shared" ref="E92:E97" ca="1" si="272">IF(D92="Pendiente","-",INDEX($BT$6:$BT$53,MATCH($AA92,$BD$6:$BD$53,0)))</f>
        <v>P.1 (2)</v>
      </c>
      <c r="F92" s="13" t="str">
        <f t="shared" ref="F92:F97" ca="1" si="273">IF(D92="Pendiente","-",INDEX($BT$6:$BT$53,MATCH($AF92,$BD$6:$BD$53,0)))</f>
        <v>P.1 (2)</v>
      </c>
      <c r="G92" s="13"/>
      <c r="H92" s="13" t="str">
        <f t="shared" ref="H92:H97" ca="1" si="274">IF(D92="Pendiente","-",INDEX($BZ$6:$BZ$53,MATCH($AA92,$BD$6:$BD$53,0)))</f>
        <v>P.1 (2)</v>
      </c>
      <c r="I92" s="13" t="str">
        <f t="shared" ref="I92:I97" ca="1" si="275">IF(D92="Pendiente","-",INDEX($BZ$6:$BZ$53,MATCH($AF92,$BD$6:$BD$53,0)))</f>
        <v>P.1 (2)</v>
      </c>
      <c r="J92" s="13"/>
      <c r="K92" s="13" t="str">
        <f t="shared" ref="K92:K97" ca="1" si="276">IF(D92="Pendiente","-",INDEX($CE$6:$CE$53,MATCH($AA92,$BD$6:$BD$53,0)))</f>
        <v>P.1 (2)</v>
      </c>
      <c r="L92" s="13" t="str">
        <f t="shared" ref="L92:L97" ca="1" si="277">IF(D92="Pendiente","-",INDEX($CE$6:$CE$53,MATCH($AF92,$BD$6:$BD$53,0)))</f>
        <v>P.1 (2)</v>
      </c>
      <c r="M92" s="13"/>
      <c r="N92" s="13" t="str">
        <f t="shared" ref="N92:N97" ca="1" si="278">IF(D92="Pendiente","-",INDEX($CH$6:$CH$53,MATCH($AA92,$BD$6:$BD$53,0)))</f>
        <v>P.1 (2)</v>
      </c>
      <c r="O92" s="13" t="str">
        <f t="shared" ref="O92:O97" ca="1" si="279">IF(D92="Pendiente","-",INDEX($CH$6:$CH$53,MATCH($AF92,$BD$6:$BD$53,0)))</f>
        <v>P.1 (2)</v>
      </c>
      <c r="P92" s="13"/>
      <c r="Q92" s="13" t="str">
        <f t="shared" ref="Q92:Q97" ca="1" si="280">IF(D92="Pendiente","-",INDEX($CN$6:$CN$53,MATCH($AA92,$BD$6:$BD$53,0)))</f>
        <v>P.1 (2)</v>
      </c>
      <c r="R92" s="13" t="str">
        <f t="shared" ref="R92:R97" ca="1" si="281">IF(D92="Pendiente","-",INDEX($CN$6:$CN$53,MATCH($AF92,$BD$6:$BD$53,0)))</f>
        <v>P.1 (2)</v>
      </c>
      <c r="S92" s="13"/>
      <c r="T92" s="13" t="str">
        <f t="shared" ref="T92:T97" ca="1" si="282">IF(D92="Pendiente","-",INDEX($CS$6:$CS$53,MATCH($AA92,$BD$6:$BD$53,0)))</f>
        <v>P.1 (2)</v>
      </c>
      <c r="U92" s="13" t="str">
        <f t="shared" ref="U92:U97" ca="1" si="283">IF(D92="Pendiente","-",INDEX($CS$6:$CS$53,MATCH($AF92,$BD$6:$BD$53,0)))</f>
        <v>P.1 (2)</v>
      </c>
      <c r="V92" s="14"/>
      <c r="W92" s="660"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1</v>
      </c>
      <c r="AD93" s="48">
        <v>0</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P.1 (2)</v>
      </c>
      <c r="F94" s="13" t="str">
        <f t="shared" ca="1" si="273"/>
        <v>-</v>
      </c>
      <c r="G94" s="13"/>
      <c r="H94" s="13" t="str">
        <f t="shared" ca="1" si="274"/>
        <v>P.1 (2)</v>
      </c>
      <c r="I94" s="13" t="str">
        <f t="shared" ca="1" si="275"/>
        <v>-</v>
      </c>
      <c r="J94" s="13"/>
      <c r="K94" s="13" t="str">
        <f t="shared" ca="1" si="276"/>
        <v>P.1 (2)</v>
      </c>
      <c r="L94" s="13" t="str">
        <f t="shared" ca="1" si="277"/>
        <v>-</v>
      </c>
      <c r="M94" s="13"/>
      <c r="N94" s="13" t="str">
        <f t="shared" ca="1" si="278"/>
        <v>P.1 (2)</v>
      </c>
      <c r="O94" s="13" t="str">
        <f t="shared" ca="1" si="279"/>
        <v>-</v>
      </c>
      <c r="P94" s="13"/>
      <c r="Q94" s="13" t="str">
        <f t="shared" ca="1" si="280"/>
        <v>P.1 (2)</v>
      </c>
      <c r="R94" s="13" t="str">
        <f t="shared" ca="1" si="281"/>
        <v>-</v>
      </c>
      <c r="S94" s="13"/>
      <c r="T94" s="13" t="str">
        <f t="shared" ca="1" si="282"/>
        <v>P.1 (2)</v>
      </c>
      <c r="U94" s="13" t="str">
        <f t="shared" ca="1" si="283"/>
        <v>-</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1</v>
      </c>
      <c r="AD94" s="48">
        <v>0</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5</v>
      </c>
      <c r="AS94" s="33">
        <f t="shared" ca="1" si="287"/>
        <v>1</v>
      </c>
      <c r="AT94" s="38">
        <f t="shared" ca="1" si="287"/>
        <v>4</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P.1 (2)</v>
      </c>
      <c r="G95" s="13"/>
      <c r="H95" s="13" t="str">
        <f t="shared" ca="1" si="274"/>
        <v>-</v>
      </c>
      <c r="I95" s="13" t="str">
        <f t="shared" ca="1" si="275"/>
        <v>P.1 (2)</v>
      </c>
      <c r="J95" s="13"/>
      <c r="K95" s="13" t="str">
        <f t="shared" ca="1" si="276"/>
        <v>-</v>
      </c>
      <c r="L95" s="13" t="str">
        <f t="shared" ca="1" si="277"/>
        <v>P.1 (2)</v>
      </c>
      <c r="M95" s="13"/>
      <c r="N95" s="13" t="str">
        <f t="shared" ca="1" si="278"/>
        <v>-</v>
      </c>
      <c r="O95" s="13" t="str">
        <f t="shared" ca="1" si="279"/>
        <v>P.1 (2)</v>
      </c>
      <c r="P95" s="13"/>
      <c r="Q95" s="13" t="str">
        <f t="shared" ca="1" si="280"/>
        <v>-</v>
      </c>
      <c r="R95" s="13" t="str">
        <f t="shared" ca="1" si="281"/>
        <v>P.1 (2)</v>
      </c>
      <c r="S95" s="13"/>
      <c r="T95" s="13" t="str">
        <f t="shared" ca="1" si="282"/>
        <v>-</v>
      </c>
      <c r="U95" s="13" t="str">
        <f t="shared" ca="1" si="283"/>
        <v>P.1 (2)</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0</v>
      </c>
      <c r="AD95" s="48">
        <v>2</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7</v>
      </c>
      <c r="AN95" s="36">
        <f t="shared" ca="1" si="287"/>
        <v>3</v>
      </c>
      <c r="AO95" s="36">
        <f t="shared" ca="1" si="287"/>
        <v>2</v>
      </c>
      <c r="AP95" s="36">
        <f t="shared" ca="1" si="287"/>
        <v>1</v>
      </c>
      <c r="AQ95" s="36">
        <f t="shared" ca="1" si="287"/>
        <v>0</v>
      </c>
      <c r="AR95" s="36">
        <f t="shared" ca="1" si="287"/>
        <v>5</v>
      </c>
      <c r="AS95" s="36">
        <f t="shared" ca="1" si="287"/>
        <v>2</v>
      </c>
      <c r="AT95" s="40">
        <f t="shared" ca="1" si="287"/>
        <v>3</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P.1 (2)</v>
      </c>
      <c r="G96" s="13"/>
      <c r="H96" s="13" t="str">
        <f t="shared" ca="1" si="274"/>
        <v>-</v>
      </c>
      <c r="I96" s="13" t="str">
        <f t="shared" ca="1" si="275"/>
        <v>P.1 (2)</v>
      </c>
      <c r="J96" s="13"/>
      <c r="K96" s="13" t="str">
        <f t="shared" ca="1" si="276"/>
        <v>-</v>
      </c>
      <c r="L96" s="13" t="str">
        <f t="shared" ca="1" si="277"/>
        <v>P.1 (2)</v>
      </c>
      <c r="M96" s="13"/>
      <c r="N96" s="13" t="str">
        <f t="shared" ca="1" si="278"/>
        <v>-</v>
      </c>
      <c r="O96" s="13" t="str">
        <f t="shared" ca="1" si="279"/>
        <v>P.1 (2)</v>
      </c>
      <c r="P96" s="13"/>
      <c r="Q96" s="13" t="str">
        <f t="shared" ca="1" si="280"/>
        <v>-</v>
      </c>
      <c r="R96" s="13" t="str">
        <f t="shared" ca="1" si="281"/>
        <v>P.1 (2)</v>
      </c>
      <c r="S96" s="13"/>
      <c r="T96" s="13" t="str">
        <f t="shared" ca="1" si="282"/>
        <v>-</v>
      </c>
      <c r="U96" s="13" t="str">
        <f t="shared" ca="1" si="283"/>
        <v>P.1 (2)</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0</v>
      </c>
      <c r="AD96" s="48">
        <v>3</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2</v>
      </c>
      <c r="AS96" s="36">
        <f t="shared" ca="1" si="287"/>
        <v>3</v>
      </c>
      <c r="AT96" s="40">
        <f t="shared" ca="1" si="287"/>
        <v>-1</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P.1 (2)</v>
      </c>
      <c r="F97" s="13" t="str">
        <f t="shared" ca="1" si="273"/>
        <v>-</v>
      </c>
      <c r="G97" s="13"/>
      <c r="H97" s="13" t="str">
        <f t="shared" ca="1" si="274"/>
        <v>P.1 (2)</v>
      </c>
      <c r="I97" s="13" t="str">
        <f t="shared" ca="1" si="275"/>
        <v>-</v>
      </c>
      <c r="J97" s="13"/>
      <c r="K97" s="13" t="str">
        <f t="shared" ca="1" si="276"/>
        <v>P.1 (2)</v>
      </c>
      <c r="L97" s="13" t="str">
        <f t="shared" ca="1" si="277"/>
        <v>-</v>
      </c>
      <c r="M97" s="13"/>
      <c r="N97" s="13" t="str">
        <f t="shared" ca="1" si="278"/>
        <v>P.1 (2)</v>
      </c>
      <c r="O97" s="13" t="str">
        <f t="shared" ca="1" si="279"/>
        <v>-</v>
      </c>
      <c r="P97" s="13"/>
      <c r="Q97" s="13" t="str">
        <f t="shared" ca="1" si="280"/>
        <v>P.1 (2)</v>
      </c>
      <c r="R97" s="13" t="str">
        <f t="shared" ca="1" si="281"/>
        <v>-</v>
      </c>
      <c r="S97" s="13"/>
      <c r="T97" s="13" t="str">
        <f t="shared" ca="1" si="282"/>
        <v>P.1 (2)</v>
      </c>
      <c r="U97" s="13" t="str">
        <f t="shared" ca="1" si="283"/>
        <v>-</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2</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0</v>
      </c>
      <c r="AS97" s="44">
        <f t="shared" ca="1" si="287"/>
        <v>6</v>
      </c>
      <c r="AT97" s="45">
        <f t="shared" ca="1" si="287"/>
        <v>-6</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Corea del Sur</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Corea del Sur</v>
      </c>
      <c r="AB101" s="86"/>
      <c r="AC101" s="48">
        <v>2</v>
      </c>
      <c r="AD101" s="48">
        <v>1</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6</v>
      </c>
      <c r="AV101" s="183"/>
      <c r="AW101" s="206"/>
      <c r="AX101" s="206"/>
      <c r="AY101" s="323" t="str">
        <f ca="1">+IF(OR($H$113&gt;=48,$AJ$99=144),Idiomas!D68,"")</f>
        <v xml:space="preserve">Grupos mejores 3ºs: </v>
      </c>
      <c r="AZ101" s="324" t="str">
        <f ca="1">+IF(OR($H$113&gt;=48,$AJ$99=144),BI112,"")</f>
        <v>ACDEFGIL</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Japón</v>
      </c>
      <c r="AG102" s="315">
        <f t="shared" ca="1" si="294"/>
        <v>1</v>
      </c>
      <c r="AH102" s="188">
        <v>76</v>
      </c>
      <c r="AI102" s="178">
        <v>1</v>
      </c>
      <c r="AJ102" s="77">
        <v>1</v>
      </c>
      <c r="AK102" s="592" t="e" cm="1" vm="35">
        <f t="array" aca="1" ref="AK102" ca="1">Ver_flag_visit</f>
        <v>#VALUE!</v>
      </c>
      <c r="AL102" s="78" t="str">
        <f t="shared" ref="AL102:AL113" ca="1" si="297">+IF($H$113&gt;=48,INDEX($BD$58:$BD$69,MATCH(AI102,$BN$58:$BN$69,0)),BB58)</f>
        <v>Senegal</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8">
        <f t="shared" ref="AU102:AU113" ca="1" si="299">IF($H$113=144,INDEX($DL$58:$DL$69,MATCH(AI102,$DP$58:$DP$69,0)),"")</f>
        <v>1</v>
      </c>
      <c r="AV102" s="178" t="str">
        <f t="shared" ref="AV102:AV113" ca="1" si="300">INDEX($BD$58:$BD$69,MATCH(AI102,$BM$58:$BM$69,0))</f>
        <v>Senegal</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66"/>
      <c r="X103" s="21">
        <f ca="1">Horarios!C103</f>
        <v>46202.6875</v>
      </c>
      <c r="Y103" s="22">
        <f ca="1">Horarios!C103</f>
        <v>46202.6875</v>
      </c>
      <c r="Z103" s="269">
        <f t="shared" si="296"/>
        <v>74</v>
      </c>
      <c r="AA103" s="85" t="str">
        <f t="shared" ca="1" si="292"/>
        <v>Alemania</v>
      </c>
      <c r="AB103" s="86"/>
      <c r="AC103" s="89">
        <v>2</v>
      </c>
      <c r="AD103" s="89">
        <v>1</v>
      </c>
      <c r="AE103" s="86"/>
      <c r="AF103" s="88" t="str">
        <f t="shared" ca="1" si="293"/>
        <v>Paraguay</v>
      </c>
      <c r="AG103" s="315">
        <f t="shared" ca="1" si="294"/>
        <v>1</v>
      </c>
      <c r="AH103" s="188">
        <v>74</v>
      </c>
      <c r="AI103" s="178">
        <v>2</v>
      </c>
      <c r="AJ103" s="39">
        <v>2</v>
      </c>
      <c r="AK103" s="589" t="e" cm="1" vm="14">
        <f t="array" aca="1" ref="AK103" ca="1">Ver_flag_visit</f>
        <v>#VALUE!</v>
      </c>
      <c r="AL103" s="82" t="str">
        <f t="shared" ca="1" si="297"/>
        <v>Paraguay</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Paraguay</v>
      </c>
      <c r="AW103" s="207"/>
      <c r="AX103" s="166"/>
      <c r="AY103" s="265"/>
      <c r="AZ103" s="268" t="str">
        <f t="shared" ref="AZ103:AZ110" ca="1" si="303">+IF(OR($H$113&gt;=48,$AJ$99=144),BF117&amp;" - "&amp;BG117,"")</f>
        <v>1A - 3C</v>
      </c>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05" customHeight="1">
      <c r="A104" s="13" t="s">
        <v>663</v>
      </c>
      <c r="B104" s="13" t="s">
        <v>677</v>
      </c>
      <c r="C104" s="13"/>
      <c r="D104" s="13" t="str">
        <f t="shared" ca="1" si="289"/>
        <v>Marruecos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66"/>
      <c r="X104" s="21">
        <f ca="1">Horarios!C104</f>
        <v>46202.875</v>
      </c>
      <c r="Y104" s="22">
        <f ca="1">Horarios!C104</f>
        <v>46202.875</v>
      </c>
      <c r="Z104" s="269">
        <f t="shared" si="296"/>
        <v>75</v>
      </c>
      <c r="AA104" s="85" t="str">
        <f t="shared" ca="1" si="292"/>
        <v>Países Bajos</v>
      </c>
      <c r="AB104" s="86">
        <v>3</v>
      </c>
      <c r="AC104" s="89">
        <v>2</v>
      </c>
      <c r="AD104" s="89">
        <v>2</v>
      </c>
      <c r="AE104" s="86">
        <v>4</v>
      </c>
      <c r="AF104" s="88" t="str">
        <f t="shared" ca="1" si="293"/>
        <v>Marruecos</v>
      </c>
      <c r="AG104" s="315">
        <f t="shared" ca="1" si="294"/>
        <v>1</v>
      </c>
      <c r="AH104" s="188">
        <v>75</v>
      </c>
      <c r="AI104" s="178">
        <v>3</v>
      </c>
      <c r="AJ104" s="39">
        <v>3</v>
      </c>
      <c r="AK104" s="589" t="e" cm="1" vm="12">
        <f t="array" aca="1" ref="AK104" ca="1">Ver_flag_visit</f>
        <v>#VALUE!</v>
      </c>
      <c r="AL104" s="82" t="str">
        <f t="shared" ca="1" si="297"/>
        <v>Escocia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4</v>
      </c>
      <c r="AS104" s="83">
        <f t="shared" ca="1" si="307"/>
        <v>4</v>
      </c>
      <c r="AT104" s="84">
        <f t="shared" ca="1" si="307"/>
        <v>0</v>
      </c>
      <c r="AU104" s="318">
        <f t="shared" ca="1" si="299"/>
        <v>2</v>
      </c>
      <c r="AV104" s="178" t="str">
        <f t="shared" ca="1" si="300"/>
        <v>Escocia</v>
      </c>
      <c r="AW104" s="207">
        <v>3</v>
      </c>
      <c r="AX104" s="166"/>
      <c r="AY104" s="265"/>
      <c r="AZ104" s="268" t="str">
        <f t="shared" ca="1" si="303"/>
        <v>1B - 3G</v>
      </c>
      <c r="BF104" t="str">
        <f t="shared" ca="1" si="304"/>
        <v>D</v>
      </c>
      <c r="BG104">
        <f t="shared" ca="1" si="305"/>
        <v>3</v>
      </c>
      <c r="BI104">
        <v>2</v>
      </c>
      <c r="BJ104" t="str">
        <f t="shared" ca="1" si="306"/>
        <v>C</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Ecuador</v>
      </c>
      <c r="AB105" s="86"/>
      <c r="AC105" s="89">
        <v>1</v>
      </c>
      <c r="AD105" s="89">
        <v>2</v>
      </c>
      <c r="AE105" s="86"/>
      <c r="AF105" s="88" t="str">
        <f t="shared" ca="1" si="293"/>
        <v>Noruega</v>
      </c>
      <c r="AG105" s="315">
        <f t="shared" ca="1" si="294"/>
        <v>1</v>
      </c>
      <c r="AH105" s="188">
        <v>78</v>
      </c>
      <c r="AI105" s="178">
        <v>4</v>
      </c>
      <c r="AJ105" s="39">
        <v>4</v>
      </c>
      <c r="AK105" s="589" t="e" cm="1" vm="24">
        <f t="array" aca="1" ref="AK105" ca="1">Ver_flag_visit</f>
        <v>#VALUE!</v>
      </c>
      <c r="AL105" s="82" t="str">
        <f t="shared" ca="1" si="297"/>
        <v>Suecia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4</v>
      </c>
      <c r="AT105" s="84">
        <f t="shared" ca="1" si="308"/>
        <v>0</v>
      </c>
      <c r="AU105" s="318">
        <f t="shared" ca="1" si="299"/>
        <v>2</v>
      </c>
      <c r="AV105" s="178" t="str">
        <f t="shared" ca="1" si="300"/>
        <v>Suecia</v>
      </c>
      <c r="AW105" s="207">
        <v>4</v>
      </c>
      <c r="AX105" s="166"/>
      <c r="AY105" s="265"/>
      <c r="AZ105" s="268" t="str">
        <f t="shared" ca="1" si="303"/>
        <v>1D - 3E</v>
      </c>
      <c r="BF105" t="str">
        <f t="shared" ca="1" si="304"/>
        <v>C</v>
      </c>
      <c r="BG105">
        <f t="shared" ca="1" si="305"/>
        <v>2</v>
      </c>
      <c r="BI105">
        <v>3</v>
      </c>
      <c r="BJ105" t="str">
        <f t="shared" ca="1" si="306"/>
        <v>D</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48">
        <f t="array" aca="1" ref="AK106" ca="1">Ver_flag_visit</f>
        <v>#VALUE!</v>
      </c>
      <c r="AL106" s="82" t="str">
        <f t="shared" ca="1" si="297"/>
        <v>Ghana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2</v>
      </c>
      <c r="AS106" s="83">
        <f t="shared" ca="1" si="309"/>
        <v>3</v>
      </c>
      <c r="AT106" s="84">
        <f t="shared" ca="1" si="309"/>
        <v>-1</v>
      </c>
      <c r="AU106" s="318">
        <f t="shared" ca="1" si="299"/>
        <v>1</v>
      </c>
      <c r="AV106" s="178" t="str">
        <f t="shared" ca="1" si="300"/>
        <v>Ghana</v>
      </c>
      <c r="AW106" s="207"/>
      <c r="AX106" s="166"/>
      <c r="AY106" s="265"/>
      <c r="AZ106" s="268" t="str">
        <f t="shared" ca="1" si="303"/>
        <v>1E - 3D</v>
      </c>
      <c r="BF106" t="str">
        <f t="shared" ca="1" si="304"/>
        <v>F</v>
      </c>
      <c r="BG106">
        <f t="shared" ca="1" si="305"/>
        <v>5</v>
      </c>
      <c r="BI106">
        <v>4</v>
      </c>
      <c r="BJ106" t="str">
        <f t="shared" ca="1" si="306"/>
        <v>E</v>
      </c>
    </row>
    <row r="107" spans="1:62" ht="16.05" customHeight="1">
      <c r="A107" s="13" t="s">
        <v>657</v>
      </c>
      <c r="B107" s="13" t="s">
        <v>736</v>
      </c>
      <c r="C107" s="13"/>
      <c r="D107" s="13" t="str">
        <f t="shared" ca="1" si="289"/>
        <v>Escocia</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66"/>
      <c r="X107" s="21">
        <f ca="1">Horarios!C107</f>
        <v>46203.875</v>
      </c>
      <c r="Y107" s="22">
        <f ca="1">Horarios!C107</f>
        <v>46203.875</v>
      </c>
      <c r="Z107" s="269">
        <f t="shared" si="296"/>
        <v>79</v>
      </c>
      <c r="AA107" s="85" t="str">
        <f t="shared" ca="1" si="292"/>
        <v>México</v>
      </c>
      <c r="AB107" s="86"/>
      <c r="AC107" s="89">
        <v>1</v>
      </c>
      <c r="AD107" s="89">
        <v>2</v>
      </c>
      <c r="AE107" s="86"/>
      <c r="AF107" s="88" t="str">
        <f t="shared" ca="1" si="293"/>
        <v>Escocia</v>
      </c>
      <c r="AG107" s="315">
        <f t="shared" ca="1" si="294"/>
        <v>1</v>
      </c>
      <c r="AH107" s="188">
        <v>79</v>
      </c>
      <c r="AI107" s="178">
        <v>6</v>
      </c>
      <c r="AJ107" s="39">
        <v>6</v>
      </c>
      <c r="AK107" s="589" t="e" cm="1" vm="20">
        <f t="array" aca="1" ref="AK107" ca="1">Ver_flag_visit</f>
        <v>#VALUE!</v>
      </c>
      <c r="AL107" s="82" t="str">
        <f t="shared" ca="1" si="297"/>
        <v>Costa de Marfil</v>
      </c>
      <c r="AM107" s="576">
        <f t="shared" ca="1" si="301"/>
        <v>2</v>
      </c>
      <c r="AN107" s="83">
        <f t="shared" ref="AN107:AT107" ca="1" si="310">+IF($H$113&gt;=48,INDEX($BE$58:$BN$69,MATCH($AL107,$BD$58:$BD$69,0),MATCH(AN$5,$BE$57:$BN$57,0)),$BB63)</f>
        <v>3</v>
      </c>
      <c r="AO107" s="83">
        <f t="shared" ca="1" si="310"/>
        <v>0</v>
      </c>
      <c r="AP107" s="83">
        <f t="shared" ca="1" si="310"/>
        <v>2</v>
      </c>
      <c r="AQ107" s="83">
        <f t="shared" ca="1" si="310"/>
        <v>1</v>
      </c>
      <c r="AR107" s="83">
        <f t="shared" ca="1" si="310"/>
        <v>3</v>
      </c>
      <c r="AS107" s="83">
        <f t="shared" ca="1" si="310"/>
        <v>4</v>
      </c>
      <c r="AT107" s="84">
        <f t="shared" ca="1" si="310"/>
        <v>-1</v>
      </c>
      <c r="AU107" s="318">
        <f t="shared" ca="1" si="299"/>
        <v>2</v>
      </c>
      <c r="AV107" s="178" t="str">
        <f ca="1">INDEX($BD$58:$BD$69,MATCH(AI107,$BM$58:$BM$69,0))</f>
        <v>Costa de Marfil</v>
      </c>
      <c r="AW107" s="207">
        <v>6</v>
      </c>
      <c r="AX107" s="166"/>
      <c r="AY107" s="265"/>
      <c r="AZ107" s="268" t="str">
        <f t="shared" ca="1" si="303"/>
        <v>1G - 3A</v>
      </c>
      <c r="BF107" t="str">
        <f t="shared" ca="1" si="304"/>
        <v>L</v>
      </c>
      <c r="BG107">
        <f t="shared" ca="1" si="305"/>
        <v>8</v>
      </c>
      <c r="BI107">
        <v>5</v>
      </c>
      <c r="BJ107" t="str">
        <f t="shared" ca="1" si="306"/>
        <v>F</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66"/>
      <c r="X108" s="21">
        <f ca="1">Horarios!C108</f>
        <v>46204.5</v>
      </c>
      <c r="Y108" s="22">
        <f ca="1">Horarios!C108</f>
        <v>46204.5</v>
      </c>
      <c r="Z108" s="269">
        <f t="shared" si="296"/>
        <v>80</v>
      </c>
      <c r="AA108" s="85" t="str">
        <f t="shared" ca="1" si="292"/>
        <v>Inglaterra</v>
      </c>
      <c r="AB108" s="86"/>
      <c r="AC108" s="89">
        <v>2</v>
      </c>
      <c r="AD108" s="89">
        <v>0</v>
      </c>
      <c r="AE108" s="86"/>
      <c r="AF108" s="88" t="str">
        <f t="shared" ca="1" si="293"/>
        <v>Senegal</v>
      </c>
      <c r="AG108" s="315">
        <f t="shared" ca="1" si="294"/>
        <v>1</v>
      </c>
      <c r="AH108" s="188">
        <v>80</v>
      </c>
      <c r="AI108" s="178">
        <v>7</v>
      </c>
      <c r="AJ108" s="39">
        <v>7</v>
      </c>
      <c r="AK108" s="589" t="e" cm="1" vm="4">
        <f t="array" aca="1" ref="AK108" ca="1">Ver_flag_visit</f>
        <v>#VALUE!</v>
      </c>
      <c r="AL108" s="82" t="str">
        <f t="shared" ca="1" si="297"/>
        <v>República Checa</v>
      </c>
      <c r="AM108" s="576">
        <f t="shared" ca="1" si="301"/>
        <v>2</v>
      </c>
      <c r="AN108" s="83">
        <f t="shared" ref="AN108:AT108" ca="1" si="311">+IF($H$113&gt;=48,INDEX($BE$58:$BN$69,MATCH($AL108,$BD$58:$BD$69,0),MATCH(AN$5,$BE$57:$BN$57,0)),$BB64)</f>
        <v>3</v>
      </c>
      <c r="AO108" s="83">
        <f t="shared" ca="1" si="311"/>
        <v>0</v>
      </c>
      <c r="AP108" s="83">
        <f t="shared" ca="1" si="311"/>
        <v>2</v>
      </c>
      <c r="AQ108" s="83">
        <f t="shared" ca="1" si="311"/>
        <v>1</v>
      </c>
      <c r="AR108" s="83">
        <f t="shared" ca="1" si="311"/>
        <v>3</v>
      </c>
      <c r="AS108" s="83">
        <f t="shared" ca="1" si="311"/>
        <v>4</v>
      </c>
      <c r="AT108" s="84">
        <f t="shared" ca="1" si="311"/>
        <v>-1</v>
      </c>
      <c r="AU108" s="318">
        <f t="shared" ca="1" si="299"/>
        <v>2</v>
      </c>
      <c r="AV108" s="178" t="str">
        <f t="shared" ca="1" si="300"/>
        <v>República Checa</v>
      </c>
      <c r="AW108" s="207">
        <v>7</v>
      </c>
      <c r="AX108" s="166"/>
      <c r="AY108" s="265"/>
      <c r="AZ108" s="268" t="str">
        <f t="shared" ca="1" si="303"/>
        <v>1I - 3F</v>
      </c>
      <c r="BF108" t="str">
        <f t="shared" ca="1" si="304"/>
        <v>E</v>
      </c>
      <c r="BG108">
        <f t="shared" ca="1" si="305"/>
        <v>4</v>
      </c>
      <c r="BI108">
        <v>6</v>
      </c>
      <c r="BJ108" t="str">
        <f t="shared" ca="1" si="306"/>
        <v>G</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República Checa</v>
      </c>
      <c r="AG109" s="315">
        <f t="shared" ca="1" si="294"/>
        <v>1</v>
      </c>
      <c r="AH109" s="188">
        <v>82</v>
      </c>
      <c r="AI109" s="178">
        <v>8</v>
      </c>
      <c r="AJ109" s="39">
        <v>8</v>
      </c>
      <c r="AK109" s="589" t="e" cm="1" vm="29">
        <f t="array" aca="1" ref="AK109" ca="1">Ver_flag_visit</f>
        <v>#VALUE!</v>
      </c>
      <c r="AL109" s="82" t="str">
        <f t="shared" ca="1" si="297"/>
        <v>Nueva Zelanda</v>
      </c>
      <c r="AM109" s="576">
        <f t="shared" ca="1" si="301"/>
        <v>2</v>
      </c>
      <c r="AN109" s="83">
        <f t="shared" ref="AN109:AT109" ca="1" si="312">+IF($H$113&gt;=48,INDEX($BE$58:$BN$69,MATCH($AL109,$BD$58:$BD$69,0),MATCH(AN$5,$BE$57:$BN$57,0)),$BB65)</f>
        <v>3</v>
      </c>
      <c r="AO109" s="83">
        <f t="shared" ca="1" si="312"/>
        <v>0</v>
      </c>
      <c r="AP109" s="83">
        <f t="shared" ca="1" si="312"/>
        <v>2</v>
      </c>
      <c r="AQ109" s="83">
        <f t="shared" ca="1" si="312"/>
        <v>1</v>
      </c>
      <c r="AR109" s="83">
        <f t="shared" ca="1" si="312"/>
        <v>3</v>
      </c>
      <c r="AS109" s="83">
        <f t="shared" ca="1" si="312"/>
        <v>5</v>
      </c>
      <c r="AT109" s="84">
        <f t="shared" ca="1" si="312"/>
        <v>-2</v>
      </c>
      <c r="AU109" s="318">
        <f t="shared" ca="1" si="299"/>
        <v>1</v>
      </c>
      <c r="AV109" s="178" t="str">
        <f t="shared" ca="1" si="300"/>
        <v>Nueva Zelanda</v>
      </c>
      <c r="AW109" s="207"/>
      <c r="AX109" s="166"/>
      <c r="AY109" s="265"/>
      <c r="AZ109" s="268" t="str">
        <f t="shared" ca="1" si="303"/>
        <v>1K - 3L</v>
      </c>
      <c r="BF109" t="str">
        <f t="shared" ca="1" si="304"/>
        <v>A</v>
      </c>
      <c r="BG109">
        <f t="shared" ca="1" si="305"/>
        <v>1</v>
      </c>
      <c r="BI109">
        <v>7</v>
      </c>
      <c r="BJ109" t="str">
        <f t="shared" ca="1" si="306"/>
        <v>I</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Turquía</v>
      </c>
      <c r="AB110" s="86"/>
      <c r="AC110" s="89">
        <v>1</v>
      </c>
      <c r="AD110" s="89">
        <v>0</v>
      </c>
      <c r="AE110" s="86"/>
      <c r="AF110" s="88" t="str">
        <f t="shared" ca="1" si="293"/>
        <v>Costa de Marfil</v>
      </c>
      <c r="AG110" s="315">
        <f t="shared" ca="1" si="294"/>
        <v>1</v>
      </c>
      <c r="AH110" s="188">
        <v>81</v>
      </c>
      <c r="AI110" s="178">
        <v>9</v>
      </c>
      <c r="AJ110" s="39">
        <v>9</v>
      </c>
      <c r="AK110" s="589" t="e" cm="1" vm="6">
        <f t="array" aca="1" ref="AK110" ca="1">Ver_flag_visit</f>
        <v>#VALUE!</v>
      </c>
      <c r="AL110" s="82" t="str">
        <f t="shared" ca="1" si="297"/>
        <v>Bosnia y Herzegovina</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3</v>
      </c>
      <c r="AS110" s="83">
        <f t="shared" ca="1" si="313"/>
        <v>5</v>
      </c>
      <c r="AT110" s="84">
        <f t="shared" ca="1" si="313"/>
        <v>-2</v>
      </c>
      <c r="AU110" s="318">
        <f t="shared" ca="1" si="299"/>
        <v>1</v>
      </c>
      <c r="AV110" s="178" t="str">
        <f t="shared" ca="1" si="300"/>
        <v>Bosnia y Herzegovina</v>
      </c>
      <c r="AW110" s="207"/>
      <c r="AX110" s="166"/>
      <c r="AY110" s="265"/>
      <c r="AZ110" s="268" t="str">
        <f t="shared" ca="1" si="303"/>
        <v>1L - 3I</v>
      </c>
      <c r="BF110" t="str">
        <f t="shared" ca="1" si="304"/>
        <v>G</v>
      </c>
      <c r="BG110">
        <f t="shared" ca="1" si="305"/>
        <v>6</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3</v>
      </c>
      <c r="AD111" s="89">
        <v>0</v>
      </c>
      <c r="AE111" s="86"/>
      <c r="AF111" s="88" t="str">
        <f t="shared" ca="1" si="293"/>
        <v>Argelia</v>
      </c>
      <c r="AG111" s="315">
        <f t="shared" ca="1" si="294"/>
        <v>1</v>
      </c>
      <c r="AH111" s="188">
        <v>84</v>
      </c>
      <c r="AI111" s="178">
        <v>10</v>
      </c>
      <c r="AJ111" s="39">
        <v>10</v>
      </c>
      <c r="AK111" s="589" t="e" cm="1" vm="40">
        <f t="array" aca="1" ref="AK111" ca="1">Ver_flag_visit</f>
        <v>#VALUE!</v>
      </c>
      <c r="AL111" s="82" t="str">
        <f t="shared" ca="1" si="297"/>
        <v>Austria</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1</v>
      </c>
      <c r="AS111" s="83">
        <f t="shared" ca="1" si="314"/>
        <v>4</v>
      </c>
      <c r="AT111" s="84">
        <f t="shared" ca="1" si="314"/>
        <v>-3</v>
      </c>
      <c r="AU111" s="318">
        <f t="shared" ca="1" si="299"/>
        <v>2</v>
      </c>
      <c r="AV111" s="178" t="str">
        <f t="shared" ca="1" si="300"/>
        <v>Austria</v>
      </c>
      <c r="AW111" s="207">
        <v>10</v>
      </c>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v>4</v>
      </c>
      <c r="AC112" s="89">
        <v>1</v>
      </c>
      <c r="AD112" s="89">
        <v>1</v>
      </c>
      <c r="AE112" s="86">
        <v>3</v>
      </c>
      <c r="AF112" s="88" t="str">
        <f t="shared" ca="1" si="293"/>
        <v>Croacia</v>
      </c>
      <c r="AG112" s="315">
        <f t="shared" ca="1" si="294"/>
        <v>1</v>
      </c>
      <c r="AH112" s="188">
        <v>83</v>
      </c>
      <c r="AI112" s="178">
        <v>11</v>
      </c>
      <c r="AJ112" s="39">
        <v>11</v>
      </c>
      <c r="AK112" s="589" t="e" cm="1" vm="44">
        <f t="array" aca="1" ref="AK112" ca="1">Ver_flag_visit</f>
        <v>#VALUE!</v>
      </c>
      <c r="AL112" s="82" t="str">
        <f t="shared" ca="1" si="297"/>
        <v>Uzbekistán</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1</v>
      </c>
      <c r="AS112" s="83">
        <f t="shared" ca="1" si="315"/>
        <v>4</v>
      </c>
      <c r="AT112" s="84">
        <f t="shared" ca="1" si="315"/>
        <v>-3</v>
      </c>
      <c r="AU112" s="318">
        <f t="shared" ca="1" si="299"/>
        <v>2</v>
      </c>
      <c r="AV112" s="178" t="str">
        <f t="shared" ca="1" si="300"/>
        <v>Uzbekistán</v>
      </c>
      <c r="AW112" s="207">
        <v>11</v>
      </c>
      <c r="AX112" s="166"/>
      <c r="AY112" s="264"/>
      <c r="AZ112" s="264"/>
      <c r="BI112" t="str">
        <f ca="1">IFERROR(CONCATENATE(BJ103,BJ104,BJ105,BJ106,BJ107,BJ108,BJ109,BJ110),"¿A/B/C/D/E/F/G/H/I/J/K/L?")</f>
        <v>ACDEFGIL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Suiza</v>
      </c>
      <c r="AB113" s="86"/>
      <c r="AC113" s="89">
        <v>1</v>
      </c>
      <c r="AD113" s="89">
        <v>0</v>
      </c>
      <c r="AE113" s="87"/>
      <c r="AF113" s="88" t="str">
        <f t="shared" ca="1" si="293"/>
        <v>Nueva Zelanda</v>
      </c>
      <c r="AG113" s="315">
        <f t="shared" ca="1" si="294"/>
        <v>1</v>
      </c>
      <c r="AH113" s="188">
        <v>85</v>
      </c>
      <c r="AI113" s="178">
        <v>12</v>
      </c>
      <c r="AJ113" s="41">
        <v>12</v>
      </c>
      <c r="AK113" s="591" t="e" cm="1" vm="32">
        <f t="array" aca="1" ref="AK113" ca="1">Ver_flag_visit</f>
        <v>#VALUE!</v>
      </c>
      <c r="AL113" s="42" t="str">
        <f t="shared" ca="1" si="297"/>
        <v>Arabia Saudita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1</v>
      </c>
      <c r="AS113" s="44">
        <f t="shared" ca="1" si="316"/>
        <v>6</v>
      </c>
      <c r="AT113" s="45">
        <f t="shared" ca="1" si="316"/>
        <v>-5</v>
      </c>
      <c r="AU113" s="318">
        <f t="shared" ca="1" si="299"/>
        <v>1</v>
      </c>
      <c r="AV113" s="178" t="str">
        <f t="shared" ca="1" si="300"/>
        <v>Arabia Saudita</v>
      </c>
      <c r="AW113" s="207"/>
      <c r="AX113" s="166"/>
      <c r="AY113" s="150"/>
      <c r="AZ113" s="151"/>
    </row>
    <row r="114" spans="1:59" ht="16.05"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Estados Unidos</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3</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3E</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Marruecos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Corea del Sur</v>
      </c>
      <c r="AB120" s="86"/>
      <c r="AC120" s="93">
        <v>1</v>
      </c>
      <c r="AD120" s="93">
        <v>2</v>
      </c>
      <c r="AE120" s="86"/>
      <c r="AF120" s="88" t="str">
        <f t="shared" ref="AF120:AF127" ca="1" si="321">+INDEX($N$101:$N$147,MATCH(AH120,$J$101:$J$147,0))</f>
        <v>Marruecos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Corea del Sur</v>
      </c>
      <c r="N121" s="13" t="str">
        <f t="shared" ca="1" si="318"/>
        <v>Marruecos</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Brasil</v>
      </c>
      <c r="AB122" s="86"/>
      <c r="AC122" s="94">
        <v>4</v>
      </c>
      <c r="AD122" s="94">
        <v>2</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Escocia</v>
      </c>
      <c r="N123" s="13" t="str">
        <f t="shared" ca="1" si="318"/>
        <v>Inglaterra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Escocia</v>
      </c>
      <c r="AB123" s="86">
        <v>3</v>
      </c>
      <c r="AC123" s="94">
        <v>1</v>
      </c>
      <c r="AD123" s="94">
        <v>1</v>
      </c>
      <c r="AE123" s="86">
        <v>4</v>
      </c>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Turquía</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2</v>
      </c>
      <c r="AD126" s="96">
        <v>0</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Marruecos</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3</v>
      </c>
      <c r="AD131" s="93">
        <v>1</v>
      </c>
      <c r="AE131" s="87"/>
      <c r="AF131" s="113" t="str">
        <f ca="1">+INDEX($N$101:$N$147,MATCH(AH131,$J$101:$J$147,0))</f>
        <v>Marruecos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c r="AC132" s="96">
        <v>2</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Brasil</v>
      </c>
      <c r="AB133" s="86"/>
      <c r="AC133" s="96">
        <v>2</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v>4</v>
      </c>
      <c r="AC134" s="97">
        <v>2</v>
      </c>
      <c r="AD134" s="97">
        <v>2</v>
      </c>
      <c r="AE134" s="91">
        <v>3</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1</v>
      </c>
      <c r="AD138" s="98">
        <v>2</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Argentina</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Brasil</v>
      </c>
      <c r="AB139" s="137"/>
      <c r="AC139" s="97">
        <v>1</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0</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España</v>
      </c>
      <c r="E147" s="13">
        <v>101</v>
      </c>
      <c r="F147" s="13">
        <v>102</v>
      </c>
      <c r="G147" s="13"/>
      <c r="H147" s="13" t="str">
        <f ca="1">IF(AND(OR(AC147="",AD147="")),"LF",IF(AC147&gt;AD147,AF147,IF(AC147&lt;AD147,AA147,IF(AND(AC147=AD147,AB147=AE147),"LF",IF(AND(AC147=AD147,OR(AB147="",AE147="")),"LF",IF(AND(AC147=AD147,AB147&gt;AE147),AF147,AA147))))))</f>
        <v>Argentina</v>
      </c>
      <c r="I147" s="13"/>
      <c r="J147" s="13">
        <v>104</v>
      </c>
      <c r="K147" s="13">
        <v>46222.875</v>
      </c>
      <c r="L147" s="13" t="s">
        <v>728</v>
      </c>
      <c r="M147" s="13" t="str">
        <f ca="1">+INDEX($D$101:$D$147,MATCH(E147,$AH$101:$AH$147,0))</f>
        <v>España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3</v>
      </c>
      <c r="AD147" s="102">
        <v>2</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España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Argentina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1527</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1520</v>
      </c>
      <c r="X162" s="699"/>
      <c r="Y162" s="699"/>
      <c r="Z162" s="699"/>
      <c r="AA162" s="693" t="s">
        <v>1529</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1528</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1517</v>
      </c>
      <c r="X164" s="697"/>
      <c r="Y164" s="697"/>
      <c r="Z164" s="697"/>
      <c r="AA164" s="694" t="s">
        <v>1525</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1518</v>
      </c>
      <c r="X166" s="699"/>
      <c r="Y166" s="699"/>
      <c r="Z166" s="699"/>
      <c r="AA166" s="693" t="s">
        <v>1530</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1519</v>
      </c>
      <c r="X167" s="701"/>
      <c r="Y167" s="701"/>
      <c r="Z167" s="701"/>
      <c r="AA167" s="694" t="s">
        <v>1531</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79"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05" customHeight="1">
      <c r="A5" s="341"/>
      <c r="B5" s="342" t="str">
        <f>Idiomas!D125</f>
        <v>FASE DE GRUPOS</v>
      </c>
      <c r="C5" s="334" t="str">
        <f>Home!C10</f>
        <v xml:space="preserve">Orbert </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X|1-1</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1|2-1</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X|1-1</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X|1-1</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2|0-1</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1|3-0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X|1-1</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X|1-1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1|3-0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X|0-0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1|3-1</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2|1-2</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X|1-1</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1|1-0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X|1-1</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1|2-1</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1|2-1</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1|2-1</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2|1-2</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X|1-1</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1|3-0</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X|2-2</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1|3-1</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2|1-2</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1|1-0</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2|1-2</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X|1-1</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1|2-1</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1|2-1</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X|1-1</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2|0-1</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2|0-3</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1|1-0</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2|1-3</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X|1-1</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2|1-2</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2|2-3</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1|1-0</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2|0-3</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X|1-1</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X|0-0</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2|0-3</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05"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México</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Corea del Sur</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República Checa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Suiza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Canadá</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Bosnia y Herzegovina</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Brasil</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Marruecos</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Estados Unidos</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Paraguay</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Japón</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Nueva Zelanda</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Irán</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Argelia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Austria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Uzbekistán</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RD Congo</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Inglaterra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Croacia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05"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Corea del Sur</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Brasil</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México</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Inglaterra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Suiza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Estados Unidos</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Canadá</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Japón</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Paraguay</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Marruecos</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Escocia</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Senegal</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República Checa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Costa de Marfil</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Argelia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Croacia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Nueva Zelanda</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Ghana</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Sur-Canadá·1|2-1</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Brasil-Japón·1|3-2</v>
      </c>
      <c r="D165" s="721"/>
      <c r="E165" s="740"/>
      <c r="F165" s="740"/>
      <c r="G165" s="740"/>
      <c r="H165" s="740"/>
      <c r="I165" s="340"/>
      <c r="J165" s="358"/>
      <c r="K165" s="358"/>
      <c r="L165" s="358"/>
      <c r="M165" s="374"/>
      <c r="N165" s="365"/>
    </row>
    <row r="166" spans="1:14" ht="15" customHeight="1">
      <c r="A166" s="719"/>
      <c r="B166" s="348" t="str">
        <f ca="1">CONCATENATE(WORLDCUP!AA103,"-",WORLDCUP!AF103)</f>
        <v>Alemania-Paraguay</v>
      </c>
      <c r="C166" s="337" t="str">
        <f ca="1">CONCATENATE(WORLDCUP!AA103,"-",WORLDCUP!AF103,"·",IF(WORLDCUP!AC103&gt;WORLDCUP!AD103,1,IF(WORLDCUP!AC103&lt;WORLDCUP!AD103,2,IF(AND(WORLDCUP!AC103=WORLDCUP!AD103,WORLDCUP!AC103&lt;&gt;"",WORLDCUP!AD103&lt;&gt;""),"X",0))),"|",WORLDCUP!AC103,"-",WORLDCUP!AD103)</f>
        <v>Alemania-Paraguay·1|2-1</v>
      </c>
      <c r="D166" s="721"/>
      <c r="E166" s="740"/>
      <c r="F166" s="740"/>
      <c r="G166" s="740"/>
      <c r="H166" s="740"/>
      <c r="I166" s="340"/>
      <c r="J166" s="358"/>
      <c r="K166" s="358"/>
      <c r="L166" s="358"/>
      <c r="M166" s="374"/>
      <c r="N166" s="365"/>
    </row>
    <row r="167" spans="1:14" ht="15" customHeight="1">
      <c r="A167" s="719"/>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Bajos-Marruecos·X|2-2</v>
      </c>
      <c r="D167" s="721"/>
      <c r="E167" s="740"/>
      <c r="F167" s="740"/>
      <c r="G167" s="740"/>
      <c r="H167" s="740"/>
      <c r="I167" s="340"/>
      <c r="J167" s="358"/>
      <c r="K167" s="358"/>
      <c r="L167" s="358"/>
      <c r="M167" s="374"/>
      <c r="N167" s="365"/>
    </row>
    <row r="168" spans="1:14" ht="15" customHeight="1">
      <c r="A168" s="719"/>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Ecuador-Noruega·2|1-2</v>
      </c>
      <c r="D168" s="721"/>
      <c r="E168" s="358"/>
      <c r="F168" s="358"/>
      <c r="G168" s="358"/>
      <c r="H168" s="358"/>
      <c r="I168" s="340"/>
      <c r="J168" s="358"/>
      <c r="K168" s="358"/>
      <c r="L168" s="358"/>
      <c r="M168" s="374"/>
      <c r="N168" s="365"/>
    </row>
    <row r="169" spans="1:14" ht="15" customHeight="1">
      <c r="A169" s="719"/>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21"/>
      <c r="E169" s="358"/>
      <c r="F169" s="358"/>
      <c r="G169" s="358"/>
      <c r="H169" s="358"/>
      <c r="I169" s="340"/>
      <c r="J169" s="358"/>
      <c r="K169" s="358"/>
      <c r="L169" s="358"/>
      <c r="M169" s="374"/>
      <c r="N169" s="365"/>
    </row>
    <row r="170" spans="1:14" ht="15" customHeight="1">
      <c r="A170" s="719"/>
      <c r="B170" s="348" t="str">
        <f ca="1">CONCATENATE(WORLDCUP!AA107,"-",WORLDCUP!AF107)</f>
        <v>México-Escocia</v>
      </c>
      <c r="C170" s="337" t="str">
        <f ca="1">CONCATENATE(WORLDCUP!AA107,"-",WORLDCUP!AF107,"·",IF(WORLDCUP!AC107&gt;WORLDCUP!AD107,1,IF(WORLDCUP!AC107&lt;WORLDCUP!AD107,2,IF(AND(WORLDCUP!AC107=WORLDCUP!AD107,WORLDCUP!AC107&lt;&gt;"",WORLDCUP!AD107&lt;&gt;""),"X",0))),"|",WORLDCUP!AC107,"-",WORLDCUP!AD107)</f>
        <v>México-Escocia·2|1-2</v>
      </c>
      <c r="D170" s="721"/>
      <c r="E170" s="358"/>
      <c r="F170" s="358"/>
      <c r="G170" s="358"/>
      <c r="H170" s="358"/>
      <c r="I170" s="340"/>
      <c r="J170" s="358"/>
      <c r="K170" s="358"/>
      <c r="L170" s="358"/>
      <c r="M170" s="374"/>
      <c r="N170" s="365"/>
    </row>
    <row r="171" spans="1:14" ht="15" customHeight="1">
      <c r="A171" s="719"/>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Inglaterra-Senegal·1|2-0</v>
      </c>
      <c r="D171" s="721"/>
      <c r="E171" s="358"/>
      <c r="F171" s="358"/>
      <c r="G171" s="358"/>
      <c r="H171" s="358"/>
      <c r="I171" s="340"/>
      <c r="J171" s="358"/>
      <c r="K171" s="358"/>
      <c r="L171" s="358"/>
      <c r="M171" s="374"/>
      <c r="N171" s="365"/>
    </row>
    <row r="172" spans="1:14" ht="15" customHeight="1">
      <c r="A172" s="719"/>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Checa·1|2-0</v>
      </c>
      <c r="D172" s="721"/>
      <c r="E172" s="358"/>
      <c r="F172" s="358"/>
      <c r="G172" s="358"/>
      <c r="H172" s="358"/>
      <c r="I172" s="340"/>
      <c r="J172" s="358"/>
      <c r="K172" s="358"/>
      <c r="L172" s="358"/>
      <c r="M172" s="374"/>
      <c r="N172" s="365"/>
    </row>
    <row r="173" spans="1:14" ht="15" customHeight="1">
      <c r="A173" s="719"/>
      <c r="B173" s="348" t="str">
        <f ca="1">CONCATENATE(WORLDCUP!AA110,"-",WORLDCUP!AF110)</f>
        <v>Turquía-Costa de Marfil</v>
      </c>
      <c r="C173" s="337" t="str">
        <f ca="1">CONCATENATE(WORLDCUP!AA110,"-",WORLDCUP!AF110,"·",IF(WORLDCUP!AC110&gt;WORLDCUP!AD110,1,IF(WORLDCUP!AC110&lt;WORLDCUP!AD110,2,IF(AND(WORLDCUP!AC110=WORLDCUP!AD110,WORLDCUP!AC110&lt;&gt;"",WORLDCUP!AD110&lt;&gt;""),"X",0))),"|",WORLDCUP!AC110,"-",WORLDCUP!AD110)</f>
        <v>Turquía-Costa de Marfil·1|1-0</v>
      </c>
      <c r="D173" s="721"/>
      <c r="E173" s="358"/>
      <c r="F173" s="358"/>
      <c r="G173" s="358"/>
      <c r="H173" s="358"/>
      <c r="I173" s="340"/>
      <c r="J173" s="358"/>
      <c r="K173" s="358"/>
      <c r="L173" s="358"/>
      <c r="M173" s="374"/>
      <c r="N173" s="365"/>
    </row>
    <row r="174" spans="1:14" ht="15" customHeight="1">
      <c r="A174" s="719"/>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España-Argelia·1|3-0</v>
      </c>
      <c r="D174" s="721"/>
      <c r="E174" s="358"/>
      <c r="F174" s="358"/>
      <c r="G174" s="358"/>
      <c r="H174" s="358"/>
      <c r="I174" s="340"/>
      <c r="J174" s="358"/>
      <c r="K174" s="358"/>
      <c r="L174" s="358"/>
      <c r="M174" s="374"/>
      <c r="N174" s="365"/>
    </row>
    <row r="175" spans="1:14" ht="15" customHeight="1">
      <c r="A175" s="719"/>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Colombia-Croacia·X|1-1</v>
      </c>
      <c r="D175" s="721"/>
      <c r="E175" s="358"/>
      <c r="F175" s="358"/>
      <c r="G175" s="358"/>
      <c r="H175" s="358"/>
      <c r="I175" s="340"/>
      <c r="J175" s="358"/>
      <c r="K175" s="358"/>
      <c r="L175" s="358"/>
      <c r="M175" s="374"/>
      <c r="N175" s="365"/>
    </row>
    <row r="176" spans="1:14" ht="15" customHeight="1">
      <c r="A176" s="719"/>
      <c r="B176" s="348" t="str">
        <f ca="1">CONCATENATE(WORLDCUP!AA113,"-",WORLDCUP!AF113)</f>
        <v>Suiza-Nueva Zelanda</v>
      </c>
      <c r="C176" s="337" t="str">
        <f ca="1">CONCATENATE(WORLDCUP!AA113,"-",WORLDCUP!AF113,"·",IF(WORLDCUP!AC113&gt;WORLDCUP!AD113,1,IF(WORLDCUP!AC113&lt;WORLDCUP!AD113,2,IF(AND(WORLDCUP!AC113=WORLDCUP!AD113,WORLDCUP!AC113&lt;&gt;"",WORLDCUP!AD113&lt;&gt;""),"X",0))),"|",WORLDCUP!AC113,"-",WORLDCUP!AD113)</f>
        <v>Suiza-Nueva Zelanda·1|1-0</v>
      </c>
      <c r="D176" s="721"/>
      <c r="E176" s="358"/>
      <c r="F176" s="358"/>
      <c r="G176" s="358"/>
      <c r="H176" s="358"/>
      <c r="I176" s="340"/>
      <c r="J176" s="358"/>
      <c r="K176" s="358"/>
      <c r="L176" s="358"/>
      <c r="M176" s="374"/>
      <c r="N176" s="365"/>
    </row>
    <row r="177" spans="1:14" ht="15" customHeight="1">
      <c r="A177" s="719"/>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Unidos-Egipto·1|2-1</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Argentina-Uruguay·1|3-1</v>
      </c>
      <c r="D178" s="721"/>
      <c r="E178" s="358"/>
      <c r="F178" s="358"/>
      <c r="G178" s="358"/>
      <c r="H178" s="358"/>
      <c r="I178" s="340"/>
      <c r="J178" s="358"/>
      <c r="K178" s="358"/>
      <c r="L178" s="358"/>
      <c r="M178" s="374"/>
      <c r="N178" s="365"/>
    </row>
    <row r="179" spans="1:14" ht="15" customHeight="1">
      <c r="A179" s="719"/>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Portugal-Ghana·1|2-0</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05"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Corea del Sur</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Brasil</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Escocia</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Colombia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Turquía</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Suiza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Marruecos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Noruega</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Inglaterra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Estados Unidos</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Corea del Sur-Marruecos</v>
      </c>
      <c r="C200" s="339" t="str">
        <f ca="1">CONCATENATE(WORLDCUP!AA120,"-",WORLDCUP!AF120,"·",IF(WORLDCUP!AC120&gt;WORLDCUP!AD120,1,IF(WORLDCUP!AC120&lt;WORLDCUP!AD120,2,IF(AND(WORLDCUP!AC120=WORLDCUP!AD120,WORLDCUP!AC120&lt;&gt;"",WORLDCUP!AD120&lt;&gt;""),"X",0))),"|",WORLDCUP!AC120,"-",WORLDCUP!AD120)</f>
        <v>Corea del Sur-Marruecos·2|1-2</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20"/>
      <c r="E201" s="715"/>
      <c r="F201" s="715"/>
      <c r="G201" s="715"/>
      <c r="H201" s="715"/>
      <c r="I201" s="340"/>
      <c r="J201" s="358"/>
      <c r="K201" s="358"/>
      <c r="L201" s="358"/>
      <c r="M201" s="374"/>
      <c r="N201" s="365"/>
    </row>
    <row r="202" spans="1:14" ht="15" customHeight="1">
      <c r="A202" s="719"/>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Brasil-Noruega·1|4-2</v>
      </c>
      <c r="D202" s="720"/>
      <c r="E202" s="715"/>
      <c r="F202" s="715"/>
      <c r="G202" s="715"/>
      <c r="H202" s="715"/>
      <c r="I202" s="340"/>
      <c r="J202" s="358"/>
      <c r="K202" s="358"/>
      <c r="L202" s="358"/>
      <c r="M202" s="374"/>
      <c r="N202" s="365"/>
    </row>
    <row r="203" spans="1:14" ht="15" customHeight="1">
      <c r="A203" s="719"/>
      <c r="B203" s="349" t="str">
        <f ca="1">CONCATENATE(WORLDCUP!AA123,"-",WORLDCUP!AF123)</f>
        <v>Escocia-Inglaterra</v>
      </c>
      <c r="C203" s="339" t="str">
        <f ca="1">CONCATENATE(WORLDCUP!AA123,"-",WORLDCUP!AF123,"·",IF(WORLDCUP!AC123&gt;WORLDCUP!AD123,1,IF(WORLDCUP!AC123&lt;WORLDCUP!AD123,2,IF(AND(WORLDCUP!AC123=WORLDCUP!AD123,WORLDCUP!AC123&lt;&gt;"",WORLDCUP!AD123&lt;&gt;""),"X",0))),"|",WORLDCUP!AC123,"-",WORLDCUP!AD123)</f>
        <v>Escocia-Inglaterra·X|1-1</v>
      </c>
      <c r="D203" s="720"/>
      <c r="E203" s="715"/>
      <c r="F203" s="715"/>
      <c r="G203" s="715"/>
      <c r="H203" s="715"/>
      <c r="I203" s="340"/>
      <c r="J203" s="358"/>
      <c r="K203" s="358"/>
      <c r="L203" s="358"/>
      <c r="M203" s="374"/>
      <c r="N203" s="365"/>
    </row>
    <row r="204" spans="1:14" ht="15" customHeight="1">
      <c r="A204" s="719"/>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20"/>
      <c r="E204" s="340"/>
      <c r="F204" s="340"/>
      <c r="G204" s="340"/>
      <c r="H204" s="340"/>
      <c r="I204" s="340"/>
      <c r="J204" s="358"/>
      <c r="K204" s="358"/>
      <c r="L204" s="358"/>
      <c r="M204" s="374"/>
      <c r="N204" s="365"/>
    </row>
    <row r="205" spans="1:14" ht="15" customHeight="1">
      <c r="A205" s="719"/>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Turquía-Bélgica·2|1-2</v>
      </c>
      <c r="D205" s="720"/>
      <c r="E205" s="340"/>
      <c r="F205" s="340"/>
      <c r="G205" s="340"/>
      <c r="H205" s="340"/>
      <c r="I205" s="340"/>
      <c r="J205" s="358"/>
      <c r="K205" s="358"/>
      <c r="L205" s="358"/>
      <c r="M205" s="374"/>
      <c r="N205" s="365"/>
    </row>
    <row r="206" spans="1:14" ht="15" customHeight="1">
      <c r="A206" s="719"/>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Unidos·1|2-0</v>
      </c>
      <c r="D206" s="720"/>
      <c r="E206" s="340"/>
      <c r="F206" s="340"/>
      <c r="G206" s="340"/>
      <c r="H206" s="340"/>
      <c r="I206" s="340"/>
      <c r="J206" s="358"/>
      <c r="K206" s="358"/>
      <c r="L206" s="358"/>
      <c r="M206" s="374"/>
      <c r="N206" s="365"/>
    </row>
    <row r="207" spans="1:14" ht="15" customHeight="1">
      <c r="A207" s="719"/>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Suiza-Portugal·2|1-2</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05"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Brasil</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Marruecos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Inglaterra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Francia-Marruecos</v>
      </c>
      <c r="C220" s="337" t="str">
        <f ca="1">CONCATENATE(WORLDCUP!AA131,"-",WORLDCUP!AF131,"·",IF(WORLDCUP!AC131&gt;WORLDCUP!AD131,1,IF(WORLDCUP!AC131&lt;WORLDCUP!AD131,2,IF(AND(WORLDCUP!AC131=WORLDCUP!AD131,WORLDCUP!AC131&lt;&gt;"",WORLDCUP!AD131&lt;&gt;""),"X",0))),"|",WORLDCUP!AC131,"-",WORLDCUP!AD131)</f>
        <v>Francia-Marruecos·1|3-1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España-Bélgica·1|2-0</v>
      </c>
      <c r="D221" s="721"/>
      <c r="E221" s="715"/>
      <c r="F221" s="715"/>
      <c r="G221" s="715"/>
      <c r="H221" s="715"/>
      <c r="I221" s="340"/>
      <c r="J221" s="358"/>
      <c r="K221" s="358"/>
      <c r="L221" s="358"/>
      <c r="M221" s="374"/>
      <c r="N221" s="365"/>
    </row>
    <row r="222" spans="1:14" ht="15" customHeight="1">
      <c r="A222" s="719"/>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Brasil-Inglaterra·1|2-1</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Brasil</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España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Argentina</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Francia-España·2|1-2</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Brasil-Argentina</v>
      </c>
      <c r="C233" s="339" t="str">
        <f ca="1">CONCATENATE(WORLDCUP!AA139,"-",WORLDCUP!AF139,"·",IF(WORLDCUP!AC139&gt;WORLDCUP!AD139,1,IF(WORLDCUP!AC139&lt;WORLDCUP!AD139,2,IF(AND(WORLDCUP!AC139=WORLDCUP!AD139,WORLDCUP!AC139&lt;&gt;"",WORLDCUP!AD139&lt;&gt;""),"X",0))),"|",WORLDCUP!AC139,"-",WORLDCUP!AD139)</f>
        <v>Brasil-Argentina·2|1-2</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Francia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Brasil</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España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Argentina</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Francia-Brasil</v>
      </c>
      <c r="C244" s="337" t="str">
        <f ca="1">CONCATENATE(WORLDCUP!AA143,"-",WORLDCUP!AF143,"·",IF(WORLDCUP!AC143&gt;WORLDCUP!AD143,1,IF(WORLDCUP!AC143&lt;WORLDCUP!AD143,2,IF(AND(WORLDCUP!AC143=WORLDCUP!AD143,WORLDCUP!AC143&lt;&gt;"",WORLDCUP!AD143&lt;&gt;""),"X",0))),"|",WORLDCUP!AC143,"-",WORLDCUP!AD143)</f>
        <v>Francia-Brasil·1|2-0</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España-Argentina</v>
      </c>
      <c r="C247" s="339" t="str">
        <f ca="1">CONCATENATE(WORLDCUP!AA147,"-",WORLDCUP!AF147,"·",IF(WORLDCUP!AC147&gt;WORLDCUP!AD147,1,IF(WORLDCUP!AC147&lt;WORLDCUP!AD147,2,IF(AND(WORLDCUP!AC147=WORLDCUP!AD147,WORLDCUP!AC147&lt;&gt;"",WORLDCUP!AD147&lt;&gt;""),"X",0))),"|",WORLDCUP!AC147,"-",WORLDCUP!AD147)</f>
        <v>España-Argentina·1|3-2</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05"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España</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Argentina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Kylian Mbappe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Raphinha</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Mikel Oyarzabal</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Lamine Yamal</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Lionel Andres Messi Cuccittini (La cabra)</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 xml:space="preserve">Kyliam Mbappe </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Pedri</v>
      </c>
      <c r="O260" s="1"/>
      <c r="P260" s="1"/>
    </row>
    <row r="261" spans="1:16" ht="15.6">
      <c r="A261" s="352"/>
      <c r="B261" s="645" t="s">
        <v>1516</v>
      </c>
      <c r="C261" s="643" t="str">
        <f>WORLDCUP!AA163</f>
        <v>Unai Simón</v>
      </c>
      <c r="O261" s="1"/>
      <c r="P261" s="1"/>
    </row>
    <row r="262" spans="1:16" ht="15.6">
      <c r="A262" s="352"/>
      <c r="B262" s="646" t="s">
        <v>1517</v>
      </c>
      <c r="C262" s="643" t="str">
        <f>WORLDCUP!AA164</f>
        <v>Lamine Yamal</v>
      </c>
      <c r="O262" s="1"/>
      <c r="P262" s="1"/>
    </row>
    <row r="263" spans="1:16" ht="15.6">
      <c r="A263" s="352"/>
      <c r="B263" s="641" t="s">
        <v>1518</v>
      </c>
      <c r="C263" s="643" t="str">
        <f>WORLDCUP!AA166</f>
        <v>Tim Payne carreando (Nueva Zelanda)</v>
      </c>
      <c r="O263" s="1"/>
      <c r="P263" s="1"/>
    </row>
    <row r="264" spans="1:16" ht="15.6">
      <c r="A264" s="640"/>
      <c r="B264" s="646" t="s">
        <v>1519</v>
      </c>
      <c r="C264" s="644" t="str">
        <f>WORLDCUP!AA167</f>
        <v>Inglaterra (Fui generoso en sus partidos)</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R53" sqref="R53"/>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9</v>
      </c>
      <c r="J4" s="437">
        <f ca="1">+INDEX(WORLDCUP!$AT$6:$AT$97,MATCH(L4,WORLDCUP!$AI$6:$AI$97,0))</f>
        <v>3</v>
      </c>
      <c r="K4" s="438" t="str">
        <f ca="1">+INDEX(WORLDCUP!$AR$6:$AR$97,MATCH(L4,WORLDCUP!$AI$6:$AI$97,0))&amp;"-"&amp;INDEX(WORLDCUP!$AS$6:$AS$97,MATCH(L4,WORLDCUP!$AI$6:$AI$97,0))</f>
        <v>6-3</v>
      </c>
      <c r="L4" s="177" t="s">
        <v>657</v>
      </c>
      <c r="M4" s="177">
        <v>15</v>
      </c>
      <c r="N4" s="439"/>
      <c r="O4" s="431" t="str">
        <f ca="1">+MID(INDEX(WORLDCUP!$AA$4:$AA$147,MATCH(M4,WORLDCUP!$AH$4:$AH$147,0)),1,3)</f>
        <v>Irá</v>
      </c>
      <c r="P4" s="432">
        <f>IF(ISBLANK(INDEX(WORLDCUP!$AC$4:$AC$147,MATCH(M4,WORLDCUP!$AH$4:$AH$147,0))),"",INDEX(WORLDCUP!$AC$4:$AC$147,MATCH(M4,WORLDCUP!$AH$4:$AH$147,0)))</f>
        <v>1</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7-2</v>
      </c>
      <c r="X4" s="177" t="s">
        <v>679</v>
      </c>
      <c r="Y4" s="177">
        <v>74</v>
      </c>
      <c r="Z4" s="412" t="s">
        <v>734</v>
      </c>
      <c r="AA4" s="413" t="str">
        <f ca="1">+MID(INDEX(WORLDCUP!$AF$101:$AF$147,MATCH(Y4,WORLDCUP!$Z$101:$Z$147,0)),1,IF(WORLDCUP!$H$113&lt;144,6,3))</f>
        <v>Par</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Cor</v>
      </c>
      <c r="I5" s="35">
        <f ca="1">+INDEX(WORLDCUP!$AM$6:$AM$97,MATCH(L5,WORLDCUP!$AI$6:$AI$97,0))</f>
        <v>4</v>
      </c>
      <c r="J5" s="36">
        <f ca="1">+INDEX(WORLDCUP!$AT$6:$AT$97,MATCH(L5,WORLDCUP!$AI$6:$AI$97,0))</f>
        <v>0</v>
      </c>
      <c r="K5" s="40" t="str">
        <f ca="1">+INDEX(WORLDCUP!$AR$6:$AR$97,MATCH(L5,WORLDCUP!$AI$6:$AI$97,0))&amp;"-"&amp;INDEX(WORLDCUP!$AS$6:$AS$97,MATCH(L5,WORLDCUP!$AI$6:$AI$97,0))</f>
        <v>4-4</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4</v>
      </c>
      <c r="V5" s="36">
        <f ca="1">+INDEX(WORLDCUP!$AT$6:$AT$97,MATCH(X5,WORLDCUP!$AI$6:$AI$97,0))</f>
        <v>0</v>
      </c>
      <c r="W5" s="40" t="str">
        <f ca="1">+INDEX(WORLDCUP!$AR$6:$AR$97,MATCH(X5,WORLDCUP!$AI$6:$AI$97,0))&amp;"-"&amp;INDEX(WORLDCUP!$AS$6:$AS$97,MATCH(X5,WORLDCUP!$AI$6:$AI$97,0))</f>
        <v>3-3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Rep</v>
      </c>
      <c r="I6" s="35">
        <f ca="1">+INDEX(WORLDCUP!$AM$6:$AM$97,MATCH(L6,WORLDCUP!$AI$6:$AI$97,0))</f>
        <v>2</v>
      </c>
      <c r="J6" s="36">
        <f ca="1">+INDEX(WORLDCUP!$AT$6:$AT$97,MATCH(L6,WORLDCUP!$AI$6:$AI$97,0))</f>
        <v>-1</v>
      </c>
      <c r="K6" s="40" t="str">
        <f ca="1">+INDEX(WORLDCUP!$AR$6:$AR$97,MATCH(L6,WORLDCUP!$AI$6:$AI$97,0))&amp;"-"&amp;INDEX(WORLDCUP!$AS$6:$AS$97,MATCH(L6,WORLDCUP!$AI$6:$AI$97,0))</f>
        <v>3-4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Nue</v>
      </c>
      <c r="U6" s="35">
        <f ca="1">+INDEX(WORLDCUP!$AM$6:$AM$97,MATCH(X6,WORLDCUP!$AI$6:$AI$97,0))</f>
        <v>2</v>
      </c>
      <c r="V6" s="36">
        <f ca="1">+INDEX(WORLDCUP!$AT$6:$AT$97,MATCH(X6,WORLDCUP!$AI$6:$AI$97,0))</f>
        <v>-2</v>
      </c>
      <c r="W6" s="40" t="str">
        <f ca="1">+INDEX(WORLDCUP!$AR$6:$AR$97,MATCH(X6,WORLDCUP!$AI$6:$AI$97,0))&amp;"-"&amp;INDEX(WORLDCUP!$AS$6:$AS$97,MATCH(X6,WORLDCUP!$AI$6:$AI$97,0))</f>
        <v>3-5</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1</v>
      </c>
      <c r="J7" s="465">
        <f ca="1">+INDEX(WORLDCUP!$AT$6:$AT$97,MATCH(L7,WORLDCUP!$AI$6:$AI$97,0))</f>
        <v>-2</v>
      </c>
      <c r="K7" s="466" t="str">
        <f ca="1">+INDEX(WORLDCUP!$AR$6:$AR$97,MATCH(L7,WORLDCUP!$AI$6:$AI$97,0))&amp;"-"&amp;INDEX(WORLDCUP!$AS$6:$AS$97,MATCH(L7,WORLDCUP!$AI$6:$AI$97,0))</f>
        <v>3-5</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Irá</v>
      </c>
      <c r="U7" s="464">
        <f ca="1">+INDEX(WORLDCUP!$AM$6:$AM$97,MATCH(X7,WORLDCUP!$AI$6:$AI$97,0))</f>
        <v>1</v>
      </c>
      <c r="V7" s="465">
        <f ca="1">+INDEX(WORLDCUP!$AT$6:$AT$97,MATCH(X7,WORLDCUP!$AI$6:$AI$97,0))</f>
        <v>-3</v>
      </c>
      <c r="W7" s="466" t="str">
        <f ca="1">+INDEX(WORLDCUP!$AR$6:$AR$97,MATCH(X7,WORLDCUP!$AI$6:$AI$97,0))&amp;"-"&amp;INDEX(WORLDCUP!$AS$6:$AS$97,MATCH(X7,WORLDCUP!$AI$6:$AI$97,0))</f>
        <v>1-4</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1</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Mar</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1</v>
      </c>
      <c r="BI9" s="450">
        <f ca="1">COUNTIF(Pool!$C$130:$C$161,Fixture!BG9)-BJ9-BK9-BL9-BM9-BN9-BO9</f>
        <v>0</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Cor</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3</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Mar</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4</v>
      </c>
      <c r="K12" s="438" t="str">
        <f ca="1">+INDEX(WORLDCUP!$AR$6:$AR$97,MATCH(L12,WORLDCUP!$AI$6:$AI$97,0))&amp;"-"&amp;INDEX(WORLDCUP!$AS$6:$AS$97,MATCH(L12,WORLDCUP!$AI$6:$AI$97,0))</f>
        <v>6-2</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7</v>
      </c>
      <c r="W12" s="438" t="str">
        <f ca="1">+INDEX(WORLDCUP!$AR$6:$AR$97,MATCH(X12,WORLDCUP!$AI$6:$AI$97,0))&amp;"-"&amp;INDEX(WORLDCUP!$AS$6:$AS$97,MATCH(X12,WORLDCUP!$AI$6:$AI$97,0))</f>
        <v>8-1</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( 3 )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6</v>
      </c>
      <c r="J13" s="36">
        <f ca="1">+INDEX(WORLDCUP!$AT$6:$AT$97,MATCH(L13,WORLDCUP!$AI$6:$AI$97,0))</f>
        <v>2</v>
      </c>
      <c r="K13" s="40" t="str">
        <f ca="1">+INDEX(WORLDCUP!$AR$6:$AR$97,MATCH(L13,WORLDCUP!$AI$6:$AI$97,0))&amp;"-"&amp;INDEX(WORLDCUP!$AS$6:$AS$97,MATCH(L13,WORLDCUP!$AI$6:$AI$97,0))</f>
        <v>5-3</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3</v>
      </c>
      <c r="W13" s="40" t="str">
        <f ca="1">+INDEX(WORLDCUP!$AR$6:$AR$97,MATCH(X13,WORLDCUP!$AI$6:$AI$97,0))&amp;"-"&amp;INDEX(WORLDCUP!$AS$6:$AS$97,MATCH(X13,WORLDCUP!$AI$6:$AI$97,0))</f>
        <v>5-2</v>
      </c>
      <c r="X13" s="177" t="s">
        <v>683</v>
      </c>
      <c r="Y13" s="177">
        <v>75</v>
      </c>
      <c r="Z13" s="412" t="s">
        <v>668</v>
      </c>
      <c r="AA13" s="467" t="str">
        <f ca="1">+MID(INDEX(WORLDCUP!$AF$101:$AF$147,MATCH(Y13,WORLDCUP!$Z$101:$Z$147,0)),1,3)</f>
        <v>Mar</v>
      </c>
      <c r="AB13" s="468">
        <f>+IF(ISBLANK(INDEX(WORLDCUP!$AD$101:$AD$147,MATCH(Y13,WORLDCUP!$Z$101:$Z$147,0))),"",INDEX(WORLDCUP!$AD$101:$AD$147,MATCH(Y13,WORLDCUP!$Z$101:$Z$147,0)))</f>
        <v>2</v>
      </c>
      <c r="AC13" s="494" t="str">
        <f>+IF(ISBLANK(INDEX(WORLDCUP!$AE$101:$AE$147,MATCH(Y13,WORLDCUP!$Z$101:$Z$147,0))),"","( "&amp;INDEX(WORLDCUP!$AE$101:$AE$147,MATCH(Y13,WORLDCUP!$Z$101:$Z$147,0))&amp;" )")</f>
        <v>( 4 )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1</v>
      </c>
      <c r="J14" s="36">
        <f ca="1">+INDEX(WORLDCUP!$AT$6:$AT$97,MATCH(L14,WORLDCUP!$AI$6:$AI$97,0))</f>
        <v>-2</v>
      </c>
      <c r="K14" s="40" t="str">
        <f ca="1">+INDEX(WORLDCUP!$AR$6:$AR$97,MATCH(L14,WORLDCUP!$AI$6:$AI$97,0))&amp;"-"&amp;INDEX(WORLDCUP!$AS$6:$AS$97,MATCH(L14,WORLDCUP!$AI$6:$AI$97,0))</f>
        <v>3-5</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1</v>
      </c>
      <c r="V14" s="36">
        <f ca="1">+INDEX(WORLDCUP!$AT$6:$AT$97,MATCH(X14,WORLDCUP!$AI$6:$AI$97,0))</f>
        <v>-5</v>
      </c>
      <c r="W14" s="40" t="str">
        <f ca="1">+INDEX(WORLDCUP!$AR$6:$AR$97,MATCH(X14,WORLDCUP!$AI$6:$AI$97,0))&amp;"-"&amp;INDEX(WORLDCUP!$AS$6:$AS$97,MATCH(X14,WORLDCUP!$AI$6:$AI$97,0))</f>
        <v>1-6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2</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1</v>
      </c>
      <c r="J15" s="465">
        <f ca="1">+INDEX(WORLDCUP!$AT$6:$AT$97,MATCH(L15,WORLDCUP!$AI$6:$AI$97,0))</f>
        <v>-4</v>
      </c>
      <c r="K15" s="466" t="str">
        <f ca="1">+INDEX(WORLDCUP!$AR$6:$AR$97,MATCH(L15,WORLDCUP!$AI$6:$AI$97,0))&amp;"-"&amp;INDEX(WORLDCUP!$AS$6:$AS$97,MATCH(L15,WORLDCUP!$AI$6:$AI$97,0))</f>
        <v>1-5</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Cab</v>
      </c>
      <c r="U15" s="464">
        <f ca="1">+INDEX(WORLDCUP!$AM$6:$AM$97,MATCH(X15,WORLDCUP!$AI$6:$AI$97,0))</f>
        <v>1</v>
      </c>
      <c r="V15" s="465">
        <f ca="1">+INDEX(WORLDCUP!$AT$6:$AT$97,MATCH(X15,WORLDCUP!$AI$6:$AI$97,0))</f>
        <v>-5</v>
      </c>
      <c r="W15" s="466" t="str">
        <f ca="1">+INDEX(WORLDCUP!$AR$6:$AR$97,MATCH(X15,WORLDCUP!$AI$6:$AI$97,0))&amp;"-"&amp;INDEX(WORLDCUP!$AS$6:$AS$97,MATCH(X15,WORLDCUP!$AI$6:$AI$97,0))</f>
        <v>1-6</v>
      </c>
      <c r="X15" s="177" t="s">
        <v>684</v>
      </c>
      <c r="Y15" s="177">
        <v>83</v>
      </c>
      <c r="Z15" s="412" t="s">
        <v>692</v>
      </c>
      <c r="AA15" s="413" t="str">
        <f ca="1">+MID(INDEX(WORLDCUP!$AA$101:$AA$147,MATCH(Y15,WORLDCUP!$Z$101:$Z$147,0)),1,3)</f>
        <v>Col</v>
      </c>
      <c r="AB15" s="414">
        <f>+IF(ISBLANK(INDEX(WORLDCUP!$AC$101:$AC$147,MATCH(Y15,WORLDCUP!$Z$101:$Z$147,0))),"",INDEX(WORLDCUP!$AC$101:$AC$147,MATCH(Y15,WORLDCUP!$Z$101:$Z$147,0)))</f>
        <v>1</v>
      </c>
      <c r="AC15" s="485" t="str">
        <f>+IF(ISBLANK(INDEX(WORLDCUP!$AB$101:$AB$147,MATCH(Y15,WORLDCUP!$Z$101:$Z$147,0))),"","( "&amp;INDEX(WORLDCUP!$AB$101:$AB$147,MATCH(Y15,WORLDCUP!$Z$101:$Z$147,0))&amp;" )")</f>
        <v>( 4 )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2</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( 3 )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4</v>
      </c>
      <c r="K20" s="438" t="str">
        <f ca="1">+INDEX(WORLDCUP!$AR$6:$AR$97,MATCH(L20,WORLDCUP!$AI$6:$AI$97,0))&amp;"-"&amp;INDEX(WORLDCUP!$AS$6:$AS$97,MATCH(L20,WORLDCUP!$AI$6:$AI$97,0))</f>
        <v>6-2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6</v>
      </c>
      <c r="W20" s="438" t="str">
        <f ca="1">+INDEX(WORLDCUP!$AR$6:$AR$97,MATCH(X20,WORLDCUP!$AI$6:$AI$97,0))&amp;"-"&amp;INDEX(WORLDCUP!$AS$6:$AS$97,MATCH(X20,WORLDCUP!$AI$6:$AI$97,0))</f>
        <v>9-3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3</v>
      </c>
      <c r="K21" s="40" t="str">
        <f ca="1">+INDEX(WORLDCUP!$AR$6:$AR$97,MATCH(L21,WORLDCUP!$AI$6:$AI$97,0))&amp;"-"&amp;INDEX(WORLDCUP!$AS$6:$AS$97,MATCH(L21,WORLDCUP!$AI$6:$AI$97,0))</f>
        <v>5-2</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4</v>
      </c>
      <c r="V21" s="36">
        <f ca="1">+INDEX(WORLDCUP!$AT$6:$AT$97,MATCH(X21,WORLDCUP!$AI$6:$AI$97,0))</f>
        <v>1</v>
      </c>
      <c r="W21" s="40" t="str">
        <f ca="1">+INDEX(WORLDCUP!$AR$6:$AR$97,MATCH(X21,WORLDCUP!$AI$6:$AI$97,0))&amp;"-"&amp;INDEX(WORLDCUP!$AS$6:$AS$97,MATCH(X21,WORLDCUP!$AI$6:$AI$97,0))</f>
        <v>6-5</v>
      </c>
      <c r="X21" s="177" t="s">
        <v>686</v>
      </c>
      <c r="Y21" s="177">
        <v>81</v>
      </c>
      <c r="Z21" s="412" t="s">
        <v>670</v>
      </c>
      <c r="AA21" s="413" t="str">
        <f ca="1">+MID(INDEX(WORLDCUP!$AA$101:$AA$147,MATCH(Y21,WORLDCUP!$Z$101:$Z$147,0)),1,3)</f>
        <v>Tur</v>
      </c>
      <c r="AB21" s="414">
        <f>+IF(ISBLANK(INDEX(WORLDCUP!$AC$101:$AC$147,MATCH(Y21,WORLDCUP!$Z$101:$Z$147,0))),"",INDEX(WORLDCUP!$AC$101:$AC$147,MATCH(Y21,WORLDCUP!$Z$101:$Z$147,0)))</f>
        <v>1</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España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4-4</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1</v>
      </c>
      <c r="W22" s="40" t="str">
        <f ca="1">+INDEX(WORLDCUP!$AR$6:$AR$97,MATCH(X22,WORLDCUP!$AI$6:$AI$97,0))&amp;"-"&amp;INDEX(WORLDCUP!$AS$6:$AS$97,MATCH(X22,WORLDCUP!$AI$6:$AI$97,0))</f>
        <v>5-4</v>
      </c>
      <c r="X22" s="177" t="s">
        <v>450</v>
      </c>
      <c r="Y22" s="177">
        <v>81</v>
      </c>
      <c r="Z22" s="412" t="s">
        <v>738</v>
      </c>
      <c r="AA22" s="413" t="str">
        <f ca="1">+MID(INDEX(WORLDCUP!$AF$101:$AF$147,MATCH(Y22,WORLDCUP!$Z$101:$Z$147,0)),1,IF(WORLDCUP!$H$113&lt;144,6,3))</f>
        <v>Cos</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-7</v>
      </c>
      <c r="K23" s="466" t="str">
        <f ca="1">+INDEX(WORLDCUP!$AR$6:$AR$97,MATCH(L23,WORLDCUP!$AI$6:$AI$97,0))&amp;"-"&amp;INDEX(WORLDCUP!$AS$6:$AS$97,MATCH(L23,WORLDCUP!$AI$6:$AI$97,0))</f>
        <v>0-7</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0-8</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Argentina</v>
      </c>
      <c r="BC23" s="516"/>
      <c r="BD23" s="149"/>
      <c r="BE23" s="149"/>
      <c r="BG23" s="449" t="str">
        <f ca="1">Horarios!Q22</f>
        <v>Escocia</v>
      </c>
      <c r="BH23" s="450">
        <f t="shared" ca="1" si="0"/>
        <v>0</v>
      </c>
      <c r="BI23" s="450">
        <f ca="1">COUNTIF(Pool!$C$130:$C$161,Fixture!BG23)-BJ23-BK23-BL23-BM23-BN23-BO23</f>
        <v>0</v>
      </c>
      <c r="BJ23" s="451">
        <f ca="1">COUNTIF(Pool!$C$182:$C$197,Fixture!BG23)-BK23-BL23-BM23-BN23-BO23</f>
        <v>1</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1</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3</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2</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Tur</v>
      </c>
      <c r="I28" s="436">
        <f ca="1">+INDEX(WORLDCUP!$AM$6:$AM$97,MATCH(L28,WORLDCUP!$AI$6:$AI$97,0))</f>
        <v>9</v>
      </c>
      <c r="J28" s="437">
        <f ca="1">+INDEX(WORLDCUP!$AT$6:$AT$97,MATCH(L28,WORLDCUP!$AI$6:$AI$97,0))</f>
        <v>3</v>
      </c>
      <c r="K28" s="438" t="str">
        <f ca="1">+INDEX(WORLDCUP!$AR$6:$AR$97,MATCH(L28,WORLDCUP!$AI$6:$AI$97,0))&amp;"-"&amp;INDEX(WORLDCUP!$AS$6:$AS$97,MATCH(L28,WORLDCUP!$AI$6:$AI$97,0))</f>
        <v>5-2</v>
      </c>
      <c r="L28" s="177" t="s">
        <v>670</v>
      </c>
      <c r="M28" s="177">
        <v>20</v>
      </c>
      <c r="N28" s="532"/>
      <c r="O28" s="431" t="str">
        <f ca="1">+MID(INDEX(WORLDCUP!$AA$4:$AA$147,MATCH(M28,WORLDCUP!$AH$4:$AH$147,0)),1,3)</f>
        <v>Aus</v>
      </c>
      <c r="P28" s="432">
        <f>IF(ISBLANK(INDEX(WORLDCUP!$AC$4:$AC$147,MATCH(M28,WORLDCUP!$AH$4:$AH$147,0))),"",INDEX(WORLDCUP!$AC$4:$AC$147,MATCH(M28,WORLDCUP!$AH$4:$AH$147,0)))</f>
        <v>0</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8-1</v>
      </c>
      <c r="X28" s="177" t="s">
        <v>688</v>
      </c>
      <c r="Y28" s="177">
        <v>76</v>
      </c>
      <c r="Z28" s="412" t="s">
        <v>677</v>
      </c>
      <c r="AA28" s="413" t="str">
        <f ca="1">+MID(INDEX(WORLDCUP!$AF$101:$AF$147,MATCH(Y28,WORLDCUP!$Z$101:$Z$147,0)),1,3)</f>
        <v>Jap</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4</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4</v>
      </c>
      <c r="J29" s="36">
        <f ca="1">+INDEX(WORLDCUP!$AT$6:$AT$97,MATCH(L29,WORLDCUP!$AI$6:$AI$97,0))</f>
        <v>1</v>
      </c>
      <c r="K29" s="40" t="str">
        <f ca="1">+INDEX(WORLDCUP!$AR$6:$AR$97,MATCH(L29,WORLDCUP!$AI$6:$AI$97,0))&amp;"-"&amp;INDEX(WORLDCUP!$AS$6:$AS$97,MATCH(L29,WORLDCUP!$AI$6:$AI$97,0))</f>
        <v>4-3</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Arg</v>
      </c>
      <c r="U29" s="35">
        <f ca="1">+INDEX(WORLDCUP!$AM$6:$AM$97,MATCH(X29,WORLDCUP!$AI$6:$AI$97,0))</f>
        <v>6</v>
      </c>
      <c r="V29" s="36">
        <f ca="1">+INDEX(WORLDCUP!$AT$6:$AT$97,MATCH(X29,WORLDCUP!$AI$6:$AI$97,0))</f>
        <v>0</v>
      </c>
      <c r="W29" s="40" t="str">
        <f ca="1">+INDEX(WORLDCUP!$AR$6:$AR$97,MATCH(X29,WORLDCUP!$AI$6:$AI$97,0))&amp;"-"&amp;INDEX(WORLDCUP!$AS$6:$AS$97,MATCH(X29,WORLDCUP!$AI$6:$AI$97,0))</f>
        <v>3-3</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2</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4</v>
      </c>
      <c r="J30" s="36">
        <f ca="1">+INDEX(WORLDCUP!$AT$6:$AT$97,MATCH(L30,WORLDCUP!$AI$6:$AI$97,0))</f>
        <v>0</v>
      </c>
      <c r="K30" s="40" t="str">
        <f ca="1">+INDEX(WORLDCUP!$AR$6:$AR$97,MATCH(L30,WORLDCUP!$AI$6:$AI$97,0))&amp;"-"&amp;INDEX(WORLDCUP!$AS$6:$AS$97,MATCH(L30,WORLDCUP!$AI$6:$AI$97,0))</f>
        <v>4-4</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Aus</v>
      </c>
      <c r="U30" s="35">
        <f ca="1">+INDEX(WORLDCUP!$AM$6:$AM$97,MATCH(X30,WORLDCUP!$AI$6:$AI$97,0))</f>
        <v>1</v>
      </c>
      <c r="V30" s="36">
        <f ca="1">+INDEX(WORLDCUP!$AT$6:$AT$97,MATCH(X30,WORLDCUP!$AI$6:$AI$97,0))</f>
        <v>-3</v>
      </c>
      <c r="W30" s="40" t="str">
        <f ca="1">+INDEX(WORLDCUP!$AR$6:$AR$97,MATCH(X30,WORLDCUP!$AI$6:$AI$97,0))&amp;"-"&amp;INDEX(WORLDCUP!$AS$6:$AS$97,MATCH(X30,WORLDCUP!$AI$6:$AI$97,0))</f>
        <v>1-4</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-4</v>
      </c>
      <c r="K31" s="466" t="str">
        <f ca="1">+INDEX(WORLDCUP!$AR$6:$AR$97,MATCH(L31,WORLDCUP!$AI$6:$AI$97,0))&amp;"-"&amp;INDEX(WORLDCUP!$AS$6:$AS$97,MATCH(L31,WORLDCUP!$AI$6:$AI$97,0))</f>
        <v>1-5</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0</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-4</v>
      </c>
      <c r="W31" s="466" t="str">
        <f ca="1">+INDEX(WORLDCUP!$AR$6:$AR$97,MATCH(X31,WORLDCUP!$AI$6:$AI$97,0))&amp;"-"&amp;INDEX(WORLDCUP!$AS$6:$AS$97,MATCH(X31,WORLDCUP!$AI$6:$AI$97,0))</f>
        <v>1-5</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3</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0</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2</v>
      </c>
      <c r="AC34" s="441" t="str">
        <f>+IF(ISBLANK(INDEX(WORLDCUP!$AE$101:$AE$147,MATCH(Y34,WORLDCUP!$Z$101:$Z$147,0))),"","( "&amp;INDEX(WORLDCUP!$AE$101:$AE$147,MATCH(Y34,WORLDCUP!$Z$101:$Z$147,0))&amp;" )")</f>
        <v/>
      </c>
      <c r="AD34" s="442">
        <v>92</v>
      </c>
      <c r="AE34" s="443" t="str">
        <f ca="1">+MID(INDEX(WORLDCUP!$AA$101:$AA$147,MATCH(AD34,WORLDCUP!$Z$101:$Z$147,0)),1,3)</f>
        <v>Esc</v>
      </c>
      <c r="AF34" s="444">
        <f>+IF(ISBLANK(INDEX(WORLDCUP!$AC$101:$AC$147,MATCH(AD34,WORLDCUP!$Z$101:$Z$147,0))),"",INDEX(WORLDCUP!$AC$101:$AC$147,MATCH(AD34,WORLDCUP!$Z$101:$Z$147,0)))</f>
        <v>1</v>
      </c>
      <c r="AG34" s="488" t="str">
        <f>+IF(ISBLANK(INDEX(WORLDCUP!$AB$101:$AB$147,MATCH(AD34,WORLDCUP!$Z$101:$Z$147,0))),"","( "&amp;INDEX(WORLDCUP!$AB$101:$AB$147,MATCH(AD34,WORLDCUP!$Z$101:$Z$147,0))&amp;" )")</f>
        <v>( 3 )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1</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3</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1</v>
      </c>
      <c r="AG35" s="461" t="str">
        <f>+IF(ISBLANK(INDEX(WORLDCUP!$AE$101:$AE$147,MATCH(AD35,WORLDCUP!$Z$101:$Z$147,0))),"","( "&amp;INDEX(WORLDCUP!$AE$101:$AE$147,MATCH(AD35,WORLDCUP!$Z$101:$Z$147,0))&amp;" )")</f>
        <v>( 4 )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1</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5</v>
      </c>
      <c r="K36" s="438" t="str">
        <f ca="1">+INDEX(WORLDCUP!$AR$6:$AR$97,MATCH(L36,WORLDCUP!$AI$6:$AI$97,0))&amp;"-"&amp;INDEX(WORLDCUP!$AS$6:$AS$97,MATCH(L36,WORLDCUP!$AI$6:$AI$97,0))</f>
        <v>6-1</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4</v>
      </c>
      <c r="W36" s="438" t="str">
        <f ca="1">+INDEX(WORLDCUP!$AR$6:$AR$97,MATCH(X36,WORLDCUP!$AI$6:$AI$97,0))&amp;"-"&amp;INDEX(WORLDCUP!$AS$6:$AS$97,MATCH(X36,WORLDCUP!$AI$6:$AI$97,0))</f>
        <v>6-2</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4</v>
      </c>
      <c r="J37" s="36">
        <f ca="1">+INDEX(WORLDCUP!$AT$6:$AT$97,MATCH(L37,WORLDCUP!$AI$6:$AI$97,0))</f>
        <v>1</v>
      </c>
      <c r="K37" s="40" t="str">
        <f ca="1">+INDEX(WORLDCUP!$AR$6:$AR$97,MATCH(L37,WORLDCUP!$AI$6:$AI$97,0))&amp;"-"&amp;INDEX(WORLDCUP!$AS$6:$AS$97,MATCH(L37,WORLDCUP!$AI$6:$AI$97,0))</f>
        <v>3-2</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3</v>
      </c>
      <c r="W37" s="40" t="str">
        <f ca="1">+INDEX(WORLDCUP!$AR$6:$AR$97,MATCH(X37,WORLDCUP!$AI$6:$AI$97,0))&amp;"-"&amp;INDEX(WORLDCUP!$AS$6:$AS$97,MATCH(X37,WORLDCUP!$AI$6:$AI$97,0))</f>
        <v>5-2</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2</v>
      </c>
      <c r="J38" s="36">
        <f ca="1">+INDEX(WORLDCUP!$AT$6:$AT$97,MATCH(L38,WORLDCUP!$AI$6:$AI$97,0))</f>
        <v>-1</v>
      </c>
      <c r="K38" s="40" t="str">
        <f ca="1">+INDEX(WORLDCUP!$AR$6:$AR$97,MATCH(L38,WORLDCUP!$AI$6:$AI$97,0))&amp;"-"&amp;INDEX(WORLDCUP!$AS$6:$AS$97,MATCH(L38,WORLDCUP!$AI$6:$AI$97,0))</f>
        <v>3-4</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1</v>
      </c>
      <c r="V38" s="36">
        <f ca="1">+INDEX(WORLDCUP!$AT$6:$AT$97,MATCH(X38,WORLDCUP!$AI$6:$AI$97,0))</f>
        <v>-3</v>
      </c>
      <c r="W38" s="40" t="str">
        <f ca="1">+INDEX(WORLDCUP!$AR$6:$AR$97,MATCH(X38,WORLDCUP!$AI$6:$AI$97,0))&amp;"-"&amp;INDEX(WORLDCUP!$AS$6:$AS$97,MATCH(X38,WORLDCUP!$AI$6:$AI$97,0))</f>
        <v>1-4</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1</v>
      </c>
      <c r="F39" s="433" t="str">
        <f ca="1">+MID(INDEX(WORLDCUP!$AF$4:$AF$147,MATCH(A39,WORLDCUP!$AH$4:$AH$147,0)),1,3)</f>
        <v>Cos</v>
      </c>
      <c r="G39" s="454">
        <v>4</v>
      </c>
      <c r="H39" s="463" t="str">
        <f ca="1">+MID(INDEX(WORLDCUP!$AL$6:$AL$97,MATCH(L39,WORLDCUP!$AI$6:$AI$97,0)),1,3)</f>
        <v>Cur</v>
      </c>
      <c r="I39" s="464">
        <f ca="1">+INDEX(WORLDCUP!$AM$6:$AM$97,MATCH(L39,WORLDCUP!$AI$6:$AI$97,0))</f>
        <v>1</v>
      </c>
      <c r="J39" s="465">
        <f ca="1">+INDEX(WORLDCUP!$AT$6:$AT$97,MATCH(L39,WORLDCUP!$AI$6:$AI$97,0))</f>
        <v>-5</v>
      </c>
      <c r="K39" s="466" t="str">
        <f ca="1">+INDEX(WORLDCUP!$AR$6:$AR$97,MATCH(L39,WORLDCUP!$AI$6:$AI$97,0))&amp;"-"&amp;INDEX(WORLDCUP!$AS$6:$AS$97,MATCH(L39,WORLDCUP!$AI$6:$AI$97,0))</f>
        <v>1-6</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1</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-4</v>
      </c>
      <c r="W39" s="466" t="str">
        <f ca="1">+INDEX(WORLDCUP!$AR$6:$AR$97,MATCH(X39,WORLDCUP!$AI$6:$AI$97,0))&amp;"-"&amp;INDEX(WORLDCUP!$AS$6:$AS$97,MATCH(X39,WORLDCUP!$AI$6:$AI$97,0))</f>
        <v>1-5</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0</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( 4 )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4</v>
      </c>
      <c r="K44" s="438" t="str">
        <f ca="1">+INDEX(WORLDCUP!$AR$6:$AR$97,MATCH(L44,WORLDCUP!$AI$6:$AI$97,0))&amp;"-"&amp;INDEX(WORLDCUP!$AS$6:$AS$97,MATCH(L44,WORLDCUP!$AI$6:$AI$97,0))</f>
        <v>7-3</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7</v>
      </c>
      <c r="V44" s="437">
        <f ca="1">+INDEX(WORLDCUP!$AT$6:$AT$97,MATCH(X44,WORLDCUP!$AI$6:$AI$97,0))</f>
        <v>4</v>
      </c>
      <c r="W44" s="438" t="str">
        <f ca="1">+INDEX(WORLDCUP!$AR$6:$AR$97,MATCH(X44,WORLDCUP!$AI$6:$AI$97,0))&amp;"-"&amp;INDEX(WORLDCUP!$AS$6:$AS$97,MATCH(X44,WORLDCUP!$AI$6:$AI$97,0))</f>
        <v>5-1</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( 3 )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7</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1</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7</v>
      </c>
      <c r="V45" s="36">
        <f ca="1">+INDEX(WORLDCUP!$AT$6:$AT$97,MATCH(X45,WORLDCUP!$AI$6:$AI$97,0))</f>
        <v>3</v>
      </c>
      <c r="W45" s="40" t="str">
        <f ca="1">+INDEX(WORLDCUP!$AR$6:$AR$97,MATCH(X45,WORLDCUP!$AI$6:$AI$97,0))&amp;"-"&amp;INDEX(WORLDCUP!$AS$6:$AS$97,MATCH(X45,WORLDCUP!$AI$6:$AI$97,0))</f>
        <v>5-2</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0</v>
      </c>
      <c r="K46" s="40" t="str">
        <f ca="1">+INDEX(WORLDCUP!$AR$6:$AR$97,MATCH(L46,WORLDCUP!$AI$6:$AI$97,0))&amp;"-"&amp;INDEX(WORLDCUP!$AS$6:$AS$97,MATCH(L46,WORLDCUP!$AI$6:$AI$97,0))</f>
        <v>4-4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-1</v>
      </c>
      <c r="W46" s="40" t="str">
        <f ca="1">+INDEX(WORLDCUP!$AR$6:$AR$97,MATCH(X46,WORLDCUP!$AI$6:$AI$97,0))&amp;"-"&amp;INDEX(WORLDCUP!$AS$6:$AS$97,MATCH(X46,WORLDCUP!$AI$6:$AI$97,0))</f>
        <v>2-3</v>
      </c>
      <c r="X46" s="177" t="s">
        <v>453</v>
      </c>
      <c r="Y46" s="177">
        <v>85</v>
      </c>
      <c r="Z46" s="412" t="s">
        <v>740</v>
      </c>
      <c r="AA46" s="413" t="str">
        <f ca="1">+MID(INDEX(WORLDCUP!$AF$101:$AF$147,MATCH(Y46,WORLDCUP!$Z$101:$Z$147,0)),1,IF(WORLDCUP!$H$113&lt;144,6,3))</f>
        <v>Nue</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-6</v>
      </c>
      <c r="K47" s="466" t="str">
        <f ca="1">+INDEX(WORLDCUP!$AR$6:$AR$97,MATCH(L47,WORLDCUP!$AI$6:$AI$97,0))&amp;"-"&amp;INDEX(WORLDCUP!$AS$6:$AS$97,MATCH(L47,WORLDCUP!$AI$6:$AI$97,0))</f>
        <v>1-7</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-6</v>
      </c>
      <c r="W47" s="466" t="str">
        <f ca="1">+INDEX(WORLDCUP!$AR$6:$AR$97,MATCH(X47,WORLDCUP!$AI$6:$AI$97,0))&amp;"-"&amp;INDEX(WORLDCUP!$AS$6:$AS$97,MATCH(X47,WORLDCUP!$AI$6:$AI$97,0))</f>
        <v>0-6</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Nueva Zelanda</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Nueva Zelanda</v>
      </c>
      <c r="E3" s="7" t="str">
        <f ca="1">+WORLDCUP!BD66</f>
        <v>Senegal</v>
      </c>
      <c r="F3" s="7" t="str">
        <f ca="1">+WORLDCUP!BD61</f>
        <v>Paraguay</v>
      </c>
      <c r="G3" s="7" t="str">
        <f ca="1">+WORLDCUP!BD67</f>
        <v>Austria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Paraguay</v>
      </c>
      <c r="G4" s="7" t="str">
        <f ca="1">+WORLDCUP!BD65</f>
        <v>Arabia Saudita</v>
      </c>
      <c r="H4" s="7" t="str">
        <f ca="1">+WORLDCUP!BD64</f>
        <v>Nueva Zelanda</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Paraguay</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Paraguay</v>
      </c>
      <c r="G6" s="7" t="str">
        <f ca="1">+WORLDCUP!BD67</f>
        <v>Austria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Austria</v>
      </c>
      <c r="F7" s="7" t="str">
        <f ca="1">+WORLDCUP!BD61</f>
        <v>Paraguay</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Paraguay</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Austria</v>
      </c>
      <c r="F9" s="7" t="str">
        <f ca="1">+WORLDCUP!BD61</f>
        <v>Paraguay</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Austria</v>
      </c>
      <c r="F10" s="7" t="str">
        <f ca="1">+WORLDCUP!BD61</f>
        <v>Paraguay</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Austria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Nueva Zelanda</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Austria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Austria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Austria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Austria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Austria</v>
      </c>
      <c r="H19" s="7" t="str">
        <f ca="1">+WORLDCUP!BD61</f>
        <v>Paraguay</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Paraguay</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Paraguay</v>
      </c>
      <c r="G21" s="7" t="str">
        <f ca="1">+WORLDCUP!BD67</f>
        <v>Austria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Austria</v>
      </c>
      <c r="F22" s="7" t="str">
        <f ca="1">+WORLDCUP!BD61</f>
        <v>Paraguay</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Paraguay</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Austria</v>
      </c>
      <c r="F24" s="7" t="str">
        <f ca="1">+WORLDCUP!BD61</f>
        <v>Paraguay</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Austria</v>
      </c>
      <c r="F25" s="7" t="str">
        <f ca="1">+WORLDCUP!BD61</f>
        <v>Paraguay</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Paraguay</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Austria</v>
      </c>
      <c r="H27" s="7" t="str">
        <f ca="1">+WORLDCUP!BD61</f>
        <v>Paraguay</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Austria</v>
      </c>
      <c r="F28" s="7" t="str">
        <f ca="1">+WORLDCUP!BD60</f>
        <v>Escocia</v>
      </c>
      <c r="G28" s="7" t="str">
        <f ca="1">+WORLDCUP!BD65</f>
        <v>Arabia Saudita</v>
      </c>
      <c r="H28" s="7" t="str">
        <f ca="1">+WORLDCUP!BD61</f>
        <v>Paraguay</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Paraguay</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Austria</v>
      </c>
      <c r="F30" s="7" t="str">
        <f ca="1">+WORLDCUP!BD60</f>
        <v>Escocia</v>
      </c>
      <c r="G30" s="7" t="str">
        <f ca="1">+WORLDCUP!BD65</f>
        <v>Arabia Saudita</v>
      </c>
      <c r="H30" s="7" t="str">
        <f ca="1">+WORLDCUP!BD61</f>
        <v>Paraguay</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Austria</v>
      </c>
      <c r="F31" s="7" t="str">
        <f ca="1">+WORLDCUP!BD60</f>
        <v>Escocia</v>
      </c>
      <c r="G31" s="7" t="str">
        <f ca="1">+WORLDCUP!BD65</f>
        <v>Arabia Saudita</v>
      </c>
      <c r="H31" s="7" t="str">
        <f ca="1">+WORLDCUP!BD61</f>
        <v>Paraguay</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Paraguay</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Paraguay</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Paraguay</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Paraguay</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Paraguay</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Paraguay</v>
      </c>
      <c r="G37" s="7" t="str">
        <f ca="1">+WORLDCUP!BD67</f>
        <v>Austria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Paraguay</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Paraguay</v>
      </c>
      <c r="G39" s="7" t="str">
        <f ca="1">+WORLDCUP!BD67</f>
        <v>Austria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Paraguay</v>
      </c>
      <c r="G40" s="7" t="str">
        <f ca="1">+WORLDCUP!BD67</f>
        <v>Austria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Paraguay</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Austria</v>
      </c>
      <c r="F42" s="7" t="str">
        <f ca="1">+WORLDCUP!BD61</f>
        <v>Paraguay</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Austria</v>
      </c>
      <c r="F43" s="7" t="str">
        <f ca="1">+WORLDCUP!BD61</f>
        <v>Paraguay</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Paraguay</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Paraguay</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Austria</v>
      </c>
      <c r="F46" s="7" t="str">
        <f ca="1">+WORLDCUP!BD61</f>
        <v>Paraguay</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Senegal</v>
      </c>
      <c r="H47" s="7" t="str">
        <f ca="1">+WORLDCUP!BD64</f>
        <v>Nueva Zelanda</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Bosnia y Herzegovina</v>
      </c>
      <c r="G48" s="7" t="str">
        <f ca="1">+WORLDCUP!BD65</f>
        <v>Arabia Saudita</v>
      </c>
      <c r="H48" s="7" t="str">
        <f ca="1">+WORLDCUP!BD64</f>
        <v>Nueva Zelanda</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Senegal</v>
      </c>
      <c r="H50" s="7" t="str">
        <f ca="1">+WORLDCUP!BD64</f>
        <v>Nueva Zelanda</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Nueva Zelanda</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Bosnia y Herzegovina</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Nueva Zelanda</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Nueva Zelanda</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Paraguay</v>
      </c>
      <c r="G55" s="7" t="str">
        <f ca="1">+WORLDCUP!BD66</f>
        <v>Senegal</v>
      </c>
      <c r="H55" s="7" t="str">
        <f ca="1">+WORLDCUP!BD64</f>
        <v>Nueva Zelanda</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Paraguay</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Bosnia y Herzegovina</v>
      </c>
      <c r="F57" s="7" t="str">
        <f ca="1">+WORLDCUP!BD61</f>
        <v>Paraguay</v>
      </c>
      <c r="G57" s="7" t="str">
        <f ca="1">+WORLDCUP!BD67</f>
        <v>Austria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Nueva Zelanda</v>
      </c>
      <c r="E58" s="7" t="str">
        <f ca="1">+WORLDCUP!BD59</f>
        <v>Bosnia y Herzegovina</v>
      </c>
      <c r="F58" s="7" t="str">
        <f ca="1">+WORLDCUP!BD61</f>
        <v>Paraguay</v>
      </c>
      <c r="G58" s="7" t="str">
        <f ca="1">+WORLDCUP!BD67</f>
        <v>Austria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Nueva Zelanda</v>
      </c>
      <c r="E59" s="7" t="str">
        <f ca="1">+WORLDCUP!BD59</f>
        <v>Bosnia y Herzegovina</v>
      </c>
      <c r="F59" s="7" t="str">
        <f ca="1">+WORLDCUP!BD61</f>
        <v>Paraguay</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Nueva Zelanda</v>
      </c>
      <c r="E60" s="7" t="str">
        <f ca="1">+WORLDCUP!BD59</f>
        <v>Bosnia y Herzegovina</v>
      </c>
      <c r="F60" s="7" t="str">
        <f ca="1">+WORLDCUP!BD61</f>
        <v>Paraguay</v>
      </c>
      <c r="G60" s="7" t="str">
        <f ca="1">+WORLDCUP!BD67</f>
        <v>Austria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Nueva Zelanda</v>
      </c>
      <c r="E61" s="7" t="str">
        <f ca="1">+WORLDCUP!BD59</f>
        <v>Bosnia y Herzegovina</v>
      </c>
      <c r="F61" s="7" t="str">
        <f ca="1">+WORLDCUP!BD61</f>
        <v>Paraguay</v>
      </c>
      <c r="G61" s="7" t="str">
        <f ca="1">+WORLDCUP!BD67</f>
        <v>Austria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Paraguay</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Paraguay</v>
      </c>
      <c r="G63" s="7" t="str">
        <f ca="1">+WORLDCUP!BD66</f>
        <v>Senegal</v>
      </c>
      <c r="H63" s="7" t="str">
        <f ca="1">+WORLDCUP!BD64</f>
        <v>Nueva Zelanda</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Paraguay</v>
      </c>
      <c r="G64" s="7" t="str">
        <f ca="1">+WORLDCUP!BD65</f>
        <v>Arabia Saudita</v>
      </c>
      <c r="H64" s="7" t="str">
        <f ca="1">+WORLDCUP!BD64</f>
        <v>Nueva Zelanda</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Bosnia y Herzegovina</v>
      </c>
      <c r="F65" s="7" t="str">
        <f ca="1">+WORLDCUP!BD61</f>
        <v>Paraguay</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Paraguay</v>
      </c>
      <c r="G66" s="7" t="str">
        <f ca="1">+WORLDCUP!BD65</f>
        <v>Arabia Saudita</v>
      </c>
      <c r="H66" s="7" t="str">
        <f ca="1">+WORLDCUP!BD64</f>
        <v>Nueva Zelanda</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Paraguay</v>
      </c>
      <c r="G67" s="7" t="str">
        <f ca="1">+WORLDCUP!BD65</f>
        <v>Arabia Saudita</v>
      </c>
      <c r="H67" s="7" t="str">
        <f ca="1">+WORLDCUP!BD64</f>
        <v>Nueva Zelanda</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Paraguay</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Paraguay</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Paraguay</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Paraguay</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Paraguay</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Bosnia y Herzegovina</v>
      </c>
      <c r="F73" s="7" t="str">
        <f ca="1">+WORLDCUP!BD61</f>
        <v>Paraguay</v>
      </c>
      <c r="G73" s="7" t="str">
        <f ca="1">+WORLDCUP!BD67</f>
        <v>Austria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Bosnia y Herzegovina</v>
      </c>
      <c r="F74" s="7" t="str">
        <f ca="1">+WORLDCUP!BD61</f>
        <v>Paraguay</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Bosnia y Herzegovina</v>
      </c>
      <c r="F75" s="7" t="str">
        <f ca="1">+WORLDCUP!BD61</f>
        <v>Paraguay</v>
      </c>
      <c r="G75" s="7" t="str">
        <f ca="1">+WORLDCUP!BD67</f>
        <v>Austria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Bosnia y Herzegovina</v>
      </c>
      <c r="F76" s="7" t="str">
        <f ca="1">+WORLDCUP!BD61</f>
        <v>Paraguay</v>
      </c>
      <c r="G76" s="7" t="str">
        <f ca="1">+WORLDCUP!BD67</f>
        <v>Austria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Bosnia y Herzegovina</v>
      </c>
      <c r="F77" s="7" t="str">
        <f ca="1">+WORLDCUP!BD61</f>
        <v>Paraguay</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Nueva Zelanda</v>
      </c>
      <c r="E78" s="7" t="str">
        <f ca="1">+WORLDCUP!BD59</f>
        <v>Bosnia y Herzegovina</v>
      </c>
      <c r="F78" s="7" t="str">
        <f ca="1">+WORLDCUP!BD61</f>
        <v>Paraguay</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Nueva Zelanda</v>
      </c>
      <c r="E79" s="7" t="str">
        <f ca="1">+WORLDCUP!BD59</f>
        <v>Bosnia y Herzegovina</v>
      </c>
      <c r="F79" s="7" t="str">
        <f ca="1">+WORLDCUP!BD61</f>
        <v>Paraguay</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Bosnia y Herzegovina</v>
      </c>
      <c r="F80" s="7" t="str">
        <f ca="1">+WORLDCUP!BD61</f>
        <v>Paraguay</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Bosnia y Herzegovina</v>
      </c>
      <c r="F81" s="7" t="str">
        <f ca="1">+WORLDCUP!BD61</f>
        <v>Paraguay</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Nueva Zelanda</v>
      </c>
      <c r="E82" s="7" t="str">
        <f ca="1">+WORLDCUP!BD59</f>
        <v>Bosnia y Herzegovina</v>
      </c>
      <c r="F82" s="7" t="str">
        <f ca="1">+WORLDCUP!BD61</f>
        <v>Paraguay</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Senegal</v>
      </c>
      <c r="H83" s="7" t="str">
        <f ca="1">+WORLDCUP!BD64</f>
        <v>Nueva Zelanda</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Bosnia y Herzegovina</v>
      </c>
      <c r="F85" s="7" t="str">
        <f ca="1">+WORLDCUP!BD60</f>
        <v>Escocia</v>
      </c>
      <c r="G85" s="7" t="str">
        <f ca="1">+WORLDCUP!BD67</f>
        <v>Austria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Nueva Zelanda</v>
      </c>
      <c r="E86" s="7" t="str">
        <f ca="1">+WORLDCUP!BD59</f>
        <v>Bosnia y Herzegovina</v>
      </c>
      <c r="F86" s="7" t="str">
        <f ca="1">+WORLDCUP!BD60</f>
        <v>Escocia</v>
      </c>
      <c r="G86" s="7" t="str">
        <f ca="1">+WORLDCUP!BD67</f>
        <v>Austria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Nueva Zelanda</v>
      </c>
      <c r="E87" s="7" t="str">
        <f ca="1">+WORLDCUP!BD59</f>
        <v>Bosnia y Herzegovina</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Nueva Zelanda</v>
      </c>
      <c r="E88" s="7" t="str">
        <f ca="1">+WORLDCUP!BD59</f>
        <v>Bosnia y Herzegovina</v>
      </c>
      <c r="F88" s="7" t="str">
        <f ca="1">+WORLDCUP!BD60</f>
        <v>Escocia</v>
      </c>
      <c r="G88" s="7" t="str">
        <f ca="1">+WORLDCUP!BD67</f>
        <v>Austria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Nueva Zelanda</v>
      </c>
      <c r="E89" s="7" t="str">
        <f ca="1">+WORLDCUP!BD59</f>
        <v>Bosnia y Herzegovina</v>
      </c>
      <c r="F89" s="7" t="str">
        <f ca="1">+WORLDCUP!BD60</f>
        <v>Escocia</v>
      </c>
      <c r="G89" s="7" t="str">
        <f ca="1">+WORLDCUP!BD67</f>
        <v>Austria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Senegal</v>
      </c>
      <c r="H91" s="7" t="str">
        <f ca="1">+WORLDCUP!BD64</f>
        <v>Nueva Zelanda</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Nueva Zelanda</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Nueva Zelanda</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Nueva Zelanda</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Bosnia y Herzegovina</v>
      </c>
      <c r="F101" s="7" t="str">
        <f ca="1">+WORLDCUP!BD60</f>
        <v>Escocia</v>
      </c>
      <c r="G101" s="7" t="str">
        <f ca="1">+WORLDCUP!BD67</f>
        <v>Austria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Bosnia y Herzegovina</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Bosnia y Herzegovina</v>
      </c>
      <c r="F103" s="7" t="str">
        <f ca="1">+WORLDCUP!BD60</f>
        <v>Escocia</v>
      </c>
      <c r="G103" s="7" t="str">
        <f ca="1">+WORLDCUP!BD67</f>
        <v>Austria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Bosnia y Herzegovina</v>
      </c>
      <c r="F104" s="7" t="str">
        <f ca="1">+WORLDCUP!BD60</f>
        <v>Escocia</v>
      </c>
      <c r="G104" s="7" t="str">
        <f ca="1">+WORLDCUP!BD67</f>
        <v>Austria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Bosnia y Herzegovina</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Nueva Zelanda</v>
      </c>
      <c r="E106" s="7" t="str">
        <f ca="1">+WORLDCUP!BD59</f>
        <v>Bosnia y Herzegovina</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Nueva Zelanda</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Bosnia y Herzegovina</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Nueva Zelanda</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Senegal</v>
      </c>
      <c r="H111" s="7" t="str">
        <f ca="1">+WORLDCUP!BD61</f>
        <v>Paraguay</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Bosnia y Herzegovina</v>
      </c>
      <c r="F112" s="7" t="str">
        <f ca="1">+WORLDCUP!BD60</f>
        <v>Escocia</v>
      </c>
      <c r="G112" s="7" t="str">
        <f ca="1">+WORLDCUP!BD67</f>
        <v>Austria</v>
      </c>
      <c r="H112" s="7" t="str">
        <f ca="1">+WORLDCUP!BD61</f>
        <v>Paraguay</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Nueva Zelanda</v>
      </c>
      <c r="E113" s="7" t="str">
        <f ca="1">+WORLDCUP!BD59</f>
        <v>Bosnia y Herzegovina</v>
      </c>
      <c r="F113" s="7" t="str">
        <f ca="1">+WORLDCUP!BD60</f>
        <v>Escocia</v>
      </c>
      <c r="G113" s="7" t="str">
        <f ca="1">+WORLDCUP!BD67</f>
        <v>Austria</v>
      </c>
      <c r="H113" s="7" t="str">
        <f ca="1">+WORLDCUP!BD61</f>
        <v>Paraguay</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Nueva Zelanda</v>
      </c>
      <c r="E114" s="7" t="str">
        <f ca="1">+WORLDCUP!BD59</f>
        <v>Bosnia y Herzegovina</v>
      </c>
      <c r="F114" s="7" t="str">
        <f ca="1">+WORLDCUP!BD60</f>
        <v>Escocia</v>
      </c>
      <c r="G114" s="7" t="str">
        <f ca="1">+WORLDCUP!BD66</f>
        <v>Senegal</v>
      </c>
      <c r="H114" s="7" t="str">
        <f ca="1">+WORLDCUP!BD61</f>
        <v>Paraguay</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Nueva Zelanda</v>
      </c>
      <c r="E115" s="7" t="str">
        <f ca="1">+WORLDCUP!BD59</f>
        <v>Bosnia y Herzegovina</v>
      </c>
      <c r="F115" s="7" t="str">
        <f ca="1">+WORLDCUP!BD60</f>
        <v>Escocia</v>
      </c>
      <c r="G115" s="7" t="str">
        <f ca="1">+WORLDCUP!BD67</f>
        <v>Austria</v>
      </c>
      <c r="H115" s="7" t="str">
        <f ca="1">+WORLDCUP!BD61</f>
        <v>Paraguay</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Nueva Zelanda</v>
      </c>
      <c r="E116" s="7" t="str">
        <f ca="1">+WORLDCUP!BD59</f>
        <v>Bosnia y Herzegovina</v>
      </c>
      <c r="F116" s="7" t="str">
        <f ca="1">+WORLDCUP!BD60</f>
        <v>Escocia</v>
      </c>
      <c r="G116" s="7" t="str">
        <f ca="1">+WORLDCUP!BD67</f>
        <v>Austria</v>
      </c>
      <c r="H116" s="7" t="str">
        <f ca="1">+WORLDCUP!BD61</f>
        <v>Paraguay</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Paraguay</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Paraguay</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Paraguay</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Paraguay</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Paraguay</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Bosnia y Herzegovina</v>
      </c>
      <c r="F122" s="7" t="str">
        <f ca="1">+WORLDCUP!BD61</f>
        <v>Paraguay</v>
      </c>
      <c r="G122" s="7" t="str">
        <f ca="1">+WORLDCUP!BD67</f>
        <v>Austria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Bosnia y Herzegovina</v>
      </c>
      <c r="F123" s="7" t="str">
        <f ca="1">+WORLDCUP!BD61</f>
        <v>Paraguay</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Nueva Zelanda</v>
      </c>
      <c r="E124" s="7" t="str">
        <f ca="1">+WORLDCUP!BD59</f>
        <v>Bosnia y Herzegovina</v>
      </c>
      <c r="F124" s="7" t="str">
        <f ca="1">+WORLDCUP!BD61</f>
        <v>Paraguay</v>
      </c>
      <c r="G124" s="7" t="str">
        <f ca="1">+WORLDCUP!BD67</f>
        <v>Austria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Bosnia y Herzegovina</v>
      </c>
      <c r="F125" s="7" t="str">
        <f ca="1">+WORLDCUP!BD61</f>
        <v>Paraguay</v>
      </c>
      <c r="G125" s="7" t="str">
        <f ca="1">+WORLDCUP!BD67</f>
        <v>Austria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Bosnia y Herzegovina</v>
      </c>
      <c r="F126" s="7" t="str">
        <f ca="1">+WORLDCUP!BD61</f>
        <v>Paraguay</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Bosnia y Herzegovina</v>
      </c>
      <c r="F127" s="7" t="str">
        <f ca="1">+WORLDCUP!BD61</f>
        <v>Paraguay</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Nueva Zelanda</v>
      </c>
      <c r="E128" s="7" t="str">
        <f ca="1">+WORLDCUP!BD59</f>
        <v>Bosnia y Herzegovina</v>
      </c>
      <c r="F128" s="7" t="str">
        <f ca="1">+WORLDCUP!BD60</f>
        <v>Escocia</v>
      </c>
      <c r="G128" s="7" t="str">
        <f ca="1">+WORLDCUP!BD67</f>
        <v>Austria</v>
      </c>
      <c r="H128" s="7" t="str">
        <f ca="1">+WORLDCUP!BD63</f>
        <v>Suecia</v>
      </c>
      <c r="I128" s="7" t="str">
        <f ca="1">+WORLDCUP!BD61</f>
        <v>Paraguay</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Bosnia y Herzegovina</v>
      </c>
      <c r="F129" s="7" t="str">
        <f ca="1">+WORLDCUP!BD61</f>
        <v>Paraguay</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Bosnia y Herzegovina</v>
      </c>
      <c r="F130" s="7" t="str">
        <f ca="1">+WORLDCUP!BD61</f>
        <v>Paraguay</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Nueva Zelanda</v>
      </c>
      <c r="E131" s="7" t="str">
        <f ca="1">+WORLDCUP!BD59</f>
        <v>Bosnia y Herzegovina</v>
      </c>
      <c r="F131" s="7" t="str">
        <f ca="1">+WORLDCUP!BD60</f>
        <v>Escocia</v>
      </c>
      <c r="G131" s="7" t="str">
        <f ca="1">+WORLDCUP!BD67</f>
        <v>Austria</v>
      </c>
      <c r="H131" s="7" t="str">
        <f ca="1">+WORLDCUP!BD63</f>
        <v>Suecia</v>
      </c>
      <c r="I131" s="7" t="str">
        <f ca="1">+WORLDCUP!BD61</f>
        <v>Paraguay</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Senegal</v>
      </c>
      <c r="H132" s="7" t="str">
        <f ca="1">+WORLDCUP!BD61</f>
        <v>Paraguay</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Paraguay</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Paraguay</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Paraguay</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Paraguay</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Bosnia y Herzegovina</v>
      </c>
      <c r="F137" s="7" t="str">
        <f ca="1">+WORLDCUP!BD60</f>
        <v>Escocia</v>
      </c>
      <c r="G137" s="7" t="str">
        <f ca="1">+WORLDCUP!BD67</f>
        <v>Austria</v>
      </c>
      <c r="H137" s="7" t="str">
        <f ca="1">+WORLDCUP!BD61</f>
        <v>Paraguay</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Bosnia y Herzegovina</v>
      </c>
      <c r="F138" s="7" t="str">
        <f ca="1">+WORLDCUP!BD60</f>
        <v>Escocia</v>
      </c>
      <c r="G138" s="7" t="str">
        <f ca="1">+WORLDCUP!BD66</f>
        <v>Senegal</v>
      </c>
      <c r="H138" s="7" t="str">
        <f ca="1">+WORLDCUP!BD61</f>
        <v>Paraguay</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Bosnia y Herzegovina</v>
      </c>
      <c r="F139" s="7" t="str">
        <f ca="1">+WORLDCUP!BD60</f>
        <v>Escocia</v>
      </c>
      <c r="G139" s="7" t="str">
        <f ca="1">+WORLDCUP!BD67</f>
        <v>Austria</v>
      </c>
      <c r="H139" s="7" t="str">
        <f ca="1">+WORLDCUP!BD61</f>
        <v>Paraguay</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Bosnia y Herzegovina</v>
      </c>
      <c r="F140" s="7" t="str">
        <f ca="1">+WORLDCUP!BD60</f>
        <v>Escocia</v>
      </c>
      <c r="G140" s="7" t="str">
        <f ca="1">+WORLDCUP!BD67</f>
        <v>Austria</v>
      </c>
      <c r="H140" s="7" t="str">
        <f ca="1">+WORLDCUP!BD61</f>
        <v>Paraguay</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Bosnia y Herzegovina</v>
      </c>
      <c r="F141" s="7" t="str">
        <f ca="1">+WORLDCUP!BD60</f>
        <v>Escocia</v>
      </c>
      <c r="G141" s="7" t="str">
        <f ca="1">+WORLDCUP!BD65</f>
        <v>Arabia Saudita</v>
      </c>
      <c r="H141" s="7" t="str">
        <f ca="1">+WORLDCUP!BD61</f>
        <v>Paraguay</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Nueva Zelanda</v>
      </c>
      <c r="E142" s="7" t="str">
        <f ca="1">+WORLDCUP!BD59</f>
        <v>Bosnia y Herzegovina</v>
      </c>
      <c r="F142" s="7" t="str">
        <f ca="1">+WORLDCUP!BD60</f>
        <v>Escocia</v>
      </c>
      <c r="G142" s="7" t="str">
        <f ca="1">+WORLDCUP!BD67</f>
        <v>Austria</v>
      </c>
      <c r="H142" s="7" t="str">
        <f ca="1">+WORLDCUP!BD61</f>
        <v>Paraguay</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Nueva Zelanda</v>
      </c>
      <c r="E143" s="7" t="str">
        <f ca="1">+WORLDCUP!BD59</f>
        <v>Bosnia y Herzegovina</v>
      </c>
      <c r="F143" s="7" t="str">
        <f ca="1">+WORLDCUP!BD60</f>
        <v>Escocia</v>
      </c>
      <c r="G143" s="7" t="str">
        <f ca="1">+WORLDCUP!BD67</f>
        <v>Austria</v>
      </c>
      <c r="H143" s="7" t="str">
        <f ca="1">+WORLDCUP!BD61</f>
        <v>Paraguay</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Bosnia y Herzegovina</v>
      </c>
      <c r="F144" s="7" t="str">
        <f ca="1">+WORLDCUP!BD60</f>
        <v>Escocia</v>
      </c>
      <c r="G144" s="7" t="str">
        <f ca="1">+WORLDCUP!BD65</f>
        <v>Arabia Saudita</v>
      </c>
      <c r="H144" s="7" t="str">
        <f ca="1">+WORLDCUP!BD61</f>
        <v>Paraguay</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Bosnia y Herzegovina</v>
      </c>
      <c r="F145" s="7" t="str">
        <f ca="1">+WORLDCUP!BD60</f>
        <v>Escocia</v>
      </c>
      <c r="G145" s="7" t="str">
        <f ca="1">+WORLDCUP!BD65</f>
        <v>Arabia Saudita</v>
      </c>
      <c r="H145" s="7" t="str">
        <f ca="1">+WORLDCUP!BD61</f>
        <v>Paraguay</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Nueva Zelanda</v>
      </c>
      <c r="E146" s="7" t="str">
        <f ca="1">+WORLDCUP!BD59</f>
        <v>Bosnia y Herzegovina</v>
      </c>
      <c r="F146" s="7" t="str">
        <f ca="1">+WORLDCUP!BD60</f>
        <v>Escocia</v>
      </c>
      <c r="G146" s="7" t="str">
        <f ca="1">+WORLDCUP!BD67</f>
        <v>Austria</v>
      </c>
      <c r="H146" s="7" t="str">
        <f ca="1">+WORLDCUP!BD61</f>
        <v>Paraguay</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Paraguay</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Paraguay</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Paraguay</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Paraguay</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Paraguay</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Paraguay</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Paraguay</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Paraguay</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Paraguay</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Paraguay</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Bosnia y Herzegovina</v>
      </c>
      <c r="F157" s="7" t="str">
        <f ca="1">+WORLDCUP!BD61</f>
        <v>Paraguay</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Bosnia y Herzegovina</v>
      </c>
      <c r="F158" s="7" t="str">
        <f ca="1">+WORLDCUP!BD61</f>
        <v>Paraguay</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Bosnia y Herzegovina</v>
      </c>
      <c r="F159" s="7" t="str">
        <f ca="1">+WORLDCUP!BD61</f>
        <v>Paraguay</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Bosnia y Herzegovina</v>
      </c>
      <c r="F160" s="7" t="str">
        <f ca="1">+WORLDCUP!BD61</f>
        <v>Paraguay</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Bosnia y Herzegovina</v>
      </c>
      <c r="F161" s="7" t="str">
        <f ca="1">+WORLDCUP!BD61</f>
        <v>Paraguay</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Bosnia y Herzegovina</v>
      </c>
      <c r="F162" s="7" t="str">
        <f ca="1">+WORLDCUP!BD61</f>
        <v>Paraguay</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Bosnia y Herzegovina</v>
      </c>
      <c r="F163" s="7" t="str">
        <f ca="1">+WORLDCUP!BD61</f>
        <v>Paraguay</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Bosnia y Herzegovina</v>
      </c>
      <c r="F164" s="7" t="str">
        <f ca="1">+WORLDCUP!BD61</f>
        <v>Paraguay</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Nueva Zelanda</v>
      </c>
      <c r="E165" s="7" t="str">
        <f ca="1">+WORLDCUP!BD59</f>
        <v>Bosnia y Herzegovina</v>
      </c>
      <c r="F165" s="7" t="str">
        <f ca="1">+WORLDCUP!BD60</f>
        <v>Escocia</v>
      </c>
      <c r="G165" s="7" t="str">
        <f ca="1">+WORLDCUP!BD67</f>
        <v>Austria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Bosnia y Herzegovina</v>
      </c>
      <c r="F166" s="7" t="str">
        <f ca="1">+WORLDCUP!BD61</f>
        <v>Paraguay</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República Checa</v>
      </c>
      <c r="H167" s="7" t="str">
        <f ca="1">+WORLDCUP!BD64</f>
        <v>Nueva Zelanda</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República Checa</v>
      </c>
      <c r="G168" s="7" t="str">
        <f ca="1">+WORLDCUP!BD65</f>
        <v>Arabia Saudita</v>
      </c>
      <c r="H168" s="7" t="str">
        <f ca="1">+WORLDCUP!BD64</f>
        <v>Nueva Zelanda</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República Checa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República Checa</v>
      </c>
      <c r="H170" s="7" t="str">
        <f ca="1">+WORLDCUP!BD64</f>
        <v>Nueva Zelanda</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Austria</v>
      </c>
      <c r="F171" s="7" t="str">
        <f ca="1">+WORLDCUP!BD63</f>
        <v>Suecia</v>
      </c>
      <c r="G171" s="7" t="str">
        <f ca="1">+WORLDCUP!BD58</f>
        <v>República Checa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Suecia</v>
      </c>
      <c r="G172" s="7" t="str">
        <f ca="1">+WORLDCUP!BD58</f>
        <v>República Checa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Austria</v>
      </c>
      <c r="F173" s="7" t="str">
        <f ca="1">+WORLDCUP!BD63</f>
        <v>Suecia</v>
      </c>
      <c r="G173" s="7" t="str">
        <f ca="1">+WORLDCUP!BD58</f>
        <v>República Checa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Austria</v>
      </c>
      <c r="F174" s="7" t="str">
        <f ca="1">+WORLDCUP!BD63</f>
        <v>Suecia</v>
      </c>
      <c r="G174" s="7" t="str">
        <f ca="1">+WORLDCUP!BD58</f>
        <v>República Checa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Paraguay</v>
      </c>
      <c r="G175" s="7" t="str">
        <f ca="1">+WORLDCUP!BD58</f>
        <v>República Checa</v>
      </c>
      <c r="H175" s="7" t="str">
        <f ca="1">+WORLDCUP!BD64</f>
        <v>Nueva Zelanda</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Paraguay</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Austria</v>
      </c>
      <c r="F177" s="7" t="str">
        <f ca="1">+WORLDCUP!BD61</f>
        <v>Paraguay</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Nueva Zelanda</v>
      </c>
      <c r="E178" s="7" t="str">
        <f ca="1">+WORLDCUP!BD67</f>
        <v>Austria</v>
      </c>
      <c r="F178" s="7" t="str">
        <f ca="1">+WORLDCUP!BD61</f>
        <v>Paraguay</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Nueva Zelanda</v>
      </c>
      <c r="E179" s="7" t="str">
        <f ca="1">+WORLDCUP!BD66</f>
        <v>Senegal</v>
      </c>
      <c r="F179" s="7" t="str">
        <f ca="1">+WORLDCUP!BD61</f>
        <v>Paraguay</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Nueva Zelanda</v>
      </c>
      <c r="E180" s="7" t="str">
        <f ca="1">+WORLDCUP!BD67</f>
        <v>Austria</v>
      </c>
      <c r="F180" s="7" t="str">
        <f ca="1">+WORLDCUP!BD61</f>
        <v>Paraguay</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Nueva Zelanda</v>
      </c>
      <c r="E181" s="7" t="str">
        <f ca="1">+WORLDCUP!BD67</f>
        <v>Austria</v>
      </c>
      <c r="F181" s="7" t="str">
        <f ca="1">+WORLDCUP!BD61</f>
        <v>Paraguay</v>
      </c>
      <c r="G181" s="7" t="str">
        <f ca="1">+WORLDCUP!BD58</f>
        <v>República Checa</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Paraguay</v>
      </c>
      <c r="G182" s="7" t="str">
        <f ca="1">+WORLDCUP!BD58</f>
        <v>República Checa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Paraguay</v>
      </c>
      <c r="G183" s="7" t="str">
        <f ca="1">+WORLDCUP!BD58</f>
        <v>República Checa</v>
      </c>
      <c r="H183" s="7" t="str">
        <f ca="1">+WORLDCUP!BD64</f>
        <v>Nueva Zelanda</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Austria</v>
      </c>
      <c r="F184" s="7" t="str">
        <f ca="1">+WORLDCUP!BD61</f>
        <v>Paraguay</v>
      </c>
      <c r="G184" s="7" t="str">
        <f ca="1">+WORLDCUP!BD58</f>
        <v>República Checa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Paraguay</v>
      </c>
      <c r="G185" s="7" t="str">
        <f ca="1">+WORLDCUP!BD58</f>
        <v>República Checa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Austria</v>
      </c>
      <c r="F186" s="7" t="str">
        <f ca="1">+WORLDCUP!BD61</f>
        <v>Paraguay</v>
      </c>
      <c r="G186" s="7" t="str">
        <f ca="1">+WORLDCUP!BD58</f>
        <v>República Checa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Austria</v>
      </c>
      <c r="F187" s="7" t="str">
        <f ca="1">+WORLDCUP!BD61</f>
        <v>Paraguay</v>
      </c>
      <c r="G187" s="7" t="str">
        <f ca="1">+WORLDCUP!BD58</f>
        <v>República Checa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Paraguay</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Paraguay</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Paraguay</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Paraguay</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Paraguay</v>
      </c>
      <c r="G192" s="7" t="str">
        <f ca="1">+WORLDCUP!BD58</f>
        <v>República Checa</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Austria</v>
      </c>
      <c r="F193" s="7" t="str">
        <f ca="1">+WORLDCUP!BD61</f>
        <v>Paraguay</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Paraguay</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Austria</v>
      </c>
      <c r="F195" s="7" t="str">
        <f ca="1">+WORLDCUP!BD61</f>
        <v>Paraguay</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Austria</v>
      </c>
      <c r="F196" s="7" t="str">
        <f ca="1">+WORLDCUP!BD61</f>
        <v>Paraguay</v>
      </c>
      <c r="G196" s="7" t="str">
        <f ca="1">+WORLDCUP!BD58</f>
        <v>República Checa</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Nueva Zelanda</v>
      </c>
      <c r="E197" s="7" t="str">
        <f ca="1">+WORLDCUP!BD62</f>
        <v>Costa de Marfil</v>
      </c>
      <c r="F197" s="7" t="str">
        <f ca="1">+WORLDCUP!BD61</f>
        <v>Paraguay</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Nueva Zelanda</v>
      </c>
      <c r="E198" s="7" t="str">
        <f ca="1">+WORLDCUP!BD67</f>
        <v>Austria</v>
      </c>
      <c r="F198" s="7" t="str">
        <f ca="1">+WORLDCUP!BD61</f>
        <v>Paraguay</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Nueva Zelanda</v>
      </c>
      <c r="E199" s="7" t="str">
        <f ca="1">+WORLDCUP!BD67</f>
        <v>Austria</v>
      </c>
      <c r="F199" s="7" t="str">
        <f ca="1">+WORLDCUP!BD61</f>
        <v>Paraguay</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Nueva Zelanda</v>
      </c>
      <c r="E200" s="7" t="str">
        <f ca="1">+WORLDCUP!BD62</f>
        <v>Costa de Marfil</v>
      </c>
      <c r="F200" s="7" t="str">
        <f ca="1">+WORLDCUP!BD61</f>
        <v>Paraguay</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Nueva Zelanda</v>
      </c>
      <c r="E201" s="7" t="str">
        <f ca="1">+WORLDCUP!BD62</f>
        <v>Costa de Marfil</v>
      </c>
      <c r="F201" s="7" t="str">
        <f ca="1">+WORLDCUP!BD61</f>
        <v>Paraguay</v>
      </c>
      <c r="G201" s="7" t="str">
        <f ca="1">+WORLDCUP!BD58</f>
        <v>República Checa</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Nueva Zelanda</v>
      </c>
      <c r="E202" s="7" t="str">
        <f ca="1">+WORLDCUP!BD67</f>
        <v>Austria</v>
      </c>
      <c r="F202" s="7" t="str">
        <f ca="1">+WORLDCUP!BD61</f>
        <v>Paraguay</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República Checa</v>
      </c>
      <c r="H203" s="7" t="str">
        <f ca="1">+WORLDCUP!BD64</f>
        <v>Nueva Zelanda</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Austria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Nueva Zelanda</v>
      </c>
      <c r="E206" s="7" t="str">
        <f ca="1">+WORLDCUP!BD67</f>
        <v>Austria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Nueva Zelanda</v>
      </c>
      <c r="E208" s="7" t="str">
        <f ca="1">+WORLDCUP!BD67</f>
        <v>Austria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Nueva Zelanda</v>
      </c>
      <c r="E209" s="7" t="str">
        <f ca="1">+WORLDCUP!BD67</f>
        <v>Austria</v>
      </c>
      <c r="F209" s="7" t="str">
        <f ca="1">+WORLDCUP!BD60</f>
        <v>Escocia</v>
      </c>
      <c r="G209" s="7" t="str">
        <f ca="1">+WORLDCUP!BD58</f>
        <v>República Checa</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República Checa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República Checa</v>
      </c>
      <c r="H211" s="7" t="str">
        <f ca="1">+WORLDCUP!BD64</f>
        <v>Nueva Zelanda</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Austria</v>
      </c>
      <c r="F212" s="7" t="str">
        <f ca="1">+WORLDCUP!BD60</f>
        <v>Escocia</v>
      </c>
      <c r="G212" s="7" t="str">
        <f ca="1">+WORLDCUP!BD58</f>
        <v>República Checa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República Checa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Austria</v>
      </c>
      <c r="F214" s="7" t="str">
        <f ca="1">+WORLDCUP!BD60</f>
        <v>Escocia</v>
      </c>
      <c r="G214" s="7" t="str">
        <f ca="1">+WORLDCUP!BD58</f>
        <v>República Checa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Austria</v>
      </c>
      <c r="F215" s="7" t="str">
        <f ca="1">+WORLDCUP!BD60</f>
        <v>Escocia</v>
      </c>
      <c r="G215" s="7" t="str">
        <f ca="1">+WORLDCUP!BD58</f>
        <v>República Checa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Austria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Austria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Austria</v>
      </c>
      <c r="F224" s="7" t="str">
        <f ca="1">+WORLDCUP!BD60</f>
        <v>Escocia</v>
      </c>
      <c r="G224" s="7" t="str">
        <f ca="1">+WORLDCUP!BD58</f>
        <v>República Checa</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Nueva Zelanda</v>
      </c>
      <c r="E226" s="7" t="str">
        <f ca="1">+WORLDCUP!BD67</f>
        <v>Austria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Nueva Zelanda</v>
      </c>
      <c r="E227" s="7" t="str">
        <f ca="1">+WORLDCUP!BD67</f>
        <v>Austria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Nueva Zelanda</v>
      </c>
      <c r="E230" s="7" t="str">
        <f ca="1">+WORLDCUP!BD67</f>
        <v>Austria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República Checa</v>
      </c>
      <c r="H231" s="7" t="str">
        <f ca="1">+WORLDCUP!BD61</f>
        <v>Paraguay</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Austria</v>
      </c>
      <c r="F232" s="7" t="str">
        <f ca="1">+WORLDCUP!BD60</f>
        <v>Escocia</v>
      </c>
      <c r="G232" s="7" t="str">
        <f ca="1">+WORLDCUP!BD58</f>
        <v>República Checa</v>
      </c>
      <c r="H232" s="7" t="str">
        <f ca="1">+WORLDCUP!BD61</f>
        <v>Paraguay</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Nueva Zelanda</v>
      </c>
      <c r="E233" s="7" t="str">
        <f ca="1">+WORLDCUP!BD67</f>
        <v>Austria</v>
      </c>
      <c r="F233" s="7" t="str">
        <f ca="1">+WORLDCUP!BD60</f>
        <v>Escocia</v>
      </c>
      <c r="G233" s="7" t="str">
        <f ca="1">+WORLDCUP!BD58</f>
        <v>República Checa</v>
      </c>
      <c r="H233" s="7" t="str">
        <f ca="1">+WORLDCUP!BD61</f>
        <v>Paraguay</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República Checa</v>
      </c>
      <c r="H234" s="7" t="str">
        <f ca="1">+WORLDCUP!BD61</f>
        <v>Paraguay</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Nueva Zelanda</v>
      </c>
      <c r="E235" s="7" t="str">
        <f ca="1">+WORLDCUP!BD67</f>
        <v>Austria</v>
      </c>
      <c r="F235" s="7" t="str">
        <f ca="1">+WORLDCUP!BD60</f>
        <v>Escocia</v>
      </c>
      <c r="G235" s="7" t="str">
        <f ca="1">+WORLDCUP!BD58</f>
        <v>República Checa</v>
      </c>
      <c r="H235" s="7" t="str">
        <f ca="1">+WORLDCUP!BD61</f>
        <v>Paraguay</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Nueva Zelanda</v>
      </c>
      <c r="E236" s="7" t="str">
        <f ca="1">+WORLDCUP!BD67</f>
        <v>Austria</v>
      </c>
      <c r="F236" s="7" t="str">
        <f ca="1">+WORLDCUP!BD60</f>
        <v>Escocia</v>
      </c>
      <c r="G236" s="7" t="str">
        <f ca="1">+WORLDCUP!BD58</f>
        <v>República Checa</v>
      </c>
      <c r="H236" s="7" t="str">
        <f ca="1">+WORLDCUP!BD61</f>
        <v>Paraguay</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Paraguay</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República Checa</v>
      </c>
      <c r="H238" s="7" t="str">
        <f ca="1">+WORLDCUP!BD61</f>
        <v>Paraguay</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Paraguay</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República Checa</v>
      </c>
      <c r="H240" s="7" t="str">
        <f ca="1">+WORLDCUP!BD61</f>
        <v>Paraguay</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República Checa</v>
      </c>
      <c r="H241" s="7" t="str">
        <f ca="1">+WORLDCUP!BD61</f>
        <v>Paraguay</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Austria</v>
      </c>
      <c r="F242" s="7" t="str">
        <f ca="1">+WORLDCUP!BD61</f>
        <v>Paraguay</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Paraguay</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Austria</v>
      </c>
      <c r="F244" s="7" t="str">
        <f ca="1">+WORLDCUP!BD61</f>
        <v>Paraguay</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Austria</v>
      </c>
      <c r="F245" s="7" t="str">
        <f ca="1">+WORLDCUP!BD61</f>
        <v>Paraguay</v>
      </c>
      <c r="G245" s="7" t="str">
        <f ca="1">+WORLDCUP!BD58</f>
        <v>República Checa</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Nueva Zelanda</v>
      </c>
      <c r="E246" s="7" t="str">
        <f ca="1">+WORLDCUP!BD63</f>
        <v>Suecia</v>
      </c>
      <c r="F246" s="7" t="str">
        <f ca="1">+WORLDCUP!BD60</f>
        <v>Escocia</v>
      </c>
      <c r="G246" s="7" t="str">
        <f ca="1">+WORLDCUP!BD58</f>
        <v>República Checa</v>
      </c>
      <c r="H246" s="7" t="str">
        <f ca="1">+WORLDCUP!BD61</f>
        <v>Paraguay</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Austria</v>
      </c>
      <c r="F247" s="7" t="str">
        <f ca="1">+WORLDCUP!BD61</f>
        <v>Paraguay</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Nueva Zelanda</v>
      </c>
      <c r="E248" s="7" t="str">
        <f ca="1">+WORLDCUP!BD67</f>
        <v>Austria</v>
      </c>
      <c r="F248" s="7" t="str">
        <f ca="1">+WORLDCUP!BD60</f>
        <v>Escocia</v>
      </c>
      <c r="G248" s="7" t="str">
        <f ca="1">+WORLDCUP!BD58</f>
        <v>República Checa</v>
      </c>
      <c r="H248" s="7" t="str">
        <f ca="1">+WORLDCUP!BD63</f>
        <v>Suecia</v>
      </c>
      <c r="I248" s="7" t="str">
        <f ca="1">+WORLDCUP!BD61</f>
        <v>Paraguay</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Nueva Zelanda</v>
      </c>
      <c r="E249" s="7" t="str">
        <f ca="1">+WORLDCUP!BD63</f>
        <v>Suecia</v>
      </c>
      <c r="F249" s="7" t="str">
        <f ca="1">+WORLDCUP!BD60</f>
        <v>Escocia</v>
      </c>
      <c r="G249" s="7" t="str">
        <f ca="1">+WORLDCUP!BD58</f>
        <v>República Checa</v>
      </c>
      <c r="H249" s="7" t="str">
        <f ca="1">+WORLDCUP!BD61</f>
        <v>Paraguay</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Nueva Zelanda</v>
      </c>
      <c r="E250" s="7" t="str">
        <f ca="1">+WORLDCUP!BD63</f>
        <v>Suecia</v>
      </c>
      <c r="F250" s="7" t="str">
        <f ca="1">+WORLDCUP!BD60</f>
        <v>Escocia</v>
      </c>
      <c r="G250" s="7" t="str">
        <f ca="1">+WORLDCUP!BD58</f>
        <v>República Checa</v>
      </c>
      <c r="H250" s="7" t="str">
        <f ca="1">+WORLDCUP!BD61</f>
        <v>Paraguay</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Nueva Zelanda</v>
      </c>
      <c r="E251" s="7" t="str">
        <f ca="1">+WORLDCUP!BD67</f>
        <v>Austria</v>
      </c>
      <c r="F251" s="7" t="str">
        <f ca="1">+WORLDCUP!BD60</f>
        <v>Escocia</v>
      </c>
      <c r="G251" s="7" t="str">
        <f ca="1">+WORLDCUP!BD58</f>
        <v>República Checa</v>
      </c>
      <c r="H251" s="7" t="str">
        <f ca="1">+WORLDCUP!BD63</f>
        <v>Suecia</v>
      </c>
      <c r="I251" s="7" t="str">
        <f ca="1">+WORLDCUP!BD61</f>
        <v>Paraguay</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República Checa</v>
      </c>
      <c r="H252" s="7" t="str">
        <f ca="1">+WORLDCUP!BD61</f>
        <v>Paraguay</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República Checa</v>
      </c>
      <c r="H253" s="7" t="str">
        <f ca="1">+WORLDCUP!BD61</f>
        <v>Paraguay</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Paraguay</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República Checa</v>
      </c>
      <c r="H255" s="7" t="str">
        <f ca="1">+WORLDCUP!BD61</f>
        <v>Paraguay</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República Checa</v>
      </c>
      <c r="H256" s="7" t="str">
        <f ca="1">+WORLDCUP!BD61</f>
        <v>Paraguay</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Austria</v>
      </c>
      <c r="F257" s="7" t="str">
        <f ca="1">+WORLDCUP!BD60</f>
        <v>Escocia</v>
      </c>
      <c r="G257" s="7" t="str">
        <f ca="1">+WORLDCUP!BD58</f>
        <v>República Checa</v>
      </c>
      <c r="H257" s="7" t="str">
        <f ca="1">+WORLDCUP!BD61</f>
        <v>Paraguay</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República Checa</v>
      </c>
      <c r="H258" s="7" t="str">
        <f ca="1">+WORLDCUP!BD61</f>
        <v>Paraguay</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Austria</v>
      </c>
      <c r="F259" s="7" t="str">
        <f ca="1">+WORLDCUP!BD60</f>
        <v>Escocia</v>
      </c>
      <c r="G259" s="7" t="str">
        <f ca="1">+WORLDCUP!BD58</f>
        <v>República Checa</v>
      </c>
      <c r="H259" s="7" t="str">
        <f ca="1">+WORLDCUP!BD61</f>
        <v>Paraguay</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Austria</v>
      </c>
      <c r="F260" s="7" t="str">
        <f ca="1">+WORLDCUP!BD60</f>
        <v>Escocia</v>
      </c>
      <c r="G260" s="7" t="str">
        <f ca="1">+WORLDCUP!BD58</f>
        <v>República Checa</v>
      </c>
      <c r="H260" s="7" t="str">
        <f ca="1">+WORLDCUP!BD61</f>
        <v>Paraguay</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República Checa</v>
      </c>
      <c r="H261" s="7" t="str">
        <f ca="1">+WORLDCUP!BD61</f>
        <v>Paraguay</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Nueva Zelanda</v>
      </c>
      <c r="E262" s="7" t="str">
        <f ca="1">+WORLDCUP!BD67</f>
        <v>Austria</v>
      </c>
      <c r="F262" s="7" t="str">
        <f ca="1">+WORLDCUP!BD60</f>
        <v>Escocia</v>
      </c>
      <c r="G262" s="7" t="str">
        <f ca="1">+WORLDCUP!BD58</f>
        <v>República Checa</v>
      </c>
      <c r="H262" s="7" t="str">
        <f ca="1">+WORLDCUP!BD61</f>
        <v>Paraguay</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Nueva Zelanda</v>
      </c>
      <c r="E263" s="7" t="str">
        <f ca="1">+WORLDCUP!BD67</f>
        <v>Austria</v>
      </c>
      <c r="F263" s="7" t="str">
        <f ca="1">+WORLDCUP!BD60</f>
        <v>Escocia</v>
      </c>
      <c r="G263" s="7" t="str">
        <f ca="1">+WORLDCUP!BD58</f>
        <v>República Checa</v>
      </c>
      <c r="H263" s="7" t="str">
        <f ca="1">+WORLDCUP!BD61</f>
        <v>Paraguay</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República Checa</v>
      </c>
      <c r="H264" s="7" t="str">
        <f ca="1">+WORLDCUP!BD61</f>
        <v>Paraguay</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República Checa</v>
      </c>
      <c r="H265" s="7" t="str">
        <f ca="1">+WORLDCUP!BD61</f>
        <v>Paraguay</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Nueva Zelanda</v>
      </c>
      <c r="E266" s="7" t="str">
        <f ca="1">+WORLDCUP!BD67</f>
        <v>Austria</v>
      </c>
      <c r="F266" s="7" t="str">
        <f ca="1">+WORLDCUP!BD60</f>
        <v>Escocia</v>
      </c>
      <c r="G266" s="7" t="str">
        <f ca="1">+WORLDCUP!BD58</f>
        <v>República Checa</v>
      </c>
      <c r="H266" s="7" t="str">
        <f ca="1">+WORLDCUP!BD61</f>
        <v>Paraguay</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Paraguay</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Paraguay</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Paraguay</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Paraguay</v>
      </c>
      <c r="G270" s="7" t="str">
        <f ca="1">+WORLDCUP!BD58</f>
        <v>República Checa</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Paraguay</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República Checa</v>
      </c>
      <c r="H272" s="7" t="str">
        <f ca="1">+WORLDCUP!BD61</f>
        <v>Paraguay</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República Checa</v>
      </c>
      <c r="H273" s="7" t="str">
        <f ca="1">+WORLDCUP!BD63</f>
        <v>Suecia</v>
      </c>
      <c r="I273" s="7" t="str">
        <f ca="1">+WORLDCUP!BD61</f>
        <v>Paraguay</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Paraguay</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Paraguay</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República Checa</v>
      </c>
      <c r="H276" s="7" t="str">
        <f ca="1">+WORLDCUP!BD63</f>
        <v>Suecia</v>
      </c>
      <c r="I276" s="7" t="str">
        <f ca="1">+WORLDCUP!BD61</f>
        <v>Paraguay</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Paraguay</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Austria</v>
      </c>
      <c r="F278" s="7" t="str">
        <f ca="1">+WORLDCUP!BD61</f>
        <v>Paraguay</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Austria</v>
      </c>
      <c r="F279" s="7" t="str">
        <f ca="1">+WORLDCUP!BD61</f>
        <v>Paraguay</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1</v>
      </c>
      <c r="C280" s="7" t="str">
        <f ca="1">+WORLDCUP!BD60</f>
        <v>Escocia</v>
      </c>
      <c r="D280" s="7" t="str">
        <f ca="1">+WORLDCUP!BD64</f>
        <v>Nueva Zelanda</v>
      </c>
      <c r="E280" s="7" t="str">
        <f ca="1">+WORLDCUP!BD62</f>
        <v>Costa de Marfil</v>
      </c>
      <c r="F280" s="7" t="str">
        <f ca="1">+WORLDCUP!BD61</f>
        <v>Paraguay</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Paraguay</v>
      </c>
      <c r="G281" s="7" t="str">
        <f ca="1">+WORLDCUP!BD58</f>
        <v>República Checa</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Austria</v>
      </c>
      <c r="F282" s="7" t="str">
        <f ca="1">+WORLDCUP!BD61</f>
        <v>Paraguay</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Nueva Zelanda</v>
      </c>
      <c r="E283" s="7" t="str">
        <f ca="1">+WORLDCUP!BD63</f>
        <v>Suecia</v>
      </c>
      <c r="F283" s="7" t="str">
        <f ca="1">+WORLDCUP!BD60</f>
        <v>Escocia</v>
      </c>
      <c r="G283" s="7" t="str">
        <f ca="1">+WORLDCUP!BD58</f>
        <v>República Checa</v>
      </c>
      <c r="H283" s="7" t="str">
        <f ca="1">+WORLDCUP!BD61</f>
        <v>Paraguay</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República Checa</v>
      </c>
      <c r="H284" s="7" t="str">
        <f ca="1">+WORLDCUP!BD63</f>
        <v>Suecia</v>
      </c>
      <c r="I284" s="7" t="str">
        <f ca="1">+WORLDCUP!BD61</f>
        <v>Paraguay</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Nueva Zelanda</v>
      </c>
      <c r="E285" s="7" t="str">
        <f ca="1">+WORLDCUP!BD67</f>
        <v>Austria</v>
      </c>
      <c r="F285" s="7" t="str">
        <f ca="1">+WORLDCUP!BD60</f>
        <v>Escocia</v>
      </c>
      <c r="G285" s="7" t="str">
        <f ca="1">+WORLDCUP!BD58</f>
        <v>República Checa</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República Checa</v>
      </c>
      <c r="H286" s="7" t="str">
        <f ca="1">+WORLDCUP!BD63</f>
        <v>Suecia</v>
      </c>
      <c r="I286" s="7" t="str">
        <f ca="1">+WORLDCUP!BD61</f>
        <v>Paraguay</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República Checa</v>
      </c>
      <c r="G287" s="7" t="str">
        <f ca="1">+WORLDCUP!BD66</f>
        <v>Senegal</v>
      </c>
      <c r="H287" s="7" t="str">
        <f ca="1">+WORLDCUP!BD64</f>
        <v>Nueva Zelanda</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República Checa</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Bosnia y Herzegovina</v>
      </c>
      <c r="F289" s="7" t="str">
        <f ca="1">+WORLDCUP!BD63</f>
        <v>Suecia</v>
      </c>
      <c r="G289" s="7" t="str">
        <f ca="1">+WORLDCUP!BD58</f>
        <v>República Checa</v>
      </c>
      <c r="H289" s="7" t="str">
        <f ca="1">+WORLDCUP!BD64</f>
        <v>Nueva Zelanda</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República Checa</v>
      </c>
      <c r="H290" s="7" t="str">
        <f ca="1">+WORLDCUP!BD64</f>
        <v>Nueva Zelanda</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Nueva Zelanda</v>
      </c>
      <c r="E291" s="7" t="str">
        <f ca="1">+WORLDCUP!BD59</f>
        <v>Bosnia y Herzegovina</v>
      </c>
      <c r="F291" s="7" t="str">
        <f ca="1">+WORLDCUP!BD58</f>
        <v>República Checa</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República Checa</v>
      </c>
      <c r="H292" s="7" t="str">
        <f ca="1">+WORLDCUP!BD64</f>
        <v>Nueva Zelanda</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República Checa</v>
      </c>
      <c r="H293" s="7" t="str">
        <f ca="1">+WORLDCUP!BD64</f>
        <v>Nueva Zelanda</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República Checa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República Checa</v>
      </c>
      <c r="G295" s="7" t="str">
        <f ca="1">+WORLDCUP!BD66</f>
        <v>Senegal</v>
      </c>
      <c r="H295" s="7" t="str">
        <f ca="1">+WORLDCUP!BD64</f>
        <v>Nueva Zelanda</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República Checa</v>
      </c>
      <c r="G296" s="7" t="str">
        <f ca="1">+WORLDCUP!BD65</f>
        <v>Arabia Saudita</v>
      </c>
      <c r="H296" s="7" t="str">
        <f ca="1">+WORLDCUP!BD64</f>
        <v>Nueva Zelanda</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Bosnia y Herzegovina</v>
      </c>
      <c r="F297" s="7" t="str">
        <f ca="1">+WORLDCUP!BD58</f>
        <v>República Checa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República Checa</v>
      </c>
      <c r="G298" s="7" t="str">
        <f ca="1">+WORLDCUP!BD65</f>
        <v>Arabia Saudita</v>
      </c>
      <c r="H298" s="7" t="str">
        <f ca="1">+WORLDCUP!BD64</f>
        <v>Nueva Zelanda</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República Checa</v>
      </c>
      <c r="G299" s="7" t="str">
        <f ca="1">+WORLDCUP!BD65</f>
        <v>Arabia Saudita</v>
      </c>
      <c r="H299" s="7" t="str">
        <f ca="1">+WORLDCUP!BD64</f>
        <v>Nueva Zelanda</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República Checa</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República Checa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República Checa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República Checa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República Checa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República Checa</v>
      </c>
      <c r="H305" s="7" t="str">
        <f ca="1">+WORLDCUP!BD64</f>
        <v>Nueva Zelanda</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Bosnia y Herzegovina</v>
      </c>
      <c r="F306" s="7" t="str">
        <f ca="1">+WORLDCUP!BD58</f>
        <v>República Checa</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República Checa</v>
      </c>
      <c r="H307" s="7" t="str">
        <f ca="1">+WORLDCUP!BD64</f>
        <v>Nueva Zelanda</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República Checa</v>
      </c>
      <c r="H308" s="7" t="str">
        <f ca="1">+WORLDCUP!BD64</f>
        <v>Nueva Zelanda</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Bosnia y Herzegovina</v>
      </c>
      <c r="F309" s="7" t="str">
        <f ca="1">+WORLDCUP!BD63</f>
        <v>Suecia</v>
      </c>
      <c r="G309" s="7" t="str">
        <f ca="1">+WORLDCUP!BD58</f>
        <v>República Checa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República Checa</v>
      </c>
      <c r="H310" s="7" t="str">
        <f ca="1">+WORLDCUP!BD64</f>
        <v>Nueva Zelanda</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República Checa</v>
      </c>
      <c r="H311" s="7" t="str">
        <f ca="1">+WORLDCUP!BD64</f>
        <v>Nueva Zelanda</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Bosnia y Herzegovina</v>
      </c>
      <c r="F312" s="7" t="str">
        <f ca="1">+WORLDCUP!BD63</f>
        <v>Suecia</v>
      </c>
      <c r="G312" s="7" t="str">
        <f ca="1">+WORLDCUP!BD58</f>
        <v>República Checa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Bosnia y Herzegovina</v>
      </c>
      <c r="F313" s="7" t="str">
        <f ca="1">+WORLDCUP!BD63</f>
        <v>Suecia</v>
      </c>
      <c r="G313" s="7" t="str">
        <f ca="1">+WORLDCUP!BD58</f>
        <v>República Checa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República Checa</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Bosnia y Herzegovina</v>
      </c>
      <c r="F315" s="7" t="str">
        <f ca="1">+WORLDCUP!BD61</f>
        <v>Paraguay</v>
      </c>
      <c r="G315" s="7" t="str">
        <f ca="1">+WORLDCUP!BD58</f>
        <v>República Checa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Bosnia y Herzegovina</v>
      </c>
      <c r="F316" s="7" t="str">
        <f ca="1">+WORLDCUP!BD61</f>
        <v>Paraguay</v>
      </c>
      <c r="G316" s="7" t="str">
        <f ca="1">+WORLDCUP!BD58</f>
        <v>República Checa</v>
      </c>
      <c r="H316" s="7" t="str">
        <f ca="1">+WORLDCUP!BD64</f>
        <v>Nueva Zelanda</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Paraguay</v>
      </c>
      <c r="G317" s="7" t="str">
        <f ca="1">+WORLDCUP!BD58</f>
        <v>República Checa</v>
      </c>
      <c r="H317" s="7" t="str">
        <f ca="1">+WORLDCUP!BD64</f>
        <v>Nueva Zelanda</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Bosnia y Herzegovina</v>
      </c>
      <c r="F318" s="7" t="str">
        <f ca="1">+WORLDCUP!BD61</f>
        <v>Paraguay</v>
      </c>
      <c r="G318" s="7" t="str">
        <f ca="1">+WORLDCUP!BD58</f>
        <v>República Checa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Paraguay</v>
      </c>
      <c r="G319" s="7" t="str">
        <f ca="1">+WORLDCUP!BD58</f>
        <v>República Checa</v>
      </c>
      <c r="H319" s="7" t="str">
        <f ca="1">+WORLDCUP!BD64</f>
        <v>Nueva Zelanda</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Paraguay</v>
      </c>
      <c r="G320" s="7" t="str">
        <f ca="1">+WORLDCUP!BD58</f>
        <v>República Checa</v>
      </c>
      <c r="H320" s="7" t="str">
        <f ca="1">+WORLDCUP!BD64</f>
        <v>Nueva Zelanda</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Bosnia y Herzegovina</v>
      </c>
      <c r="F321" s="7" t="str">
        <f ca="1">+WORLDCUP!BD61</f>
        <v>Paraguay</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Paraguay</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Paraguay</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Paraguay</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Paraguay</v>
      </c>
      <c r="G325" s="7" t="str">
        <f ca="1">+WORLDCUP!BD58</f>
        <v>República Checa</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Paraguay</v>
      </c>
      <c r="G326" s="7" t="str">
        <f ca="1">+WORLDCUP!BD58</f>
        <v>República Checa</v>
      </c>
      <c r="H326" s="7" t="str">
        <f ca="1">+WORLDCUP!BD64</f>
        <v>Nueva Zelanda</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Bosnia y Herzegovina</v>
      </c>
      <c r="F327" s="7" t="str">
        <f ca="1">+WORLDCUP!BD61</f>
        <v>Paraguay</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Paraguay</v>
      </c>
      <c r="G328" s="7" t="str">
        <f ca="1">+WORLDCUP!BD58</f>
        <v>República Checa</v>
      </c>
      <c r="H328" s="7" t="str">
        <f ca="1">+WORLDCUP!BD64</f>
        <v>Nueva Zelanda</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Paraguay</v>
      </c>
      <c r="G329" s="7" t="str">
        <f ca="1">+WORLDCUP!BD58</f>
        <v>República Checa</v>
      </c>
      <c r="H329" s="7" t="str">
        <f ca="1">+WORLDCUP!BD64</f>
        <v>Nueva Zelanda</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Nueva Zelanda</v>
      </c>
      <c r="E330" s="7" t="str">
        <f ca="1">+WORLDCUP!BD59</f>
        <v>Bosnia y Herzegovina</v>
      </c>
      <c r="F330" s="7" t="str">
        <f ca="1">+WORLDCUP!BD61</f>
        <v>Paraguay</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Nueva Zelanda</v>
      </c>
      <c r="E331" s="7" t="str">
        <f ca="1">+WORLDCUP!BD59</f>
        <v>Bosnia y Herzegovina</v>
      </c>
      <c r="F331" s="7" t="str">
        <f ca="1">+WORLDCUP!BD61</f>
        <v>Paraguay</v>
      </c>
      <c r="G331" s="7" t="str">
        <f ca="1">+WORLDCUP!BD58</f>
        <v>República Checa</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Nueva Zelanda</v>
      </c>
      <c r="E332" s="7" t="str">
        <f ca="1">+WORLDCUP!BD59</f>
        <v>Bosnia y Herzegovina</v>
      </c>
      <c r="F332" s="7" t="str">
        <f ca="1">+WORLDCUP!BD61</f>
        <v>Paraguay</v>
      </c>
      <c r="G332" s="7" t="str">
        <f ca="1">+WORLDCUP!BD58</f>
        <v>República Checa</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Nueva Zelanda</v>
      </c>
      <c r="E333" s="7" t="str">
        <f ca="1">+WORLDCUP!BD59</f>
        <v>Bosnia y Herzegovina</v>
      </c>
      <c r="F333" s="7" t="str">
        <f ca="1">+WORLDCUP!BD61</f>
        <v>Paraguay</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Nueva Zelanda</v>
      </c>
      <c r="E334" s="7" t="str">
        <f ca="1">+WORLDCUP!BD59</f>
        <v>Bosnia y Herzegovina</v>
      </c>
      <c r="F334" s="7" t="str">
        <f ca="1">+WORLDCUP!BD61</f>
        <v>Paraguay</v>
      </c>
      <c r="G334" s="7" t="str">
        <f ca="1">+WORLDCUP!BD58</f>
        <v>República Checa</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Nueva Zelanda</v>
      </c>
      <c r="E335" s="7" t="str">
        <f ca="1">+WORLDCUP!BD59</f>
        <v>Bosnia y Herzegovina</v>
      </c>
      <c r="F335" s="7" t="str">
        <f ca="1">+WORLDCUP!BD61</f>
        <v>Paraguay</v>
      </c>
      <c r="G335" s="7" t="str">
        <f ca="1">+WORLDCUP!BD58</f>
        <v>República Checa</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República Checa</v>
      </c>
      <c r="G336" s="7" t="str">
        <f ca="1">+WORLDCUP!BD66</f>
        <v>Senegal</v>
      </c>
      <c r="H336" s="7" t="str">
        <f ca="1">+WORLDCUP!BD61</f>
        <v>Paraguay</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Paraguay</v>
      </c>
      <c r="G337" s="7" t="str">
        <f ca="1">+WORLDCUP!BD58</f>
        <v>República Checa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Paraguay</v>
      </c>
      <c r="G338" s="7" t="str">
        <f ca="1">+WORLDCUP!BD58</f>
        <v>República Checa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Paraguay</v>
      </c>
      <c r="G339" s="7" t="str">
        <f ca="1">+WORLDCUP!BD58</f>
        <v>República Checa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Paraguay</v>
      </c>
      <c r="G340" s="7" t="str">
        <f ca="1">+WORLDCUP!BD58</f>
        <v>República Checa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Paraguay</v>
      </c>
      <c r="G341" s="7" t="str">
        <f ca="1">+WORLDCUP!BD58</f>
        <v>República Checa</v>
      </c>
      <c r="H341" s="7" t="str">
        <f ca="1">+WORLDCUP!BD64</f>
        <v>Nueva Zelanda</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Bosnia y Herzegovina</v>
      </c>
      <c r="F342" s="7" t="str">
        <f ca="1">+WORLDCUP!BD58</f>
        <v>República Checa</v>
      </c>
      <c r="G342" s="7" t="str">
        <f ca="1">+WORLDCUP!BD66</f>
        <v>Senegal</v>
      </c>
      <c r="H342" s="7" t="str">
        <f ca="1">+WORLDCUP!BD61</f>
        <v>Paraguay</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Paraguay</v>
      </c>
      <c r="G343" s="7" t="str">
        <f ca="1">+WORLDCUP!BD58</f>
        <v>República Checa</v>
      </c>
      <c r="H343" s="7" t="str">
        <f ca="1">+WORLDCUP!BD64</f>
        <v>Nueva Zelanda</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Paraguay</v>
      </c>
      <c r="G344" s="7" t="str">
        <f ca="1">+WORLDCUP!BD58</f>
        <v>República Checa</v>
      </c>
      <c r="H344" s="7" t="str">
        <f ca="1">+WORLDCUP!BD64</f>
        <v>Nueva Zelanda</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Bosnia y Herzegovina</v>
      </c>
      <c r="F345" s="7" t="str">
        <f ca="1">+WORLDCUP!BD61</f>
        <v>Paraguay</v>
      </c>
      <c r="G345" s="7" t="str">
        <f ca="1">+WORLDCUP!BD58</f>
        <v>República Checa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Paraguay</v>
      </c>
      <c r="G346" s="7" t="str">
        <f ca="1">+WORLDCUP!BD58</f>
        <v>República Checa</v>
      </c>
      <c r="H346" s="7" t="str">
        <f ca="1">+WORLDCUP!BD64</f>
        <v>Nueva Zelanda</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Paraguay</v>
      </c>
      <c r="G347" s="7" t="str">
        <f ca="1">+WORLDCUP!BD58</f>
        <v>República Checa</v>
      </c>
      <c r="H347" s="7" t="str">
        <f ca="1">+WORLDCUP!BD64</f>
        <v>Nueva Zelanda</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Bosnia y Herzegovina</v>
      </c>
      <c r="F348" s="7" t="str">
        <f ca="1">+WORLDCUP!BD61</f>
        <v>Paraguay</v>
      </c>
      <c r="G348" s="7" t="str">
        <f ca="1">+WORLDCUP!BD58</f>
        <v>República Checa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Bosnia y Herzegovina</v>
      </c>
      <c r="F349" s="7" t="str">
        <f ca="1">+WORLDCUP!BD61</f>
        <v>Paraguay</v>
      </c>
      <c r="G349" s="7" t="str">
        <f ca="1">+WORLDCUP!BD58</f>
        <v>República Checa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Paraguay</v>
      </c>
      <c r="G350" s="7" t="str">
        <f ca="1">+WORLDCUP!BD58</f>
        <v>República Checa</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Paraguay</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Paraguay</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Paraguay</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Paraguay</v>
      </c>
      <c r="G354" s="7" t="str">
        <f ca="1">+WORLDCUP!BD58</f>
        <v>República Checa</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Paraguay</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Paraguay</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Paraguay</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Paraguay</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Paraguay</v>
      </c>
      <c r="G359" s="7" t="str">
        <f ca="1">+WORLDCUP!BD58</f>
        <v>República Checa</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Paraguay</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Bosnia y Herzegovina</v>
      </c>
      <c r="F361" s="7" t="str">
        <f ca="1">+WORLDCUP!BD61</f>
        <v>Paraguay</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Bosnia y Herzegovina</v>
      </c>
      <c r="F362" s="7" t="str">
        <f ca="1">+WORLDCUP!BD61</f>
        <v>Paraguay</v>
      </c>
      <c r="G362" s="7" t="str">
        <f ca="1">+WORLDCUP!BD58</f>
        <v>República Checa</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Bosnia y Herzegovina</v>
      </c>
      <c r="F363" s="7" t="str">
        <f ca="1">+WORLDCUP!BD61</f>
        <v>Paraguay</v>
      </c>
      <c r="G363" s="7" t="str">
        <f ca="1">+WORLDCUP!BD58</f>
        <v>República Checa</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Bosnia y Herzegovina</v>
      </c>
      <c r="F364" s="7" t="str">
        <f ca="1">+WORLDCUP!BD61</f>
        <v>Paraguay</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Bosnia y Herzegovina</v>
      </c>
      <c r="F365" s="7" t="str">
        <f ca="1">+WORLDCUP!BD61</f>
        <v>Paraguay</v>
      </c>
      <c r="G365" s="7" t="str">
        <f ca="1">+WORLDCUP!BD58</f>
        <v>República Checa</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Bosnia y Herzegovina</v>
      </c>
      <c r="F366" s="7" t="str">
        <f ca="1">+WORLDCUP!BD61</f>
        <v>Paraguay</v>
      </c>
      <c r="G366" s="7" t="str">
        <f ca="1">+WORLDCUP!BD58</f>
        <v>República Checa</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Nueva Zelanda</v>
      </c>
      <c r="E367" s="7" t="str">
        <f ca="1">+WORLDCUP!BD59</f>
        <v>Bosnia y Herzegovina</v>
      </c>
      <c r="F367" s="7" t="str">
        <f ca="1">+WORLDCUP!BD61</f>
        <v>Paraguay</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Nueva Zelanda</v>
      </c>
      <c r="E368" s="7" t="str">
        <f ca="1">+WORLDCUP!BD59</f>
        <v>Bosnia y Herzegovina</v>
      </c>
      <c r="F368" s="7" t="str">
        <f ca="1">+WORLDCUP!BD61</f>
        <v>Paraguay</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Nueva Zelanda</v>
      </c>
      <c r="E369" s="7" t="str">
        <f ca="1">+WORLDCUP!BD59</f>
        <v>Bosnia y Herzegovina</v>
      </c>
      <c r="F369" s="7" t="str">
        <f ca="1">+WORLDCUP!BD61</f>
        <v>Paraguay</v>
      </c>
      <c r="G369" s="7" t="str">
        <f ca="1">+WORLDCUP!BD58</f>
        <v>República Checa</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Nueva Zelanda</v>
      </c>
      <c r="E370" s="7" t="str">
        <f ca="1">+WORLDCUP!BD59</f>
        <v>Bosnia y Herzegovina</v>
      </c>
      <c r="F370" s="7" t="str">
        <f ca="1">+WORLDCUP!BD61</f>
        <v>Paraguay</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Bosnia y Herzegovina</v>
      </c>
      <c r="F371" s="7" t="str">
        <f ca="1">+WORLDCUP!BD60</f>
        <v>Escocia</v>
      </c>
      <c r="G371" s="7" t="str">
        <f ca="1">+WORLDCUP!BD58</f>
        <v>República Checa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Bosnia y Herzegovina</v>
      </c>
      <c r="F372" s="7" t="str">
        <f ca="1">+WORLDCUP!BD60</f>
        <v>Escocia</v>
      </c>
      <c r="G372" s="7" t="str">
        <f ca="1">+WORLDCUP!BD58</f>
        <v>República Checa</v>
      </c>
      <c r="H372" s="7" t="str">
        <f ca="1">+WORLDCUP!BD64</f>
        <v>Nueva Zelanda</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República Checa</v>
      </c>
      <c r="H373" s="7" t="str">
        <f ca="1">+WORLDCUP!BD64</f>
        <v>Nueva Zelanda</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Bosnia y Herzegovina</v>
      </c>
      <c r="F374" s="7" t="str">
        <f ca="1">+WORLDCUP!BD60</f>
        <v>Escocia</v>
      </c>
      <c r="G374" s="7" t="str">
        <f ca="1">+WORLDCUP!BD58</f>
        <v>República Checa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República Checa</v>
      </c>
      <c r="H375" s="7" t="str">
        <f ca="1">+WORLDCUP!BD64</f>
        <v>Nueva Zelanda</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República Checa</v>
      </c>
      <c r="H376" s="7" t="str">
        <f ca="1">+WORLDCUP!BD64</f>
        <v>Nueva Zelanda</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Bosnia y Herzegovina</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República Checa</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República Checa</v>
      </c>
      <c r="H382" s="7" t="str">
        <f ca="1">+WORLDCUP!BD64</f>
        <v>Nueva Zelanda</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Bosnia y Herzegovina</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República Checa</v>
      </c>
      <c r="H384" s="7" t="str">
        <f ca="1">+WORLDCUP!BD64</f>
        <v>Nueva Zelanda</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República Checa</v>
      </c>
      <c r="H385" s="7" t="str">
        <f ca="1">+WORLDCUP!BD64</f>
        <v>Nueva Zelanda</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Nueva Zelanda</v>
      </c>
      <c r="E386" s="7" t="str">
        <f ca="1">+WORLDCUP!BD59</f>
        <v>Bosnia y Herzegovina</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Nueva Zelanda</v>
      </c>
      <c r="E387" s="7" t="str">
        <f ca="1">+WORLDCUP!BD59</f>
        <v>Bosnia y Herzegovina</v>
      </c>
      <c r="F387" s="7" t="str">
        <f ca="1">+WORLDCUP!BD60</f>
        <v>Escocia</v>
      </c>
      <c r="G387" s="7" t="str">
        <f ca="1">+WORLDCUP!BD58</f>
        <v>República Checa</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Nueva Zelanda</v>
      </c>
      <c r="E388" s="7" t="str">
        <f ca="1">+WORLDCUP!BD59</f>
        <v>Bosnia y Herzegovina</v>
      </c>
      <c r="F388" s="7" t="str">
        <f ca="1">+WORLDCUP!BD60</f>
        <v>Escocia</v>
      </c>
      <c r="G388" s="7" t="str">
        <f ca="1">+WORLDCUP!BD58</f>
        <v>República Checa</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Nueva Zelanda</v>
      </c>
      <c r="E389" s="7" t="str">
        <f ca="1">+WORLDCUP!BD59</f>
        <v>Bosnia y Herzegovina</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Nueva Zelanda</v>
      </c>
      <c r="E390" s="7" t="str">
        <f ca="1">+WORLDCUP!BD59</f>
        <v>Bosnia y Herzegovina</v>
      </c>
      <c r="F390" s="7" t="str">
        <f ca="1">+WORLDCUP!BD60</f>
        <v>Escocia</v>
      </c>
      <c r="G390" s="7" t="str">
        <f ca="1">+WORLDCUP!BD58</f>
        <v>República Checa</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Nueva Zelanda</v>
      </c>
      <c r="E391" s="7" t="str">
        <f ca="1">+WORLDCUP!BD59</f>
        <v>Bosnia y Herzegovina</v>
      </c>
      <c r="F391" s="7" t="str">
        <f ca="1">+WORLDCUP!BD60</f>
        <v>Escocia</v>
      </c>
      <c r="G391" s="7" t="str">
        <f ca="1">+WORLDCUP!BD58</f>
        <v>República Checa</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República Checa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República Checa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República Checa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República Checa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República Checa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República Checa</v>
      </c>
      <c r="H397" s="7" t="str">
        <f ca="1">+WORLDCUP!BD64</f>
        <v>Nueva Zelanda</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Bosnia y Herzegovina</v>
      </c>
      <c r="F398" s="7" t="str">
        <f ca="1">+WORLDCUP!BD58</f>
        <v>República Checa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República Checa</v>
      </c>
      <c r="H399" s="7" t="str">
        <f ca="1">+WORLDCUP!BD64</f>
        <v>Nueva Zelanda</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República Checa</v>
      </c>
      <c r="H400" s="7" t="str">
        <f ca="1">+WORLDCUP!BD64</f>
        <v>Nueva Zelanda</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Bosnia y Herzegovina</v>
      </c>
      <c r="F401" s="7" t="str">
        <f ca="1">+WORLDCUP!BD60</f>
        <v>Escocia</v>
      </c>
      <c r="G401" s="7" t="str">
        <f ca="1">+WORLDCUP!BD58</f>
        <v>República Checa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República Checa</v>
      </c>
      <c r="H402" s="7" t="str">
        <f ca="1">+WORLDCUP!BD64</f>
        <v>Nueva Zelanda</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República Checa</v>
      </c>
      <c r="H403" s="7" t="str">
        <f ca="1">+WORLDCUP!BD64</f>
        <v>Nueva Zelanda</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Bosnia y Herzegovina</v>
      </c>
      <c r="F404" s="7" t="str">
        <f ca="1">+WORLDCUP!BD60</f>
        <v>Escocia</v>
      </c>
      <c r="G404" s="7" t="str">
        <f ca="1">+WORLDCUP!BD58</f>
        <v>República Checa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Bosnia y Herzegovina</v>
      </c>
      <c r="F405" s="7" t="str">
        <f ca="1">+WORLDCUP!BD60</f>
        <v>Escocia</v>
      </c>
      <c r="G405" s="7" t="str">
        <f ca="1">+WORLDCUP!BD58</f>
        <v>República Checa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República Checa</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República Checa</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República Checa</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Bosnia y Herzegovina</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Bosnia y Herzegovina</v>
      </c>
      <c r="F418" s="7" t="str">
        <f ca="1">+WORLDCUP!BD60</f>
        <v>Escocia</v>
      </c>
      <c r="G418" s="7" t="str">
        <f ca="1">+WORLDCUP!BD58</f>
        <v>República Checa</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Bosnia y Herzegovina</v>
      </c>
      <c r="F419" s="7" t="str">
        <f ca="1">+WORLDCUP!BD60</f>
        <v>Escocia</v>
      </c>
      <c r="G419" s="7" t="str">
        <f ca="1">+WORLDCUP!BD58</f>
        <v>República Checa</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Bosnia y Herzegovina</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Bosnia y Herzegovina</v>
      </c>
      <c r="F421" s="7" t="str">
        <f ca="1">+WORLDCUP!BD60</f>
        <v>Escocia</v>
      </c>
      <c r="G421" s="7" t="str">
        <f ca="1">+WORLDCUP!BD58</f>
        <v>República Checa</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Bosnia y Herzegovina</v>
      </c>
      <c r="F422" s="7" t="str">
        <f ca="1">+WORLDCUP!BD60</f>
        <v>Escocia</v>
      </c>
      <c r="G422" s="7" t="str">
        <f ca="1">+WORLDCUP!BD58</f>
        <v>República Checa</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Nueva Zelanda</v>
      </c>
      <c r="E423" s="7" t="str">
        <f ca="1">+WORLDCUP!BD59</f>
        <v>Bosnia y Herzegovina</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Nueva Zelanda</v>
      </c>
      <c r="E424" s="7" t="str">
        <f ca="1">+WORLDCUP!BD59</f>
        <v>Bosnia y Herzegovina</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Nueva Zelanda</v>
      </c>
      <c r="E425" s="7" t="str">
        <f ca="1">+WORLDCUP!BD59</f>
        <v>Bosnia y Herzegovina</v>
      </c>
      <c r="F425" s="7" t="str">
        <f ca="1">+WORLDCUP!BD60</f>
        <v>Escocia</v>
      </c>
      <c r="G425" s="7" t="str">
        <f ca="1">+WORLDCUP!BD58</f>
        <v>República Checa</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Nueva Zelanda</v>
      </c>
      <c r="E426" s="7" t="str">
        <f ca="1">+WORLDCUP!BD59</f>
        <v>Bosnia y Herzegovina</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Bosnia y Herzegovina</v>
      </c>
      <c r="F427" s="7" t="str">
        <f ca="1">+WORLDCUP!BD60</f>
        <v>Escocia</v>
      </c>
      <c r="G427" s="7" t="str">
        <f ca="1">+WORLDCUP!BD58</f>
        <v>República Checa</v>
      </c>
      <c r="H427" s="7" t="str">
        <f ca="1">+WORLDCUP!BD61</f>
        <v>Paraguay</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República Checa</v>
      </c>
      <c r="H428" s="7" t="str">
        <f ca="1">+WORLDCUP!BD61</f>
        <v>Paraguay</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República Checa</v>
      </c>
      <c r="H429" s="7" t="str">
        <f ca="1">+WORLDCUP!BD61</f>
        <v>Paraguay</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República Checa</v>
      </c>
      <c r="H430" s="7" t="str">
        <f ca="1">+WORLDCUP!BD61</f>
        <v>Paraguay</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República Checa</v>
      </c>
      <c r="H431" s="7" t="str">
        <f ca="1">+WORLDCUP!BD61</f>
        <v>Paraguay</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Paraguay</v>
      </c>
      <c r="G432" s="7" t="str">
        <f ca="1">+WORLDCUP!BD58</f>
        <v>República Checa</v>
      </c>
      <c r="H432" s="7" t="str">
        <f ca="1">+WORLDCUP!BD64</f>
        <v>Nueva Zelanda</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Bosnia y Herzegovina</v>
      </c>
      <c r="F433" s="7" t="str">
        <f ca="1">+WORLDCUP!BD60</f>
        <v>Escocia</v>
      </c>
      <c r="G433" s="7" t="str">
        <f ca="1">+WORLDCUP!BD58</f>
        <v>República Checa</v>
      </c>
      <c r="H433" s="7" t="str">
        <f ca="1">+WORLDCUP!BD61</f>
        <v>Paraguay</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Paraguay</v>
      </c>
      <c r="G434" s="7" t="str">
        <f ca="1">+WORLDCUP!BD58</f>
        <v>República Checa</v>
      </c>
      <c r="H434" s="7" t="str">
        <f ca="1">+WORLDCUP!BD64</f>
        <v>Nueva Zelanda</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Paraguay</v>
      </c>
      <c r="G435" s="7" t="str">
        <f ca="1">+WORLDCUP!BD58</f>
        <v>República Checa</v>
      </c>
      <c r="H435" s="7" t="str">
        <f ca="1">+WORLDCUP!BD64</f>
        <v>Nueva Zelanda</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Nueva Zelanda</v>
      </c>
      <c r="E436" s="7" t="str">
        <f ca="1">+WORLDCUP!BD59</f>
        <v>Bosnia y Herzegovina</v>
      </c>
      <c r="F436" s="7" t="str">
        <f ca="1">+WORLDCUP!BD60</f>
        <v>Escocia</v>
      </c>
      <c r="G436" s="7" t="str">
        <f ca="1">+WORLDCUP!BD58</f>
        <v>República Checa</v>
      </c>
      <c r="H436" s="7" t="str">
        <f ca="1">+WORLDCUP!BD61</f>
        <v>Paraguay</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Nueva Zelanda</v>
      </c>
      <c r="E437" s="7" t="str">
        <f ca="1">+WORLDCUP!BD59</f>
        <v>Bosnia y Herzegovina</v>
      </c>
      <c r="F437" s="7" t="str">
        <f ca="1">+WORLDCUP!BD60</f>
        <v>Escocia</v>
      </c>
      <c r="G437" s="7" t="str">
        <f ca="1">+WORLDCUP!BD58</f>
        <v>República Checa</v>
      </c>
      <c r="H437" s="7" t="str">
        <f ca="1">+WORLDCUP!BD61</f>
        <v>Paraguay</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Nueva Zelanda</v>
      </c>
      <c r="E438" s="7" t="str">
        <f ca="1">+WORLDCUP!BD59</f>
        <v>Bosnia y Herzegovina</v>
      </c>
      <c r="F438" s="7" t="str">
        <f ca="1">+WORLDCUP!BD60</f>
        <v>Escocia</v>
      </c>
      <c r="G438" s="7" t="str">
        <f ca="1">+WORLDCUP!BD58</f>
        <v>República Checa</v>
      </c>
      <c r="H438" s="7" t="str">
        <f ca="1">+WORLDCUP!BD61</f>
        <v>Paraguay</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Nueva Zelanda</v>
      </c>
      <c r="E439" s="7" t="str">
        <f ca="1">+WORLDCUP!BD59</f>
        <v>Bosnia y Herzegovina</v>
      </c>
      <c r="F439" s="7" t="str">
        <f ca="1">+WORLDCUP!BD60</f>
        <v>Escocia</v>
      </c>
      <c r="G439" s="7" t="str">
        <f ca="1">+WORLDCUP!BD58</f>
        <v>República Checa</v>
      </c>
      <c r="H439" s="7" t="str">
        <f ca="1">+WORLDCUP!BD61</f>
        <v>Paraguay</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Nueva Zelanda</v>
      </c>
      <c r="E440" s="7" t="str">
        <f ca="1">+WORLDCUP!BD59</f>
        <v>Bosnia y Herzegovina</v>
      </c>
      <c r="F440" s="7" t="str">
        <f ca="1">+WORLDCUP!BD60</f>
        <v>Escocia</v>
      </c>
      <c r="G440" s="7" t="str">
        <f ca="1">+WORLDCUP!BD58</f>
        <v>República Checa</v>
      </c>
      <c r="H440" s="7" t="str">
        <f ca="1">+WORLDCUP!BD61</f>
        <v>Paraguay</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Nueva Zelanda</v>
      </c>
      <c r="E441" s="7" t="str">
        <f ca="1">+WORLDCUP!BD59</f>
        <v>Bosnia y Herzegovina</v>
      </c>
      <c r="F441" s="7" t="str">
        <f ca="1">+WORLDCUP!BD60</f>
        <v>Escocia</v>
      </c>
      <c r="G441" s="7" t="str">
        <f ca="1">+WORLDCUP!BD58</f>
        <v>República Checa</v>
      </c>
      <c r="H441" s="7" t="str">
        <f ca="1">+WORLDCUP!BD61</f>
        <v>Paraguay</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Paraguay</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Paraguay</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Paraguay</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Paraguay</v>
      </c>
      <c r="G445" s="7" t="str">
        <f ca="1">+WORLDCUP!BD58</f>
        <v>República Checa</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República Checa</v>
      </c>
      <c r="H446" s="7" t="str">
        <f ca="1">+WORLDCUP!BD61</f>
        <v>Paraguay</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Paraguay</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República Checa</v>
      </c>
      <c r="H448" s="7" t="str">
        <f ca="1">+WORLDCUP!BD63</f>
        <v>Suecia</v>
      </c>
      <c r="I448" s="7" t="str">
        <f ca="1">+WORLDCUP!BD61</f>
        <v>Paraguay</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República Checa</v>
      </c>
      <c r="H449" s="7" t="str">
        <f ca="1">+WORLDCUP!BD61</f>
        <v>Paraguay</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República Checa</v>
      </c>
      <c r="H450" s="7" t="str">
        <f ca="1">+WORLDCUP!BD61</f>
        <v>Paraguay</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República Checa</v>
      </c>
      <c r="H451" s="7" t="str">
        <f ca="1">+WORLDCUP!BD63</f>
        <v>Suecia</v>
      </c>
      <c r="I451" s="7" t="str">
        <f ca="1">+WORLDCUP!BD61</f>
        <v>Paraguay</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Bosnia y Herzegovina</v>
      </c>
      <c r="F452" s="7" t="str">
        <f ca="1">+WORLDCUP!BD61</f>
        <v>Paraguay</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Bosnia y Herzegovina</v>
      </c>
      <c r="F453" s="7" t="str">
        <f ca="1">+WORLDCUP!BD61</f>
        <v>Paraguay</v>
      </c>
      <c r="G453" s="7" t="str">
        <f ca="1">+WORLDCUP!BD58</f>
        <v>República Checa</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Bosnia y Herzegovina</v>
      </c>
      <c r="F454" s="7" t="str">
        <f ca="1">+WORLDCUP!BD61</f>
        <v>Paraguay</v>
      </c>
      <c r="G454" s="7" t="str">
        <f ca="1">+WORLDCUP!BD58</f>
        <v>República Checa</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Bosnia y Herzegovina</v>
      </c>
      <c r="F455" s="7" t="str">
        <f ca="1">+WORLDCUP!BD61</f>
        <v>Paraguay</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Bosnia y Herzegovina</v>
      </c>
      <c r="F456" s="7" t="str">
        <f ca="1">+WORLDCUP!BD61</f>
        <v>Paraguay</v>
      </c>
      <c r="G456" s="7" t="str">
        <f ca="1">+WORLDCUP!BD58</f>
        <v>República Checa</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Bosnia y Herzegovina</v>
      </c>
      <c r="F457" s="7" t="str">
        <f ca="1">+WORLDCUP!BD61</f>
        <v>Paraguay</v>
      </c>
      <c r="G457" s="7" t="str">
        <f ca="1">+WORLDCUP!BD58</f>
        <v>República Checa</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Bosnia y Herzegovina</v>
      </c>
      <c r="F458" s="7" t="str">
        <f ca="1">+WORLDCUP!BD61</f>
        <v>Paraguay</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Nueva Zelanda</v>
      </c>
      <c r="E459" s="7" t="str">
        <f ca="1">+WORLDCUP!BD59</f>
        <v>Bosnia y Herzegovina</v>
      </c>
      <c r="F459" s="7" t="str">
        <f ca="1">+WORLDCUP!BD60</f>
        <v>Escocia</v>
      </c>
      <c r="G459" s="7" t="str">
        <f ca="1">+WORLDCUP!BD58</f>
        <v>República Checa</v>
      </c>
      <c r="H459" s="7" t="str">
        <f ca="1">+WORLDCUP!BD63</f>
        <v>Suecia</v>
      </c>
      <c r="I459" s="7" t="str">
        <f ca="1">+WORLDCUP!BD61</f>
        <v>Paraguay</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Nueva Zelanda</v>
      </c>
      <c r="E460" s="7" t="str">
        <f ca="1">+WORLDCUP!BD59</f>
        <v>Bosnia y Herzegovina</v>
      </c>
      <c r="F460" s="7" t="str">
        <f ca="1">+WORLDCUP!BD60</f>
        <v>Escocia</v>
      </c>
      <c r="G460" s="7" t="str">
        <f ca="1">+WORLDCUP!BD58</f>
        <v>República Checa</v>
      </c>
      <c r="H460" s="7" t="str">
        <f ca="1">+WORLDCUP!BD63</f>
        <v>Suecia</v>
      </c>
      <c r="I460" s="7" t="str">
        <f ca="1">+WORLDCUP!BD61</f>
        <v>Paraguay</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Nueva Zelanda</v>
      </c>
      <c r="E461" s="7" t="str">
        <f ca="1">+WORLDCUP!BD59</f>
        <v>Bosnia y Herzegovina</v>
      </c>
      <c r="F461" s="7" t="str">
        <f ca="1">+WORLDCUP!BD60</f>
        <v>Escocia</v>
      </c>
      <c r="G461" s="7" t="str">
        <f ca="1">+WORLDCUP!BD58</f>
        <v>República Checa</v>
      </c>
      <c r="H461" s="7" t="str">
        <f ca="1">+WORLDCUP!BD63</f>
        <v>Suecia</v>
      </c>
      <c r="I461" s="7" t="str">
        <f ca="1">+WORLDCUP!BD61</f>
        <v>Paraguay</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República Checa</v>
      </c>
      <c r="H462" s="7" t="str">
        <f ca="1">+WORLDCUP!BD61</f>
        <v>Paraguay</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República Checa</v>
      </c>
      <c r="H463" s="7" t="str">
        <f ca="1">+WORLDCUP!BD61</f>
        <v>Paraguay</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República Checa</v>
      </c>
      <c r="H464" s="7" t="str">
        <f ca="1">+WORLDCUP!BD61</f>
        <v>Paraguay</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República Checa</v>
      </c>
      <c r="H465" s="7" t="str">
        <f ca="1">+WORLDCUP!BD61</f>
        <v>Paraguay</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República Checa</v>
      </c>
      <c r="H466" s="7" t="str">
        <f ca="1">+WORLDCUP!BD61</f>
        <v>Paraguay</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República Checa</v>
      </c>
      <c r="H467" s="7" t="str">
        <f ca="1">+WORLDCUP!BD61</f>
        <v>Paraguay</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República Checa</v>
      </c>
      <c r="H468" s="7" t="str">
        <f ca="1">+WORLDCUP!BD61</f>
        <v>Paraguay</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República Checa</v>
      </c>
      <c r="H469" s="7" t="str">
        <f ca="1">+WORLDCUP!BD61</f>
        <v>Paraguay</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República Checa</v>
      </c>
      <c r="H470" s="7" t="str">
        <f ca="1">+WORLDCUP!BD61</f>
        <v>Paraguay</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República Checa</v>
      </c>
      <c r="H471" s="7" t="str">
        <f ca="1">+WORLDCUP!BD61</f>
        <v>Paraguay</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Bosnia y Herzegovina</v>
      </c>
      <c r="F472" s="7" t="str">
        <f ca="1">+WORLDCUP!BD60</f>
        <v>Escocia</v>
      </c>
      <c r="G472" s="7" t="str">
        <f ca="1">+WORLDCUP!BD58</f>
        <v>República Checa</v>
      </c>
      <c r="H472" s="7" t="str">
        <f ca="1">+WORLDCUP!BD61</f>
        <v>Paraguay</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Bosnia y Herzegovina</v>
      </c>
      <c r="F473" s="7" t="str">
        <f ca="1">+WORLDCUP!BD60</f>
        <v>Escocia</v>
      </c>
      <c r="G473" s="7" t="str">
        <f ca="1">+WORLDCUP!BD58</f>
        <v>República Checa</v>
      </c>
      <c r="H473" s="7" t="str">
        <f ca="1">+WORLDCUP!BD61</f>
        <v>Paraguay</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Bosnia y Herzegovina</v>
      </c>
      <c r="F474" s="7" t="str">
        <f ca="1">+WORLDCUP!BD60</f>
        <v>Escocia</v>
      </c>
      <c r="G474" s="7" t="str">
        <f ca="1">+WORLDCUP!BD58</f>
        <v>República Checa</v>
      </c>
      <c r="H474" s="7" t="str">
        <f ca="1">+WORLDCUP!BD61</f>
        <v>Paraguay</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Bosnia y Herzegovina</v>
      </c>
      <c r="F475" s="7" t="str">
        <f ca="1">+WORLDCUP!BD60</f>
        <v>Escocia</v>
      </c>
      <c r="G475" s="7" t="str">
        <f ca="1">+WORLDCUP!BD58</f>
        <v>República Checa</v>
      </c>
      <c r="H475" s="7" t="str">
        <f ca="1">+WORLDCUP!BD61</f>
        <v>Paraguay</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Bosnia y Herzegovina</v>
      </c>
      <c r="F476" s="7" t="str">
        <f ca="1">+WORLDCUP!BD60</f>
        <v>Escocia</v>
      </c>
      <c r="G476" s="7" t="str">
        <f ca="1">+WORLDCUP!BD58</f>
        <v>República Checa</v>
      </c>
      <c r="H476" s="7" t="str">
        <f ca="1">+WORLDCUP!BD61</f>
        <v>Paraguay</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Bosnia y Herzegovina</v>
      </c>
      <c r="F477" s="7" t="str">
        <f ca="1">+WORLDCUP!BD60</f>
        <v>Escocia</v>
      </c>
      <c r="G477" s="7" t="str">
        <f ca="1">+WORLDCUP!BD58</f>
        <v>República Checa</v>
      </c>
      <c r="H477" s="7" t="str">
        <f ca="1">+WORLDCUP!BD61</f>
        <v>Paraguay</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Nueva Zelanda</v>
      </c>
      <c r="E478" s="7" t="str">
        <f ca="1">+WORLDCUP!BD59</f>
        <v>Bosnia y Herzegovina</v>
      </c>
      <c r="F478" s="7" t="str">
        <f ca="1">+WORLDCUP!BD60</f>
        <v>Escocia</v>
      </c>
      <c r="G478" s="7" t="str">
        <f ca="1">+WORLDCUP!BD58</f>
        <v>República Checa</v>
      </c>
      <c r="H478" s="7" t="str">
        <f ca="1">+WORLDCUP!BD61</f>
        <v>Paraguay</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Nueva Zelanda</v>
      </c>
      <c r="E479" s="7" t="str">
        <f ca="1">+WORLDCUP!BD59</f>
        <v>Bosnia y Herzegovina</v>
      </c>
      <c r="F479" s="7" t="str">
        <f ca="1">+WORLDCUP!BD60</f>
        <v>Escocia</v>
      </c>
      <c r="G479" s="7" t="str">
        <f ca="1">+WORLDCUP!BD58</f>
        <v>República Checa</v>
      </c>
      <c r="H479" s="7" t="str">
        <f ca="1">+WORLDCUP!BD61</f>
        <v>Paraguay</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Nueva Zelanda</v>
      </c>
      <c r="E480" s="7" t="str">
        <f ca="1">+WORLDCUP!BD59</f>
        <v>Bosnia y Herzegovina</v>
      </c>
      <c r="F480" s="7" t="str">
        <f ca="1">+WORLDCUP!BD60</f>
        <v>Escocia</v>
      </c>
      <c r="G480" s="7" t="str">
        <f ca="1">+WORLDCUP!BD58</f>
        <v>República Checa</v>
      </c>
      <c r="H480" s="7" t="str">
        <f ca="1">+WORLDCUP!BD61</f>
        <v>Paraguay</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Nueva Zelanda</v>
      </c>
      <c r="E481" s="7" t="str">
        <f ca="1">+WORLDCUP!BD59</f>
        <v>Bosnia y Herzegovina</v>
      </c>
      <c r="F481" s="7" t="str">
        <f ca="1">+WORLDCUP!BD60</f>
        <v>Escocia</v>
      </c>
      <c r="G481" s="7" t="str">
        <f ca="1">+WORLDCUP!BD58</f>
        <v>República Checa</v>
      </c>
      <c r="H481" s="7" t="str">
        <f ca="1">+WORLDCUP!BD61</f>
        <v>Paraguay</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Paraguay</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Paraguay</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Paraguay</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Paraguay</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Paraguay</v>
      </c>
      <c r="G486" s="7" t="str">
        <f ca="1">+WORLDCUP!BD58</f>
        <v>República Checa</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Paraguay</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República Checa</v>
      </c>
      <c r="H488" s="7" t="str">
        <f ca="1">+WORLDCUP!BD61</f>
        <v>Paraguay</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República Checa</v>
      </c>
      <c r="H489" s="7" t="str">
        <f ca="1">+WORLDCUP!BD63</f>
        <v>Suecia</v>
      </c>
      <c r="I489" s="7" t="str">
        <f ca="1">+WORLDCUP!BD61</f>
        <v>Paraguay</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República Checa</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República Checa</v>
      </c>
      <c r="H491" s="7" t="str">
        <f ca="1">+WORLDCUP!BD63</f>
        <v>Suecia</v>
      </c>
      <c r="I491" s="7" t="str">
        <f ca="1">+WORLDCUP!BD61</f>
        <v>Paraguay</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Bosnia y Herzegovina</v>
      </c>
      <c r="F492" s="7" t="str">
        <f ca="1">+WORLDCUP!BD61</f>
        <v>Paraguay</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Bosnia y Herzegovina</v>
      </c>
      <c r="F493" s="7" t="str">
        <f ca="1">+WORLDCUP!BD61</f>
        <v>Paraguay</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Bosnia y Herzegovina</v>
      </c>
      <c r="F494" s="7" t="str">
        <f ca="1">+WORLDCUP!BD61</f>
        <v>Paraguay</v>
      </c>
      <c r="G494" s="7" t="str">
        <f ca="1">+WORLDCUP!BD58</f>
        <v>República Checa</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Bosnia y Herzegovina</v>
      </c>
      <c r="F495" s="7" t="str">
        <f ca="1">+WORLDCUP!BD61</f>
        <v>Paraguay</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Nueva Zelanda</v>
      </c>
      <c r="E496" s="7" t="str">
        <f ca="1">+WORLDCUP!BD59</f>
        <v>Bosnia y Herzegovina</v>
      </c>
      <c r="F496" s="7" t="str">
        <f ca="1">+WORLDCUP!BD60</f>
        <v>Escocia</v>
      </c>
      <c r="G496" s="7" t="str">
        <f ca="1">+WORLDCUP!BD58</f>
        <v>República Checa</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2026-06-12T14:31:10Z</dcterms:modified>
</cp:coreProperties>
</file>