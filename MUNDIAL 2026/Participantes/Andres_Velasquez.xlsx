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cuments\QUINIELA-VENECA\MUNDIAL 2026\Participantes\"/>
    </mc:Choice>
  </mc:AlternateContent>
  <xr:revisionPtr revIDLastSave="0" documentId="13_ncr:1_{E4C72945-637C-4CB0-A485-C1C2AB96800B}"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E33" i="3"/>
  <c r="F70" i="3"/>
  <c r="F28" i="3"/>
  <c r="BW40" i="3"/>
  <c r="F24" i="3"/>
  <c r="E23" i="3"/>
  <c r="E20" i="3"/>
  <c r="E96" i="3"/>
  <c r="F93" i="3"/>
  <c r="E95" i="3"/>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E40" i="3"/>
  <c r="F48" i="3"/>
  <c r="BU27" i="3" s="1"/>
  <c r="F46" i="3"/>
  <c r="E45" i="3"/>
  <c r="BW29" i="3" s="1"/>
  <c r="F92" i="3"/>
  <c r="F95" i="3"/>
  <c r="E97" i="3"/>
  <c r="F81" i="3"/>
  <c r="E76" i="3"/>
  <c r="E78" i="3"/>
  <c r="E48" i="3"/>
  <c r="F44" i="3"/>
  <c r="BW26" i="3" s="1"/>
  <c r="F47" i="3"/>
  <c r="E38" i="3"/>
  <c r="BW24" i="3" s="1"/>
  <c r="BW22" i="3"/>
  <c r="F41" i="3"/>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8" i="3" s="1"/>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45" i="3"/>
  <c r="E81" i="3"/>
  <c r="E79" i="3"/>
  <c r="BU43" i="3" s="1"/>
  <c r="F77" i="3"/>
  <c r="F61" i="3"/>
  <c r="E65" i="3"/>
  <c r="E63" i="3"/>
  <c r="E9" i="3"/>
  <c r="F4" i="3"/>
  <c r="F6" i="3"/>
  <c r="F79" i="3"/>
  <c r="BW43" i="3"/>
  <c r="E80" i="3"/>
  <c r="F76" i="3"/>
  <c r="BW42" i="3" s="1"/>
  <c r="F80" i="3"/>
  <c r="E77" i="3"/>
  <c r="F78" i="3"/>
  <c r="BU42" i="3" s="1"/>
  <c r="BU44" i="3"/>
  <c r="E61" i="3"/>
  <c r="BW37" i="3" s="1"/>
  <c r="F62" i="3"/>
  <c r="BU36" i="3"/>
  <c r="F64" i="3"/>
  <c r="BU35" i="3" s="1"/>
  <c r="F72" i="3"/>
  <c r="E68" i="3"/>
  <c r="BW39" i="3" s="1"/>
  <c r="BW38" i="3"/>
  <c r="BU38" i="3"/>
  <c r="E70" i="3"/>
  <c r="BW52" i="3" l="1"/>
  <c r="BW50" i="3"/>
  <c r="BW53" i="3"/>
  <c r="BU51" i="3"/>
  <c r="BV52" i="3"/>
  <c r="BW45" i="3"/>
  <c r="BW44" i="3"/>
  <c r="BU41" i="3"/>
  <c r="BW41" i="3"/>
  <c r="BU34" i="3"/>
  <c r="BW35" i="3"/>
  <c r="BW36" i="3"/>
  <c r="BU28" i="3"/>
  <c r="BU37" i="3"/>
  <c r="BU26" i="3"/>
  <c r="BU22" i="3"/>
  <c r="BW23" i="3"/>
  <c r="BU25" i="3"/>
  <c r="BU19" i="3"/>
  <c r="BU21" i="3"/>
  <c r="BW18" i="3"/>
  <c r="BV50" i="3"/>
  <c r="BV51" i="3"/>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U50" i="3"/>
  <c r="BU18" i="3"/>
  <c r="BV26" i="3"/>
  <c r="BV38" i="3"/>
  <c r="BX38" i="3" s="1"/>
  <c r="BV36" i="3"/>
  <c r="BX36" i="3" s="1"/>
  <c r="BV40" i="3"/>
  <c r="BX40" i="3" s="1"/>
  <c r="BV41" i="3"/>
  <c r="BV39" i="3"/>
  <c r="BX39" i="3" s="1"/>
  <c r="BV34" i="3"/>
  <c r="BX34" i="3" s="1"/>
  <c r="BV37" i="3"/>
  <c r="BV35" i="3"/>
  <c r="BX35" i="3" s="1"/>
  <c r="BW30" i="3"/>
  <c r="BV29" i="3"/>
  <c r="BX29" i="3" s="1"/>
  <c r="BV28" i="3"/>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52" i="3" l="1"/>
  <c r="BX51" i="3"/>
  <c r="BX41" i="3"/>
  <c r="BX22" i="3"/>
  <c r="BX37" i="3"/>
  <c r="BX26" i="3"/>
  <c r="BX28" i="3"/>
  <c r="BX25"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0"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3" i="3"/>
  <c r="H23" i="3"/>
  <c r="H20" i="3"/>
  <c r="H25" i="3"/>
  <c r="I22" i="3"/>
  <c r="H21" i="3"/>
  <c r="H8"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4" i="3"/>
  <c r="CA14" i="3"/>
  <c r="CB44" i="3" l="1"/>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7" i="3" l="1"/>
  <c r="L84" i="3"/>
  <c r="K14" i="3"/>
  <c r="L13" i="3"/>
  <c r="K24"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49" i="3" l="1"/>
  <c r="CF22"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I26" i="3" s="1"/>
  <c r="CH40" i="3"/>
  <c r="CH11" i="3"/>
  <c r="O12" i="3" s="1"/>
  <c r="CH14" i="3"/>
  <c r="CH13" i="3"/>
  <c r="O13" i="3" s="1"/>
  <c r="O93" i="3" l="1"/>
  <c r="O97" i="3"/>
  <c r="N95" i="3"/>
  <c r="N96" i="3"/>
  <c r="O94" i="3"/>
  <c r="O95" i="3"/>
  <c r="N61" i="3"/>
  <c r="O64" i="3"/>
  <c r="O47" i="3"/>
  <c r="O44" i="3"/>
  <c r="N56" i="3"/>
  <c r="CI36" i="3"/>
  <c r="CI51" i="3"/>
  <c r="N29" i="3"/>
  <c r="CJ50" i="3"/>
  <c r="CI9" i="3"/>
  <c r="O55" i="3"/>
  <c r="O33" i="3"/>
  <c r="CJ19" i="3" s="1"/>
  <c r="N9" i="3"/>
  <c r="N36" i="3"/>
  <c r="O41" i="3"/>
  <c r="O4" i="3"/>
  <c r="O69" i="3"/>
  <c r="CK40" i="3" s="1"/>
  <c r="CI35" i="3"/>
  <c r="N72" i="3"/>
  <c r="CK21" i="3"/>
  <c r="O30" i="3"/>
  <c r="N32" i="3"/>
  <c r="CJ18" i="3" s="1"/>
  <c r="N7" i="3"/>
  <c r="O29" i="3"/>
  <c r="CI20" i="3" s="1"/>
  <c r="N49" i="3"/>
  <c r="N52" i="3"/>
  <c r="N54" i="3"/>
  <c r="CI44" i="3"/>
  <c r="N37" i="3"/>
  <c r="CI25" i="3" s="1"/>
  <c r="CI10" i="3"/>
  <c r="N8" i="3"/>
  <c r="CK22" i="3"/>
  <c r="O52" i="3"/>
  <c r="N97" i="3"/>
  <c r="O77" i="3"/>
  <c r="N80" i="3"/>
  <c r="N55" i="3"/>
  <c r="N81" i="3"/>
  <c r="N84" i="3"/>
  <c r="CI45" i="3"/>
  <c r="O5" i="3"/>
  <c r="N47" i="3"/>
  <c r="CK46" i="3"/>
  <c r="CI33" i="3"/>
  <c r="O53" i="3"/>
  <c r="O79" i="3"/>
  <c r="N6" i="3"/>
  <c r="N86" i="3"/>
  <c r="CK48" i="3" s="1"/>
  <c r="O32" i="3"/>
  <c r="CI21" i="3" s="1"/>
  <c r="CI12" i="3"/>
  <c r="CI43" i="3"/>
  <c r="N88" i="3"/>
  <c r="N30" i="3"/>
  <c r="CK6" i="3"/>
  <c r="CK18" i="3"/>
  <c r="CI18" i="3"/>
  <c r="CK25" i="3"/>
  <c r="N73" i="3"/>
  <c r="N15" i="3"/>
  <c r="CI11" i="3"/>
  <c r="O96" i="3"/>
  <c r="CJ53" i="3" s="1"/>
  <c r="CL53" i="3" s="1"/>
  <c r="CK34" i="3"/>
  <c r="CK8" i="3"/>
  <c r="CK30" i="3"/>
  <c r="N68" i="3"/>
  <c r="CK50" i="3"/>
  <c r="O40" i="3"/>
  <c r="O15" i="3"/>
  <c r="N65" i="3"/>
  <c r="O9" i="3"/>
  <c r="CI7" i="3" s="1"/>
  <c r="CI23" i="3"/>
  <c r="O36" i="3"/>
  <c r="CJ22" i="3" s="1"/>
  <c r="CK23" i="3"/>
  <c r="O61" i="3"/>
  <c r="CJ36" i="3" s="1"/>
  <c r="CI8" i="3"/>
  <c r="CI47" i="3"/>
  <c r="CK37" i="3"/>
  <c r="N13" i="3"/>
  <c r="O68" i="3"/>
  <c r="CI38" i="3" s="1"/>
  <c r="O57" i="3"/>
  <c r="O65" i="3"/>
  <c r="N40" i="3"/>
  <c r="O31" i="3"/>
  <c r="CJ21" i="3" s="1"/>
  <c r="N92" i="3"/>
  <c r="CK51" i="3" s="1"/>
  <c r="CK12" i="3"/>
  <c r="N77" i="3"/>
  <c r="CI19" i="3"/>
  <c r="CI50" i="3"/>
  <c r="O25" i="3"/>
  <c r="O37" i="3"/>
  <c r="CI24" i="3" s="1"/>
  <c r="N5" i="3"/>
  <c r="CJ9" i="3" s="1"/>
  <c r="O72" i="3"/>
  <c r="CK41" i="3" s="1"/>
  <c r="O84" i="3"/>
  <c r="CI46" i="3" s="1"/>
  <c r="CK39" i="3"/>
  <c r="O87" i="3"/>
  <c r="N60" i="3"/>
  <c r="CK35" i="3" s="1"/>
  <c r="O78" i="3"/>
  <c r="O23" i="3"/>
  <c r="N94" i="3"/>
  <c r="N39" i="3"/>
  <c r="CK38" i="3"/>
  <c r="CI52" i="3"/>
  <c r="N4" i="3"/>
  <c r="CK7" i="3" s="1"/>
  <c r="CK19" i="3"/>
  <c r="N87" i="3"/>
  <c r="N25" i="3"/>
  <c r="CK16" i="3" s="1"/>
  <c r="O22" i="3"/>
  <c r="CK17" i="3" s="1"/>
  <c r="N76" i="3"/>
  <c r="CJ43" i="3" s="1"/>
  <c r="O49" i="3"/>
  <c r="CI29" i="3" s="1"/>
  <c r="N46" i="3"/>
  <c r="CJ28" i="3" s="1"/>
  <c r="N53" i="3"/>
  <c r="CK28" i="3"/>
  <c r="N85" i="3"/>
  <c r="N44" i="3"/>
  <c r="CK27" i="3" s="1"/>
  <c r="N12" i="3"/>
  <c r="O54" i="3"/>
  <c r="O89" i="3"/>
  <c r="O56" i="3"/>
  <c r="N24" i="3"/>
  <c r="O46" i="3"/>
  <c r="CI28" i="3"/>
  <c r="O21" i="3"/>
  <c r="CI16" i="3" s="1"/>
  <c r="N45" i="3"/>
  <c r="CK29" i="3" s="1"/>
  <c r="CK32" i="3"/>
  <c r="N16" i="3"/>
  <c r="CI48" i="3"/>
  <c r="CK26" i="3"/>
  <c r="CJ48" i="3"/>
  <c r="O20" i="3"/>
  <c r="CI14" i="3" s="1"/>
  <c r="N33" i="3"/>
  <c r="CK10" i="3"/>
  <c r="N69" i="3"/>
  <c r="O73" i="3"/>
  <c r="CI39" i="3" s="1"/>
  <c r="O60" i="3"/>
  <c r="CI34" i="3" s="1"/>
  <c r="O63" i="3"/>
  <c r="CI37" i="3" s="1"/>
  <c r="CI40" i="3"/>
  <c r="O70" i="3"/>
  <c r="N22" i="3"/>
  <c r="CK42" i="3"/>
  <c r="N78" i="3"/>
  <c r="O81" i="3"/>
  <c r="CI13" i="3"/>
  <c r="N14" i="3"/>
  <c r="CK13" i="3"/>
  <c r="N23" i="3"/>
  <c r="N20" i="3"/>
  <c r="CI15" i="3" s="1"/>
  <c r="O24" i="3"/>
  <c r="N17" i="3"/>
  <c r="O14" i="3"/>
  <c r="CK33" i="3"/>
  <c r="CK53" i="3"/>
  <c r="CK49" i="3"/>
  <c r="CK31" i="3"/>
  <c r="CK52" i="3" l="1"/>
  <c r="CI49" i="3"/>
  <c r="CK44" i="3"/>
  <c r="CK47" i="3"/>
  <c r="CK45" i="3"/>
  <c r="CI41" i="3"/>
  <c r="CK43" i="3"/>
  <c r="CK36" i="3"/>
  <c r="CI27" i="3"/>
  <c r="CK24" i="3"/>
  <c r="CI22" i="3"/>
  <c r="CL22" i="3" s="1"/>
  <c r="CK20" i="3"/>
  <c r="CK14" i="3"/>
  <c r="CK11" i="3"/>
  <c r="CI6" i="3"/>
  <c r="CL3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9" i="3" l="1"/>
  <c r="CM49" i="3" s="1"/>
  <c r="CL41" i="3"/>
  <c r="CM45" i="3"/>
  <c r="CM50" i="3"/>
  <c r="CM53" i="3"/>
  <c r="CM48" i="3"/>
  <c r="CM16" i="3"/>
  <c r="CM40" i="3"/>
  <c r="CM30" i="3"/>
  <c r="CM17" i="3"/>
  <c r="CM15" i="3"/>
  <c r="CM34" i="3"/>
  <c r="CM31" i="3"/>
  <c r="CM33" i="3"/>
  <c r="CM47" i="3"/>
  <c r="CM43" i="3"/>
  <c r="CM21" i="3"/>
  <c r="CM35" i="3"/>
  <c r="CM18" i="3"/>
  <c r="CM20" i="3"/>
  <c r="CM44" i="3"/>
  <c r="CM14" i="3"/>
  <c r="CM26" i="3"/>
  <c r="CM38" i="3"/>
  <c r="CM42" i="3"/>
  <c r="CM19" i="3"/>
  <c r="CM28" i="3"/>
  <c r="CM24" i="3"/>
  <c r="CM11" i="3"/>
  <c r="CM13" i="3"/>
  <c r="CM12" i="3"/>
  <c r="CM10" i="3"/>
  <c r="CM32" i="3"/>
  <c r="CM9" i="3"/>
  <c r="CM8" i="3"/>
  <c r="CM7" i="3"/>
  <c r="CM6" i="3"/>
  <c r="CM29" i="3"/>
  <c r="CM39" i="3"/>
  <c r="CM41" i="3"/>
  <c r="CM51" i="3"/>
  <c r="CM36" i="3"/>
  <c r="CM27" i="3"/>
  <c r="CM23" i="3"/>
  <c r="CM52" i="3"/>
  <c r="CM37" i="3"/>
  <c r="CM22" i="3" l="1"/>
  <c r="CM25" i="3"/>
  <c r="CM46" i="3"/>
  <c r="CN11" i="3" l="1"/>
  <c r="R12" i="3" s="1"/>
  <c r="CN29" i="3"/>
  <c r="Q47" i="3" s="1"/>
  <c r="CN53" i="3"/>
  <c r="Q95" i="3" s="1"/>
  <c r="CN15" i="3"/>
  <c r="Q25" i="3" s="1"/>
  <c r="CN9" i="3"/>
  <c r="Q6" i="3" s="1"/>
  <c r="CN8" i="3"/>
  <c r="Q5" i="3" s="1"/>
  <c r="CN18" i="3"/>
  <c r="Q28" i="3" s="1"/>
  <c r="CN39" i="3"/>
  <c r="R71" i="3" s="1"/>
  <c r="CN22" i="3"/>
  <c r="Q36" i="3" s="1"/>
  <c r="CN44" i="3"/>
  <c r="Q77" i="3" s="1"/>
  <c r="CN23" i="3"/>
  <c r="R36" i="3" s="1"/>
  <c r="CN50" i="3"/>
  <c r="Q94" i="3" s="1"/>
  <c r="CN13" i="3"/>
  <c r="R13" i="3" s="1"/>
  <c r="CN45" i="3"/>
  <c r="Q79" i="3" s="1"/>
  <c r="CN10" i="3"/>
  <c r="Q15" i="3" s="1"/>
  <c r="CN19" i="3"/>
  <c r="Q33" i="3" s="1"/>
  <c r="CN49" i="3"/>
  <c r="Q87" i="3" s="1"/>
  <c r="CN37" i="3"/>
  <c r="R61" i="3" s="1"/>
  <c r="CN14" i="3"/>
  <c r="Q20" i="3" s="1"/>
  <c r="CN34" i="3"/>
  <c r="R65" i="3" s="1"/>
  <c r="CN6" i="3"/>
  <c r="Q7" i="3" s="1"/>
  <c r="CN7" i="3"/>
  <c r="R4" i="3" s="1"/>
  <c r="CN26" i="3"/>
  <c r="Q44" i="3" s="1"/>
  <c r="CN31" i="3"/>
  <c r="R52" i="3" s="1"/>
  <c r="CN20" i="3"/>
  <c r="R33" i="3" s="1"/>
  <c r="CN30" i="3"/>
  <c r="R57" i="3" s="1"/>
  <c r="CN40" i="3"/>
  <c r="R73" i="3" s="1"/>
  <c r="CN21" i="3"/>
  <c r="Q32" i="3" s="1"/>
  <c r="CN43" i="3"/>
  <c r="R76" i="3" s="1"/>
  <c r="CN48" i="3"/>
  <c r="Q85" i="3" s="1"/>
  <c r="CN36" i="3"/>
  <c r="R64" i="3" s="1"/>
  <c r="CN51" i="3"/>
  <c r="R92" i="3" s="1"/>
  <c r="CN41" i="3"/>
  <c r="Q71" i="3" s="1"/>
  <c r="CN42" i="3"/>
  <c r="Q76" i="3" s="1"/>
  <c r="CN17" i="3"/>
  <c r="Q24" i="3" s="1"/>
  <c r="CN12" i="3"/>
  <c r="R15" i="3" s="1"/>
  <c r="CN16" i="3"/>
  <c r="R25" i="3" s="1"/>
  <c r="CN52" i="3"/>
  <c r="R97" i="3" s="1"/>
  <c r="CN38" i="3"/>
  <c r="Q70" i="3" s="1"/>
  <c r="CN24" i="3"/>
  <c r="Q37" i="3" s="1"/>
  <c r="CN47" i="3"/>
  <c r="Q89" i="3" s="1"/>
  <c r="CN27" i="3"/>
  <c r="R47" i="3" s="1"/>
  <c r="CN46" i="3"/>
  <c r="Q84" i="3" s="1"/>
  <c r="CN32" i="3"/>
  <c r="Q53" i="3" s="1"/>
  <c r="CN35" i="3"/>
  <c r="R63" i="3" s="1"/>
  <c r="CN28" i="3"/>
  <c r="R46" i="3" s="1"/>
  <c r="CN33" i="3"/>
  <c r="Q57" i="3" s="1"/>
  <c r="CN25" i="3"/>
  <c r="Q39" i="3" s="1"/>
  <c r="Q17" i="3"/>
  <c r="R14" i="3"/>
  <c r="R45" i="3"/>
  <c r="Q49" i="3"/>
  <c r="R7" i="3" l="1"/>
  <c r="Q96" i="3"/>
  <c r="Q30" i="3"/>
  <c r="Q69" i="3"/>
  <c r="R93" i="3"/>
  <c r="Q38" i="3"/>
  <c r="CP43" i="3"/>
  <c r="R29" i="3"/>
  <c r="R41" i="3"/>
  <c r="CO30" i="3"/>
  <c r="CP30" i="3"/>
  <c r="R9" i="3"/>
  <c r="Q8" i="3"/>
  <c r="R70" i="3"/>
  <c r="Q54" i="3"/>
  <c r="R68" i="3"/>
  <c r="R22" i="3"/>
  <c r="R20" i="3"/>
  <c r="Q92" i="3"/>
  <c r="CP51" i="3" s="1"/>
  <c r="Q40" i="3"/>
  <c r="R5" i="3"/>
  <c r="CO8" i="3" s="1"/>
  <c r="R28" i="3"/>
  <c r="R80" i="3"/>
  <c r="CO43" i="3" s="1"/>
  <c r="R17" i="3"/>
  <c r="R78" i="3"/>
  <c r="Q73" i="3"/>
  <c r="Q31" i="3"/>
  <c r="R39" i="3"/>
  <c r="Q88" i="3"/>
  <c r="R62" i="3"/>
  <c r="CP23" i="3"/>
  <c r="R95" i="3"/>
  <c r="Q9" i="3"/>
  <c r="CO12" i="3"/>
  <c r="R85" i="3"/>
  <c r="R96" i="3"/>
  <c r="Q62" i="3"/>
  <c r="R86" i="3"/>
  <c r="Q65" i="3"/>
  <c r="CO23" i="3"/>
  <c r="R16" i="3"/>
  <c r="R94" i="3"/>
  <c r="Q22" i="3"/>
  <c r="CO15" i="3" s="1"/>
  <c r="Q14" i="3"/>
  <c r="Q13" i="3"/>
  <c r="Q16" i="3"/>
  <c r="CP12" i="3"/>
  <c r="Q60" i="3"/>
  <c r="R55" i="3"/>
  <c r="Q63" i="3"/>
  <c r="CO10" i="3"/>
  <c r="Q41" i="3"/>
  <c r="R8" i="3"/>
  <c r="CO9" i="3" s="1"/>
  <c r="R30" i="3"/>
  <c r="CO18" i="3" s="1"/>
  <c r="Q4" i="3"/>
  <c r="R6" i="3"/>
  <c r="R60" i="3"/>
  <c r="Q12" i="3"/>
  <c r="Q81" i="3"/>
  <c r="R31" i="3"/>
  <c r="CO19" i="3"/>
  <c r="R24" i="3"/>
  <c r="R77" i="3"/>
  <c r="R32" i="3"/>
  <c r="Q23" i="3"/>
  <c r="Q52" i="3"/>
  <c r="Q56" i="3"/>
  <c r="Q46" i="3"/>
  <c r="Q29" i="3"/>
  <c r="R49" i="3"/>
  <c r="R72" i="3"/>
  <c r="CO41" i="3" s="1"/>
  <c r="Q80" i="3"/>
  <c r="Q68" i="3"/>
  <c r="CP39" i="3" s="1"/>
  <c r="Q78" i="3"/>
  <c r="R89" i="3"/>
  <c r="R23" i="3"/>
  <c r="Q72" i="3"/>
  <c r="CO47" i="3"/>
  <c r="CP47" i="3"/>
  <c r="Q21" i="3"/>
  <c r="Q97" i="3"/>
  <c r="CP20" i="3"/>
  <c r="R69" i="3"/>
  <c r="CP42" i="3"/>
  <c r="R79" i="3"/>
  <c r="Q61" i="3"/>
  <c r="CP37" i="3" s="1"/>
  <c r="Q48" i="3"/>
  <c r="Q55" i="3"/>
  <c r="Q45" i="3"/>
  <c r="R87" i="3"/>
  <c r="R38" i="3"/>
  <c r="R84" i="3"/>
  <c r="Q86" i="3"/>
  <c r="R40" i="3"/>
  <c r="R21" i="3"/>
  <c r="Q93" i="3"/>
  <c r="R81" i="3"/>
  <c r="R37" i="3"/>
  <c r="R54" i="3"/>
  <c r="R56" i="3"/>
  <c r="R88" i="3"/>
  <c r="R53" i="3"/>
  <c r="R48" i="3"/>
  <c r="CO27" i="3" s="1"/>
  <c r="Q64" i="3"/>
  <c r="CP36" i="3" s="1"/>
  <c r="CP33" i="3"/>
  <c r="R44" i="3"/>
  <c r="CO35" i="3"/>
  <c r="CO26" i="3"/>
  <c r="CP50" i="3"/>
  <c r="CP35" i="3"/>
  <c r="CQ35" i="3" s="1"/>
  <c r="CP34" i="3"/>
  <c r="CP48" i="3"/>
  <c r="CO24" i="3"/>
  <c r="CO37" i="3"/>
  <c r="CQ37" i="3" s="1"/>
  <c r="CP38" i="3"/>
  <c r="CP14" i="3"/>
  <c r="CO34" i="3"/>
  <c r="CO50" i="3"/>
  <c r="CP40" i="3"/>
  <c r="CQ43" i="3"/>
  <c r="CP24" i="3"/>
  <c r="CO21" i="3"/>
  <c r="CO40" i="3"/>
  <c r="CO48" i="3"/>
  <c r="CO11" i="3"/>
  <c r="CO38" i="3"/>
  <c r="CP31" i="3"/>
  <c r="CP32" i="3"/>
  <c r="CP16" i="3"/>
  <c r="CO42" i="3"/>
  <c r="CQ42" i="3" s="1"/>
  <c r="CP10" i="3"/>
  <c r="CQ10"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27" i="3"/>
  <c r="CQ27" i="3" s="1"/>
  <c r="CO52" i="3"/>
  <c r="CO29" i="3"/>
  <c r="CQ23" i="3"/>
  <c r="CP29" i="3"/>
  <c r="CO51" i="3"/>
  <c r="CQ51" i="3" s="1"/>
  <c r="CO33" i="3"/>
  <c r="CQ33" i="3" s="1"/>
  <c r="CO36" i="3"/>
  <c r="CQ36" i="3" s="1"/>
  <c r="CQ47" i="3"/>
  <c r="CP52" i="3" l="1"/>
  <c r="CP22" i="3"/>
  <c r="CP25" i="3"/>
  <c r="CO25" i="3"/>
  <c r="CO53" i="3"/>
  <c r="CO22" i="3"/>
  <c r="CO39" i="3"/>
  <c r="CQ39" i="3" s="1"/>
  <c r="CP46" i="3"/>
  <c r="CP41" i="3"/>
  <c r="CQ41" i="3" s="1"/>
  <c r="CP44" i="3"/>
  <c r="CO46" i="3"/>
  <c r="CO45" i="3"/>
  <c r="CO44" i="3"/>
  <c r="CP49" i="3"/>
  <c r="CP45" i="3"/>
  <c r="CO49" i="3"/>
  <c r="CP53" i="3"/>
  <c r="CQ53" i="3" s="1"/>
  <c r="CQ50" i="3"/>
  <c r="CQ24" i="3"/>
  <c r="CQ48" i="3"/>
  <c r="CQ34" i="3"/>
  <c r="CQ14" i="3"/>
  <c r="CQ21" i="3"/>
  <c r="CQ16" i="3"/>
  <c r="CQ40" i="3"/>
  <c r="CQ38" i="3"/>
  <c r="CQ11" i="3"/>
  <c r="CQ31" i="3"/>
  <c r="CQ32" i="3"/>
  <c r="CQ28" i="3"/>
  <c r="CQ13" i="3"/>
  <c r="CQ17" i="3"/>
  <c r="CQ7" i="3"/>
  <c r="CQ6" i="3"/>
  <c r="CQ52" i="3"/>
  <c r="CQ29" i="3"/>
  <c r="CQ22" i="3" l="1"/>
  <c r="CQ25" i="3"/>
  <c r="CQ44" i="3"/>
  <c r="CQ46" i="3"/>
  <c r="CQ49" i="3"/>
  <c r="CQ45" i="3"/>
  <c r="CR50" i="3"/>
  <c r="CR47" i="3"/>
  <c r="CR48" i="3"/>
  <c r="CR21" i="3"/>
  <c r="CR31" i="3"/>
  <c r="CR26" i="3"/>
  <c r="CR41" i="3"/>
  <c r="CR43" i="3"/>
  <c r="CR30" i="3"/>
  <c r="CR42" i="3"/>
  <c r="CR38" i="3"/>
  <c r="CR33" i="3"/>
  <c r="CR40" i="3"/>
  <c r="CR39" i="3"/>
  <c r="CR19" i="3"/>
  <c r="CR35" i="3"/>
  <c r="CR34" i="3"/>
  <c r="CR24" i="3"/>
  <c r="CR36" i="3"/>
  <c r="CR28" i="3"/>
  <c r="CR17" i="3"/>
  <c r="CR14" i="3"/>
  <c r="CR20" i="3"/>
  <c r="CR15" i="3"/>
  <c r="CR16" i="3"/>
  <c r="CR18" i="3"/>
  <c r="CR10" i="3"/>
  <c r="CR7" i="3"/>
  <c r="CR46" i="3"/>
  <c r="CR11" i="3"/>
  <c r="CR32" i="3"/>
  <c r="CR9" i="3"/>
  <c r="CR6" i="3"/>
  <c r="CR8" i="3"/>
  <c r="CR27" i="3"/>
  <c r="CR13" i="3"/>
  <c r="CR12" i="3"/>
  <c r="CR29" i="3"/>
  <c r="CR37" i="3"/>
  <c r="CR23" i="3"/>
  <c r="CR25" i="3"/>
  <c r="CR51" i="3"/>
  <c r="CR52" i="3"/>
  <c r="CR22" i="3" l="1"/>
  <c r="CR44" i="3"/>
  <c r="CR45" i="3"/>
  <c r="CR49" i="3"/>
  <c r="CR53" i="3"/>
  <c r="CS21" i="3" l="1"/>
  <c r="T31" i="3" s="1"/>
  <c r="CS36" i="3"/>
  <c r="U62" i="3" s="1"/>
  <c r="CS18" i="3"/>
  <c r="T30" i="3" s="1"/>
  <c r="CS6" i="3"/>
  <c r="U8" i="3" s="1"/>
  <c r="CS43" i="3"/>
  <c r="T80" i="3" s="1"/>
  <c r="CS17" i="3"/>
  <c r="T22" i="3" s="1"/>
  <c r="CS52" i="3"/>
  <c r="T93" i="3" s="1"/>
  <c r="CS27" i="3"/>
  <c r="U47" i="3" s="1"/>
  <c r="CS9" i="3"/>
  <c r="U5" i="3" s="1"/>
  <c r="CS45" i="3"/>
  <c r="T79" i="3" s="1"/>
  <c r="CS53" i="3"/>
  <c r="T95" i="3" s="1"/>
  <c r="CS29" i="3"/>
  <c r="U45" i="3" s="1"/>
  <c r="CS23" i="3"/>
  <c r="T40" i="3" s="1"/>
  <c r="CS40" i="3"/>
  <c r="U70" i="3" s="1"/>
  <c r="CS20" i="3"/>
  <c r="U30" i="3" s="1"/>
  <c r="CS38" i="3"/>
  <c r="T70" i="3" s="1"/>
  <c r="CS7" i="3"/>
  <c r="U4" i="3" s="1"/>
  <c r="CS50" i="3"/>
  <c r="T92" i="3" s="1"/>
  <c r="CS12" i="3"/>
  <c r="T13" i="3" s="1"/>
  <c r="CS34" i="3"/>
  <c r="U65" i="3" s="1"/>
  <c r="CS15" i="3"/>
  <c r="U22" i="3" s="1"/>
  <c r="CS8" i="3"/>
  <c r="U9" i="3" s="1"/>
  <c r="CS41" i="3"/>
  <c r="T71" i="3" s="1"/>
  <c r="CS51" i="3"/>
  <c r="U92" i="3" s="1"/>
  <c r="CS28" i="3"/>
  <c r="U48" i="3" s="1"/>
  <c r="CS42" i="3"/>
  <c r="T78" i="3" s="1"/>
  <c r="CS33" i="3"/>
  <c r="U53" i="3" s="1"/>
  <c r="CS14" i="3"/>
  <c r="U24" i="3" s="1"/>
  <c r="CS32" i="3"/>
  <c r="U56" i="3" s="1"/>
  <c r="CS26" i="3"/>
  <c r="T46" i="3" s="1"/>
  <c r="CS19" i="3"/>
  <c r="U31" i="3" s="1"/>
  <c r="CS11" i="3"/>
  <c r="T17" i="3" s="1"/>
  <c r="CS49" i="3"/>
  <c r="U85" i="3" s="1"/>
  <c r="CS22" i="3"/>
  <c r="T38" i="3" s="1"/>
  <c r="CS16" i="3"/>
  <c r="U23" i="3" s="1"/>
  <c r="CS39" i="3"/>
  <c r="U71" i="3" s="1"/>
  <c r="CS25" i="3"/>
  <c r="T39" i="3" s="1"/>
  <c r="CS35" i="3"/>
  <c r="U63" i="3" s="1"/>
  <c r="CS13" i="3"/>
  <c r="T14" i="3" s="1"/>
  <c r="CS44" i="3"/>
  <c r="U80" i="3" s="1"/>
  <c r="CS47" i="3"/>
  <c r="U84" i="3" s="1"/>
  <c r="CS48" i="3"/>
  <c r="U89" i="3" s="1"/>
  <c r="CS10" i="3"/>
  <c r="T15" i="3" s="1"/>
  <c r="CS30" i="3"/>
  <c r="U57" i="3" s="1"/>
  <c r="CS24" i="3"/>
  <c r="U40" i="3" s="1"/>
  <c r="CS37" i="3"/>
  <c r="T63" i="3" s="1"/>
  <c r="CS46" i="3"/>
  <c r="U88" i="3" s="1"/>
  <c r="CS31" i="3"/>
  <c r="U55" i="3" s="1"/>
  <c r="T61" i="3"/>
  <c r="U64" i="3"/>
  <c r="T28" i="3"/>
  <c r="T24" i="3"/>
  <c r="T32" i="3"/>
  <c r="CT17" i="3"/>
  <c r="U21" i="3"/>
  <c r="U29" i="3"/>
  <c r="T8" i="3" l="1"/>
  <c r="U73" i="3"/>
  <c r="T6" i="3"/>
  <c r="T81" i="3"/>
  <c r="CT43" i="3"/>
  <c r="U79" i="3"/>
  <c r="CT19" i="3"/>
  <c r="U76" i="3"/>
  <c r="U44" i="3"/>
  <c r="T4" i="3"/>
  <c r="T48" i="3"/>
  <c r="T7" i="3"/>
  <c r="U77" i="3"/>
  <c r="CT44" i="3" s="1"/>
  <c r="U36" i="3"/>
  <c r="U6" i="3"/>
  <c r="U32" i="3"/>
  <c r="U97" i="3"/>
  <c r="CT51" i="3" s="1"/>
  <c r="U94" i="3"/>
  <c r="U39" i="3"/>
  <c r="T96" i="3"/>
  <c r="T20" i="3"/>
  <c r="CT40" i="3"/>
  <c r="U15" i="3"/>
  <c r="T69" i="3"/>
  <c r="T9" i="3"/>
  <c r="T47" i="3"/>
  <c r="U28" i="3"/>
  <c r="U41" i="3"/>
  <c r="T33" i="3"/>
  <c r="U12" i="3"/>
  <c r="U14" i="3"/>
  <c r="U93" i="3"/>
  <c r="T49" i="3"/>
  <c r="CT38" i="3"/>
  <c r="T36" i="3"/>
  <c r="CT23" i="3" s="1"/>
  <c r="CT15" i="3"/>
  <c r="T68" i="3"/>
  <c r="U7" i="3"/>
  <c r="T60" i="3"/>
  <c r="U37" i="3"/>
  <c r="T94" i="3"/>
  <c r="T97" i="3"/>
  <c r="T25" i="3"/>
  <c r="T62" i="3"/>
  <c r="T41" i="3"/>
  <c r="U69" i="3"/>
  <c r="U95" i="3"/>
  <c r="U17" i="3"/>
  <c r="U16" i="3"/>
  <c r="CT24" i="3"/>
  <c r="T55" i="3"/>
  <c r="T23" i="3"/>
  <c r="T76" i="3"/>
  <c r="T45" i="3"/>
  <c r="U46" i="3"/>
  <c r="U60" i="3"/>
  <c r="CT34" i="3" s="1"/>
  <c r="T5" i="3"/>
  <c r="T57" i="3"/>
  <c r="T72" i="3"/>
  <c r="U49" i="3"/>
  <c r="T53" i="3"/>
  <c r="CT33" i="3" s="1"/>
  <c r="T44" i="3"/>
  <c r="U81" i="3"/>
  <c r="T29" i="3"/>
  <c r="U20" i="3"/>
  <c r="U96" i="3"/>
  <c r="U54" i="3"/>
  <c r="CT28" i="3"/>
  <c r="U72" i="3"/>
  <c r="U33" i="3"/>
  <c r="T88" i="3"/>
  <c r="T16" i="3"/>
  <c r="T87" i="3"/>
  <c r="U13" i="3"/>
  <c r="CT12" i="3" s="1"/>
  <c r="T64" i="3"/>
  <c r="T21" i="3"/>
  <c r="U25" i="3"/>
  <c r="T73" i="3"/>
  <c r="CT47" i="3"/>
  <c r="U87" i="3"/>
  <c r="U68" i="3"/>
  <c r="T89" i="3"/>
  <c r="T77" i="3"/>
  <c r="U52" i="3"/>
  <c r="T37" i="3"/>
  <c r="U78" i="3"/>
  <c r="T85" i="3"/>
  <c r="U86" i="3"/>
  <c r="T86" i="3"/>
  <c r="U38" i="3"/>
  <c r="T84" i="3"/>
  <c r="T12" i="3"/>
  <c r="T52" i="3"/>
  <c r="T54" i="3"/>
  <c r="U61" i="3"/>
  <c r="T65" i="3"/>
  <c r="CT37" i="3"/>
  <c r="T56" i="3"/>
  <c r="CT32" i="3" s="1"/>
  <c r="CT31" i="3"/>
  <c r="CT11" i="3"/>
  <c r="CT35" i="3"/>
  <c r="CT7" i="3"/>
  <c r="CT50" i="3"/>
  <c r="CT21" i="3"/>
  <c r="CT48" i="3"/>
  <c r="CT6" i="3"/>
  <c r="CT14" i="3"/>
  <c r="CT42" i="3"/>
  <c r="CT20" i="3"/>
  <c r="CT30" i="3"/>
  <c r="CT26" i="3"/>
  <c r="CT18" i="3"/>
  <c r="CT16" i="3"/>
  <c r="CT13" i="3"/>
  <c r="CT27" i="3"/>
  <c r="CT39" i="3"/>
  <c r="CT10" i="3"/>
  <c r="CT29" i="3"/>
  <c r="CT9" i="3"/>
  <c r="CT36" i="3"/>
  <c r="CT8" i="3"/>
  <c r="CT45" i="3" l="1"/>
  <c r="CT46" i="3"/>
  <c r="CT41" i="3"/>
  <c r="CU41" i="3" s="1"/>
  <c r="CT25" i="3"/>
  <c r="CT53" i="3"/>
  <c r="CT22" i="3"/>
  <c r="CT52" i="3"/>
  <c r="CT49" i="3"/>
  <c r="CU43" i="3"/>
  <c r="CU47" i="3"/>
  <c r="CU48" i="3"/>
  <c r="CU24" i="3"/>
  <c r="CU21" i="3"/>
  <c r="CU27" i="3"/>
  <c r="CU38" i="3"/>
  <c r="CU30" i="3"/>
  <c r="CU10" i="3"/>
  <c r="CU26" i="3"/>
  <c r="CU20" i="3"/>
  <c r="CU35" i="3"/>
  <c r="CU50" i="3"/>
  <c r="CU31" i="3"/>
  <c r="CU18" i="3"/>
  <c r="CU11" i="3"/>
  <c r="CU19" i="3"/>
  <c r="CU32" i="3"/>
  <c r="CU33" i="3"/>
  <c r="CU15" i="3"/>
  <c r="CU14" i="3"/>
  <c r="CU42" i="3"/>
  <c r="CU34" i="3"/>
  <c r="CU17" i="3"/>
  <c r="CU12" i="3"/>
  <c r="CU16" i="3"/>
  <c r="CU40" i="3"/>
  <c r="CU28" i="3"/>
  <c r="CU29" i="3"/>
  <c r="CU8" i="3"/>
  <c r="CU37" i="3"/>
  <c r="CU23" i="3"/>
  <c r="CU9" i="3"/>
  <c r="CU51" i="3"/>
  <c r="CU7" i="3"/>
  <c r="CU6" i="3"/>
  <c r="CU13" i="3"/>
  <c r="CU36" i="3"/>
  <c r="CU39" i="3" l="1"/>
  <c r="CU22" i="3"/>
  <c r="CU53" i="3"/>
  <c r="CU52" i="3"/>
  <c r="CU44" i="3"/>
  <c r="CU46" i="3"/>
  <c r="CU45" i="3"/>
  <c r="CU25" i="3"/>
  <c r="CU49" i="3"/>
  <c r="CV52" i="3" l="1"/>
  <c r="CW52" i="3" s="1"/>
  <c r="CV46" i="3"/>
  <c r="CW46" i="3" s="1"/>
  <c r="CV43" i="3"/>
  <c r="CW43" i="3" s="1"/>
  <c r="CV6" i="3"/>
  <c r="CW6" i="3" s="1"/>
  <c r="CV15" i="3"/>
  <c r="CW15" i="3" s="1"/>
  <c r="CV33" i="3"/>
  <c r="CW33" i="3" s="1"/>
  <c r="CV48" i="3"/>
  <c r="CW48" i="3" s="1"/>
  <c r="CV30" i="3"/>
  <c r="CW30" i="3" s="1"/>
  <c r="CV20" i="3"/>
  <c r="CW20" i="3" s="1"/>
  <c r="CV9" i="3"/>
  <c r="CW9" i="3" s="1"/>
  <c r="CV24" i="3"/>
  <c r="CW24" i="3" s="1"/>
  <c r="CV16" i="3"/>
  <c r="CW16" i="3" s="1"/>
  <c r="CV19" i="3"/>
  <c r="CW19" i="3" s="1"/>
  <c r="CV7" i="3"/>
  <c r="CW7" i="3" s="1"/>
  <c r="CV18" i="3"/>
  <c r="CW18" i="3" s="1"/>
  <c r="CV34" i="3"/>
  <c r="CW34" i="3" s="1"/>
  <c r="CV38" i="3"/>
  <c r="CW38" i="3" s="1"/>
  <c r="CV40" i="3"/>
  <c r="CW40" i="3" s="1"/>
  <c r="CV47" i="3"/>
  <c r="CW47" i="3" s="1"/>
  <c r="CV50" i="3"/>
  <c r="CW50" i="3" s="1"/>
  <c r="CV26" i="3"/>
  <c r="CW26" i="3" s="1"/>
  <c r="CV22" i="3"/>
  <c r="CW22" i="3" s="1"/>
  <c r="CV13" i="3"/>
  <c r="CW13" i="3" s="1"/>
  <c r="CV45" i="3"/>
  <c r="CW45" i="3" s="1"/>
  <c r="CV32" i="3"/>
  <c r="CW32" i="3" s="1"/>
  <c r="CV51" i="3"/>
  <c r="CW51" i="3" s="1"/>
  <c r="CV41" i="3"/>
  <c r="CW41" i="3" s="1"/>
  <c r="CV11" i="3"/>
  <c r="CW11" i="3" s="1"/>
  <c r="CV53" i="3"/>
  <c r="CW53" i="3" s="1"/>
  <c r="CV35" i="3"/>
  <c r="CW35" i="3" s="1"/>
  <c r="CV49" i="3"/>
  <c r="CW49" i="3" s="1"/>
  <c r="CV14" i="3"/>
  <c r="CW14" i="3" s="1"/>
  <c r="CV23" i="3"/>
  <c r="CW23" i="3" s="1"/>
  <c r="CV37" i="3"/>
  <c r="CW37" i="3" s="1"/>
  <c r="CV10" i="3"/>
  <c r="CW10" i="3" s="1"/>
  <c r="CV25" i="3"/>
  <c r="CW25" i="3" s="1"/>
  <c r="CV8" i="3"/>
  <c r="CW8" i="3" s="1"/>
  <c r="CV39" i="3"/>
  <c r="CW39" i="3" s="1"/>
  <c r="CV17" i="3"/>
  <c r="CW17" i="3" s="1"/>
  <c r="CV27" i="3"/>
  <c r="CW27" i="3" s="1"/>
  <c r="CV44" i="3"/>
  <c r="CW44" i="3" s="1"/>
  <c r="CV28" i="3"/>
  <c r="CW28" i="3" s="1"/>
  <c r="CV21" i="3"/>
  <c r="CW21" i="3" s="1"/>
  <c r="CV29" i="3"/>
  <c r="CW29" i="3" s="1"/>
  <c r="CV31" i="3"/>
  <c r="CW31" i="3" s="1"/>
  <c r="CV12" i="3"/>
  <c r="CW12" i="3" s="1"/>
  <c r="CV36" i="3"/>
  <c r="CW36" i="3" s="1"/>
  <c r="CV42" i="3"/>
  <c r="CW42" i="3" s="1"/>
  <c r="CX32" i="3" l="1"/>
  <c r="CX51" i="3"/>
  <c r="CX43" i="3"/>
  <c r="CX18" i="3"/>
  <c r="CX20" i="3"/>
  <c r="CX23" i="3"/>
  <c r="CX13" i="3"/>
  <c r="CX30" i="3"/>
  <c r="CX31" i="3"/>
  <c r="CX12" i="3"/>
  <c r="CX15" i="3"/>
  <c r="CX9" i="3"/>
  <c r="CX7" i="3"/>
  <c r="CX28" i="3"/>
  <c r="CX17" i="3"/>
  <c r="CX34" i="3"/>
  <c r="CX37" i="3"/>
  <c r="CX38" i="3"/>
  <c r="CX26" i="3"/>
  <c r="CX47" i="3"/>
  <c r="CX46" i="3"/>
  <c r="CX44" i="3"/>
  <c r="CX40" i="3"/>
  <c r="CX25" i="3"/>
  <c r="CX53" i="3"/>
  <c r="CX41" i="3"/>
  <c r="CX39" i="3"/>
  <c r="CX33" i="3"/>
  <c r="CX11" i="3"/>
  <c r="CX45" i="3"/>
  <c r="CX42" i="3"/>
  <c r="CX24" i="3"/>
  <c r="CX22" i="3"/>
  <c r="CX21" i="3"/>
  <c r="CX49" i="3"/>
  <c r="CX6" i="3"/>
  <c r="CX27" i="3"/>
  <c r="CX48" i="3"/>
  <c r="CX8" i="3"/>
  <c r="CX35" i="3"/>
  <c r="CX50" i="3"/>
  <c r="CX29" i="3"/>
  <c r="CX16" i="3"/>
  <c r="CX19" i="3"/>
  <c r="CX52" i="3"/>
  <c r="CX10" i="3"/>
  <c r="CX36" i="3"/>
  <c r="CX14" i="3"/>
  <c r="CY8" i="3" l="1"/>
  <c r="CZ8" i="3" s="1"/>
  <c r="CY26" i="3"/>
  <c r="CZ26" i="3" s="1"/>
  <c r="CY37" i="3"/>
  <c r="CZ37" i="3" s="1"/>
  <c r="CY46" i="3"/>
  <c r="CZ46" i="3" s="1"/>
  <c r="CY35" i="3"/>
  <c r="CZ35" i="3" s="1"/>
  <c r="CY6" i="3"/>
  <c r="CZ6" i="3" s="1"/>
  <c r="CY21" i="3"/>
  <c r="CZ21" i="3" s="1"/>
  <c r="CY50" i="3"/>
  <c r="CZ50" i="3" s="1"/>
  <c r="CY10" i="3"/>
  <c r="CZ10" i="3" s="1"/>
  <c r="CY25" i="3"/>
  <c r="CZ25" i="3" s="1"/>
  <c r="CY27" i="3"/>
  <c r="CZ27" i="3" s="1"/>
  <c r="CY7" i="3"/>
  <c r="CZ7" i="3" s="1"/>
  <c r="CY19" i="3"/>
  <c r="CZ19" i="3" s="1"/>
  <c r="CY47" i="3"/>
  <c r="CZ47" i="3" s="1"/>
  <c r="CY40" i="3"/>
  <c r="CZ40" i="3" s="1"/>
  <c r="CY48" i="3"/>
  <c r="CZ48" i="3" s="1"/>
  <c r="CY28" i="3"/>
  <c r="CZ28" i="3" s="1"/>
  <c r="CY29" i="3"/>
  <c r="CZ29" i="3" s="1"/>
  <c r="CY44" i="3"/>
  <c r="CZ44" i="3" s="1"/>
  <c r="CY49" i="3"/>
  <c r="CZ49" i="3" s="1"/>
  <c r="CY11" i="3"/>
  <c r="CZ11" i="3" s="1"/>
  <c r="CY38" i="3"/>
  <c r="CZ38" i="3" s="1"/>
  <c r="CY14" i="3"/>
  <c r="CZ14" i="3" s="1"/>
  <c r="CY24" i="3"/>
  <c r="CZ24" i="3" s="1"/>
  <c r="CY20" i="3"/>
  <c r="CZ20" i="3" s="1"/>
  <c r="CY17" i="3"/>
  <c r="CZ17" i="3" s="1"/>
  <c r="CY43" i="3"/>
  <c r="CZ43" i="3" s="1"/>
  <c r="CY12" i="3"/>
  <c r="CZ12" i="3" s="1"/>
  <c r="CY23" i="3"/>
  <c r="CZ23" i="3" s="1"/>
  <c r="CY22" i="3"/>
  <c r="CZ22" i="3" s="1"/>
  <c r="CY31" i="3"/>
  <c r="CZ31" i="3" s="1"/>
  <c r="CY30" i="3"/>
  <c r="CZ30" i="3" s="1"/>
  <c r="CY41" i="3"/>
  <c r="CZ41" i="3" s="1"/>
  <c r="CY53" i="3"/>
  <c r="CZ53" i="3" s="1"/>
  <c r="CY34" i="3"/>
  <c r="CZ34" i="3" s="1"/>
  <c r="CY45" i="3"/>
  <c r="CZ45" i="3" s="1"/>
  <c r="CY13" i="3"/>
  <c r="CZ13" i="3" s="1"/>
  <c r="CY9" i="3"/>
  <c r="CZ9" i="3" s="1"/>
  <c r="CY18" i="3"/>
  <c r="CZ18" i="3" s="1"/>
  <c r="CY32" i="3"/>
  <c r="CZ32" i="3" s="1"/>
  <c r="CY52" i="3"/>
  <c r="CZ52" i="3" s="1"/>
  <c r="CY16" i="3"/>
  <c r="CZ16" i="3" s="1"/>
  <c r="CY42" i="3"/>
  <c r="CZ42" i="3" s="1"/>
  <c r="CY15" i="3"/>
  <c r="CZ15" i="3" s="1"/>
  <c r="CY51" i="3"/>
  <c r="CZ51" i="3" s="1"/>
  <c r="CY33" i="3"/>
  <c r="CZ33" i="3" s="1"/>
  <c r="CY36" i="3"/>
  <c r="CZ36" i="3" s="1"/>
  <c r="CY39" i="3"/>
  <c r="CZ39" i="3" s="1"/>
  <c r="DA20" i="3" l="1"/>
  <c r="DA47" i="3"/>
  <c r="DA21" i="3"/>
  <c r="DA36" i="3"/>
  <c r="DA53" i="3"/>
  <c r="DA46" i="3"/>
  <c r="DA9" i="3"/>
  <c r="DA35" i="3"/>
  <c r="DA6" i="3"/>
  <c r="DA48" i="3"/>
  <c r="DA50" i="3"/>
  <c r="DA45" i="3"/>
  <c r="DA27" i="3"/>
  <c r="DA34" i="3"/>
  <c r="DA32" i="3"/>
  <c r="DA52" i="3"/>
  <c r="DA51" i="3"/>
  <c r="DA38" i="3"/>
  <c r="DA19" i="3"/>
  <c r="DA31" i="3"/>
  <c r="DA23" i="3"/>
  <c r="DA17" i="3"/>
  <c r="DA40" i="3"/>
  <c r="DA7" i="3"/>
  <c r="DA15" i="3"/>
  <c r="DA8" i="3"/>
  <c r="DA49" i="3"/>
  <c r="DA24" i="3"/>
  <c r="DA14" i="3"/>
  <c r="DA22" i="3"/>
  <c r="DA26" i="3"/>
  <c r="DA29" i="3"/>
  <c r="DA43" i="3"/>
  <c r="DA42" i="3"/>
  <c r="DA10" i="3"/>
  <c r="DA18" i="3"/>
  <c r="DA44" i="3"/>
  <c r="DA39" i="3"/>
  <c r="DA25" i="3"/>
  <c r="DA41" i="3"/>
  <c r="DA11" i="3"/>
  <c r="DA30" i="3"/>
  <c r="DA16" i="3"/>
  <c r="DA28" i="3"/>
  <c r="DA33" i="3"/>
  <c r="DA13" i="3"/>
  <c r="DA37" i="3"/>
  <c r="DA12" i="3"/>
  <c r="DB39" i="3" l="1"/>
  <c r="DC39" i="3" s="1"/>
  <c r="DB25" i="3"/>
  <c r="DC25" i="3" s="1"/>
  <c r="DB41" i="3"/>
  <c r="DC41" i="3" s="1"/>
  <c r="DB31" i="3"/>
  <c r="DC31" i="3" s="1"/>
  <c r="DB34" i="3"/>
  <c r="DC34" i="3" s="1"/>
  <c r="DB51" i="3"/>
  <c r="DC51" i="3" s="1"/>
  <c r="DB18" i="3"/>
  <c r="DC18" i="3" s="1"/>
  <c r="DB38" i="3"/>
  <c r="DC38" i="3" s="1"/>
  <c r="DB37" i="3"/>
  <c r="DC37" i="3" s="1"/>
  <c r="DB28" i="3"/>
  <c r="DC28" i="3" s="1"/>
  <c r="DB20" i="3"/>
  <c r="DC20" i="3" s="1"/>
  <c r="DB19" i="3"/>
  <c r="DC19" i="3" s="1"/>
  <c r="DB32" i="3"/>
  <c r="DC32" i="3" s="1"/>
  <c r="DB16" i="3"/>
  <c r="DC16" i="3" s="1"/>
  <c r="DB40" i="3"/>
  <c r="DC40" i="3" s="1"/>
  <c r="DB44" i="3"/>
  <c r="DC44" i="3" s="1"/>
  <c r="DB30" i="3"/>
  <c r="DC30" i="3" s="1"/>
  <c r="DB17" i="3"/>
  <c r="DC17" i="3" s="1"/>
  <c r="DB52" i="3"/>
  <c r="DC52" i="3" s="1"/>
  <c r="DB11" i="3"/>
  <c r="DC11" i="3" s="1"/>
  <c r="DB23" i="3"/>
  <c r="DC23" i="3" s="1"/>
  <c r="DB22" i="3"/>
  <c r="DC22" i="3" s="1"/>
  <c r="DB8" i="3"/>
  <c r="DC8" i="3" s="1"/>
  <c r="DB53" i="3"/>
  <c r="DC53" i="3" s="1"/>
  <c r="DB21" i="3"/>
  <c r="DC21" i="3" s="1"/>
  <c r="DB29" i="3"/>
  <c r="DC29" i="3" s="1"/>
  <c r="DB43" i="3"/>
  <c r="DC43" i="3" s="1"/>
  <c r="DB33" i="3"/>
  <c r="DC33" i="3" s="1"/>
  <c r="DB7" i="3"/>
  <c r="DC7" i="3" s="1"/>
  <c r="DB49" i="3"/>
  <c r="DC49" i="3" s="1"/>
  <c r="DB10" i="3"/>
  <c r="DC10" i="3" s="1"/>
  <c r="DB42" i="3"/>
  <c r="DC42" i="3" s="1"/>
  <c r="DB13" i="3"/>
  <c r="DC13" i="3" s="1"/>
  <c r="DB12" i="3"/>
  <c r="DC12" i="3" s="1"/>
  <c r="DB24" i="3"/>
  <c r="DC24" i="3" s="1"/>
  <c r="DB47" i="3"/>
  <c r="DC47" i="3" s="1"/>
  <c r="DB26" i="3"/>
  <c r="DC26" i="3" s="1"/>
  <c r="DB27" i="3"/>
  <c r="DC27" i="3" s="1"/>
  <c r="DB35" i="3"/>
  <c r="DC35" i="3" s="1"/>
  <c r="DB50" i="3"/>
  <c r="DC50" i="3" s="1"/>
  <c r="DB36" i="3"/>
  <c r="DC36" i="3" s="1"/>
  <c r="DB14" i="3"/>
  <c r="DC14" i="3" s="1"/>
  <c r="DB6" i="3"/>
  <c r="DC6" i="3" s="1"/>
  <c r="DB9" i="3"/>
  <c r="DC9" i="3" s="1"/>
  <c r="DB15" i="3"/>
  <c r="DC15" i="3" s="1"/>
  <c r="DB45" i="3"/>
  <c r="DC45" i="3" s="1"/>
  <c r="DB46" i="3"/>
  <c r="DC46" i="3" s="1"/>
  <c r="DB48" i="3"/>
  <c r="DC48" i="3" s="1"/>
  <c r="DD23" i="3" l="1"/>
  <c r="BM23" i="3" s="1"/>
  <c r="DD24" i="3"/>
  <c r="BM24" i="3" s="1"/>
  <c r="DD6" i="3"/>
  <c r="BM6" i="3" s="1"/>
  <c r="DQ7" i="3" s="1"/>
  <c r="DJ7" i="3" s="1"/>
  <c r="DD7" i="3"/>
  <c r="BM7" i="3" s="1"/>
  <c r="DD21" i="3"/>
  <c r="BM21" i="3" s="1"/>
  <c r="DD42" i="3"/>
  <c r="BM42" i="3" s="1"/>
  <c r="DD33" i="3"/>
  <c r="BM33" i="3" s="1"/>
  <c r="DD9" i="3"/>
  <c r="BM9" i="3" s="1"/>
  <c r="DD38" i="3"/>
  <c r="BM38" i="3" s="1"/>
  <c r="DD14" i="3"/>
  <c r="BM14" i="3" s="1"/>
  <c r="DD50" i="3"/>
  <c r="BM50" i="3" s="1"/>
  <c r="DD10" i="3"/>
  <c r="BM10" i="3" s="1"/>
  <c r="DD16" i="3"/>
  <c r="BM16" i="3" s="1"/>
  <c r="DD39" i="3"/>
  <c r="BM39" i="3" s="1"/>
  <c r="DD35" i="3"/>
  <c r="BM35" i="3" s="1"/>
  <c r="DD13" i="3"/>
  <c r="BM13" i="3" s="1"/>
  <c r="DD11" i="3"/>
  <c r="BM11" i="3" s="1"/>
  <c r="DD51" i="3"/>
  <c r="BM51" i="3" s="1"/>
  <c r="DD36" i="3"/>
  <c r="BM36" i="3" s="1"/>
  <c r="DD27" i="3"/>
  <c r="BM27" i="3" s="1"/>
  <c r="DD40" i="3"/>
  <c r="BM40" i="3" s="1"/>
  <c r="DD53" i="3"/>
  <c r="BM53" i="3" s="1"/>
  <c r="DD19" i="3"/>
  <c r="BM19" i="3" s="1"/>
  <c r="DD31" i="3"/>
  <c r="BM31" i="3" s="1"/>
  <c r="DD32" i="3"/>
  <c r="BM32" i="3" s="1"/>
  <c r="DD41" i="3"/>
  <c r="BM41" i="3" s="1"/>
  <c r="DD8" i="3"/>
  <c r="BM8" i="3" s="1"/>
  <c r="DD44" i="3"/>
  <c r="BM44" i="3" s="1"/>
  <c r="DD34" i="3"/>
  <c r="BM34" i="3" s="1"/>
  <c r="DD47" i="3"/>
  <c r="BM47" i="3" s="1"/>
  <c r="DD49" i="3"/>
  <c r="BM49" i="3" s="1"/>
  <c r="DD46" i="3"/>
  <c r="BM46" i="3" s="1"/>
  <c r="DD17" i="3"/>
  <c r="BM17" i="3" s="1"/>
  <c r="DD29" i="3"/>
  <c r="BM29" i="3" s="1"/>
  <c r="DD20" i="3"/>
  <c r="BM20" i="3" s="1"/>
  <c r="DD48" i="3"/>
  <c r="BM48" i="3" s="1"/>
  <c r="DD28" i="3"/>
  <c r="BM28" i="3" s="1"/>
  <c r="DD37" i="3"/>
  <c r="BM37" i="3" s="1"/>
  <c r="DD30" i="3"/>
  <c r="BM30" i="3" s="1"/>
  <c r="DD43" i="3"/>
  <c r="BM43" i="3" s="1"/>
  <c r="DD22" i="3"/>
  <c r="BM22" i="3" s="1"/>
  <c r="DD45" i="3"/>
  <c r="BM45" i="3" s="1"/>
  <c r="DD52" i="3"/>
  <c r="BM52" i="3" s="1"/>
  <c r="DD12" i="3"/>
  <c r="BM12" i="3" s="1"/>
  <c r="DD26" i="3"/>
  <c r="BM26" i="3" s="1"/>
  <c r="DD18" i="3"/>
  <c r="BM18" i="3" s="1"/>
  <c r="DD25" i="3"/>
  <c r="BM25" i="3" s="1"/>
  <c r="DD15" i="3"/>
  <c r="BM15" i="3" s="1"/>
  <c r="AV7" i="3" l="1"/>
  <c r="DQ8" i="3"/>
  <c r="DJ8" i="3" s="1"/>
  <c r="AV8" i="3"/>
  <c r="DQ6" i="3"/>
  <c r="DJ6" i="3" s="1"/>
  <c r="AV9" i="3"/>
  <c r="AV15" i="3"/>
  <c r="AV17" i="3"/>
  <c r="AV6" i="3"/>
  <c r="DQ11" i="3"/>
  <c r="DJ11" i="3" s="1"/>
  <c r="DQ13" i="3"/>
  <c r="DJ13" i="3" s="1"/>
  <c r="DQ9" i="3"/>
  <c r="DJ9" i="3" s="1"/>
  <c r="AV54" i="3"/>
  <c r="DQ38" i="3"/>
  <c r="DJ38" i="3" s="1"/>
  <c r="AV72" i="3"/>
  <c r="DQ37" i="3"/>
  <c r="DJ37" i="3" s="1"/>
  <c r="DQ32" i="3"/>
  <c r="DJ32" i="3" s="1"/>
  <c r="AV16" i="3"/>
  <c r="DQ22" i="3"/>
  <c r="DJ22" i="3" s="1"/>
  <c r="DQ21" i="3"/>
  <c r="DJ21" i="3" s="1"/>
  <c r="AV23" i="3"/>
  <c r="DQ47" i="3"/>
  <c r="DJ47" i="3" s="1"/>
  <c r="AV89" i="3"/>
  <c r="AV73" i="3"/>
  <c r="DQ10" i="3"/>
  <c r="DJ10" i="3" s="1"/>
  <c r="DQ39" i="3"/>
  <c r="DJ39" i="3" s="1"/>
  <c r="DQ28" i="3"/>
  <c r="DJ28" i="3" s="1"/>
  <c r="AV70" i="3"/>
  <c r="AV86" i="3"/>
  <c r="DQ43" i="3"/>
  <c r="DJ43" i="3" s="1"/>
  <c r="AV81" i="3"/>
  <c r="DQ31" i="3"/>
  <c r="DJ31" i="3" s="1"/>
  <c r="DQ15" i="3"/>
  <c r="DJ15" i="3" s="1"/>
  <c r="DQ53" i="3"/>
  <c r="DJ53" i="3" s="1"/>
  <c r="AV14" i="3"/>
  <c r="DQ40" i="3"/>
  <c r="DJ40" i="3" s="1"/>
  <c r="DQ51" i="3"/>
  <c r="DJ51" i="3" s="1"/>
  <c r="AV46" i="3"/>
  <c r="AV55" i="3"/>
  <c r="DQ52" i="3"/>
  <c r="DJ52" i="3" s="1"/>
  <c r="AV63" i="3"/>
  <c r="AV24" i="3"/>
  <c r="AV65" i="3"/>
  <c r="AV94" i="3"/>
  <c r="AV88" i="3"/>
  <c r="AV22" i="3"/>
  <c r="AV33" i="3"/>
  <c r="DQ35" i="3"/>
  <c r="DJ35" i="3" s="1"/>
  <c r="DQ49" i="3"/>
  <c r="DJ49" i="3" s="1"/>
  <c r="AV78" i="3"/>
  <c r="DQ46" i="3"/>
  <c r="DJ46" i="3" s="1"/>
  <c r="AV64" i="3"/>
  <c r="DQ41" i="3"/>
  <c r="DJ41" i="3" s="1"/>
  <c r="AV40" i="3"/>
  <c r="DQ17" i="3"/>
  <c r="DJ17" i="3" s="1"/>
  <c r="AV97" i="3"/>
  <c r="DQ23" i="3"/>
  <c r="DJ23" i="3" s="1"/>
  <c r="AV32" i="3"/>
  <c r="AV62" i="3"/>
  <c r="AV80" i="3"/>
  <c r="AV39" i="3"/>
  <c r="AV96" i="3"/>
  <c r="AV48" i="3"/>
  <c r="AV41" i="3"/>
  <c r="AV47" i="3"/>
  <c r="AV57" i="3"/>
  <c r="AV87" i="3"/>
  <c r="DQ19" i="3"/>
  <c r="DJ19" i="3" s="1"/>
  <c r="AV31" i="3"/>
  <c r="DQ26" i="3"/>
  <c r="DJ26" i="3" s="1"/>
  <c r="DQ48" i="3"/>
  <c r="DJ48" i="3" s="1"/>
  <c r="DQ12" i="3"/>
  <c r="DJ12" i="3" s="1"/>
  <c r="DQ42" i="3"/>
  <c r="DJ42" i="3" s="1"/>
  <c r="DQ36" i="3"/>
  <c r="DJ36" i="3" s="1"/>
  <c r="AV95" i="3"/>
  <c r="AV25" i="3"/>
  <c r="DQ44" i="3"/>
  <c r="DJ44" i="3" s="1"/>
  <c r="DQ30" i="3"/>
  <c r="DJ30" i="3" s="1"/>
  <c r="DQ14" i="3"/>
  <c r="DJ14" i="3" s="1"/>
  <c r="DQ24" i="3"/>
  <c r="DJ24" i="3" s="1"/>
  <c r="DQ45" i="3"/>
  <c r="DJ45" i="3" s="1"/>
  <c r="DQ27" i="3"/>
  <c r="DJ27" i="3" s="1"/>
  <c r="AV30" i="3"/>
  <c r="DQ20" i="3"/>
  <c r="DJ20" i="3" s="1"/>
  <c r="DQ50" i="3"/>
  <c r="DJ50" i="3" s="1"/>
  <c r="DQ33" i="3"/>
  <c r="DJ33" i="3" s="1"/>
  <c r="DQ25" i="3"/>
  <c r="DJ25" i="3" s="1"/>
  <c r="AV56" i="3"/>
  <c r="AV49" i="3"/>
  <c r="DQ18" i="3"/>
  <c r="DJ18" i="3" s="1"/>
  <c r="DQ16" i="3"/>
  <c r="DJ16" i="3" s="1"/>
  <c r="DQ29" i="3"/>
  <c r="DJ29" i="3" s="1"/>
  <c r="AV71" i="3"/>
  <c r="AV38" i="3"/>
  <c r="DQ34" i="3"/>
  <c r="DJ34" i="3" s="1"/>
  <c r="AV79" i="3"/>
  <c r="DF8" i="3"/>
  <c r="DF7" i="3"/>
  <c r="DL29" i="3" l="1"/>
  <c r="DN29" i="3" s="1" a="1"/>
  <c r="DN29" i="3" s="1"/>
  <c r="DL48" i="3"/>
  <c r="AU88" i="3" s="1"/>
  <c r="DL46" i="3"/>
  <c r="AU86" i="3" s="1"/>
  <c r="DL28" i="3"/>
  <c r="AU48" i="3" s="1"/>
  <c r="DL8" i="3"/>
  <c r="AU8" i="3" s="1"/>
  <c r="DL40" i="3"/>
  <c r="AU72" i="3" s="1"/>
  <c r="DL35" i="3"/>
  <c r="AU63" i="3" s="1"/>
  <c r="DL25" i="3"/>
  <c r="AU41" i="3" s="1"/>
  <c r="DL33" i="3"/>
  <c r="AU57" i="3" s="1"/>
  <c r="DL22" i="3"/>
  <c r="AU38" i="3" s="1"/>
  <c r="DL26" i="3"/>
  <c r="AU46" i="3" s="1"/>
  <c r="DL50" i="3"/>
  <c r="DN50" i="3" s="1" a="1"/>
  <c r="DN50" i="3" s="1"/>
  <c r="DL34" i="3"/>
  <c r="AU62" i="3" s="1"/>
  <c r="DL17" i="3"/>
  <c r="AU25" i="3" s="1"/>
  <c r="DL31" i="3"/>
  <c r="AU55" i="3" s="1"/>
  <c r="DL49" i="3"/>
  <c r="AU89" i="3" s="1"/>
  <c r="AU85" i="3" s="1"/>
  <c r="AV84" i="3" s="1"/>
  <c r="DL24" i="3"/>
  <c r="AU40" i="3" s="1"/>
  <c r="DL36" i="3"/>
  <c r="AU64" i="3" s="1"/>
  <c r="DL53" i="3"/>
  <c r="AU97" i="3" s="1"/>
  <c r="DL16" i="3"/>
  <c r="AU24" i="3" s="1"/>
  <c r="DL39" i="3"/>
  <c r="AU71" i="3" s="1"/>
  <c r="DL42" i="3"/>
  <c r="AU78" i="3" s="1"/>
  <c r="DL41" i="3"/>
  <c r="DM41" i="3" s="1"/>
  <c r="DL19" i="3"/>
  <c r="AU31" i="3" s="1"/>
  <c r="DL13" i="3"/>
  <c r="AU17" i="3" s="1"/>
  <c r="DL43" i="3"/>
  <c r="AU79" i="3" s="1"/>
  <c r="DL27" i="3"/>
  <c r="AU47" i="3" s="1"/>
  <c r="DL14" i="3"/>
  <c r="DM14" i="3" s="1"/>
  <c r="DL10" i="3"/>
  <c r="AU14" i="3" s="1"/>
  <c r="DL37" i="3"/>
  <c r="AU65" i="3" s="1"/>
  <c r="DL9" i="3"/>
  <c r="AU9" i="3" s="1"/>
  <c r="DL12" i="3"/>
  <c r="AU16" i="3" s="1"/>
  <c r="DL15" i="3"/>
  <c r="AU23" i="3" s="1"/>
  <c r="DL52" i="3"/>
  <c r="AU96" i="3" s="1"/>
  <c r="DL21" i="3"/>
  <c r="AU33" i="3" s="1"/>
  <c r="DL44" i="3"/>
  <c r="AU80" i="3" s="1"/>
  <c r="DL11" i="3"/>
  <c r="DM11" i="3" s="1"/>
  <c r="DL30" i="3"/>
  <c r="AU54" i="3" s="1"/>
  <c r="DL20" i="3"/>
  <c r="DN20" i="3" s="1" a="1"/>
  <c r="DN20" i="3" s="1"/>
  <c r="DL7" i="3"/>
  <c r="DN7" i="3" s="1" a="1"/>
  <c r="DN7" i="3" s="1"/>
  <c r="DL45" i="3"/>
  <c r="DN45" i="3" s="1" a="1"/>
  <c r="DN45" i="3" s="1"/>
  <c r="DL6" i="3"/>
  <c r="AU6" i="3" s="1"/>
  <c r="DL18" i="3"/>
  <c r="AU30" i="3" s="1"/>
  <c r="DL38" i="3"/>
  <c r="AU70" i="3" s="1"/>
  <c r="DL32" i="3"/>
  <c r="AU56" i="3" s="1"/>
  <c r="DL51" i="3"/>
  <c r="AU95" i="3" s="1"/>
  <c r="DL47" i="3"/>
  <c r="AU87" i="3" s="1"/>
  <c r="DL23" i="3"/>
  <c r="AU39" i="3" s="1"/>
  <c r="DN46" i="3" a="1"/>
  <c r="DN46" i="3" s="1"/>
  <c r="DN28" i="3" a="1"/>
  <c r="DN28" i="3" s="1"/>
  <c r="DM19" i="3"/>
  <c r="DM35" i="3"/>
  <c r="DM46" i="3"/>
  <c r="DM28" i="3"/>
  <c r="DN8" i="3" a="1"/>
  <c r="DN8" i="3" s="1"/>
  <c r="DM29" i="3"/>
  <c r="AU49" i="3"/>
  <c r="DM51" i="3" l="1"/>
  <c r="DN19" i="3" a="1"/>
  <c r="DN19" i="3" s="1"/>
  <c r="DM13" i="3"/>
  <c r="DN25" i="3" a="1"/>
  <c r="DN25" i="3" s="1"/>
  <c r="DM48" i="3"/>
  <c r="DM32" i="3"/>
  <c r="DN48" i="3" a="1"/>
  <c r="DN48" i="3" s="1"/>
  <c r="AU53" i="3"/>
  <c r="AV52" i="3" s="1"/>
  <c r="DM43" i="3"/>
  <c r="DN35" i="3" a="1"/>
  <c r="DN35" i="3" s="1"/>
  <c r="DM25" i="3"/>
  <c r="DN32" i="3" a="1"/>
  <c r="DN32" i="3" s="1"/>
  <c r="DN14" i="3" a="1"/>
  <c r="DN14" i="3" s="1"/>
  <c r="DN39" i="3" a="1"/>
  <c r="DN39" i="3" s="1"/>
  <c r="DM27" i="3"/>
  <c r="DM50" i="3"/>
  <c r="DM26" i="3"/>
  <c r="DM52" i="3"/>
  <c r="DM17" i="3"/>
  <c r="DN52" i="3" a="1"/>
  <c r="DN52" i="3" s="1"/>
  <c r="DN36" i="3" a="1"/>
  <c r="DN36" i="3" s="1"/>
  <c r="DN17" i="3" a="1"/>
  <c r="DN17" i="3" s="1"/>
  <c r="DM22" i="3"/>
  <c r="DN27" i="3" a="1"/>
  <c r="DN27" i="3" s="1"/>
  <c r="DM47" i="3"/>
  <c r="AU94" i="3"/>
  <c r="AU93" i="3" s="1"/>
  <c r="AV92" i="3" s="1"/>
  <c r="DN43" i="3" a="1"/>
  <c r="DN43" i="3" s="1"/>
  <c r="DM30" i="3"/>
  <c r="AU61" i="3"/>
  <c r="AV60" i="3" s="1"/>
  <c r="AU37" i="3"/>
  <c r="AV36" i="3" s="1"/>
  <c r="DM23" i="3"/>
  <c r="DM44" i="3"/>
  <c r="DN53" i="3" a="1"/>
  <c r="DN53" i="3" s="1"/>
  <c r="DN26" i="3" a="1"/>
  <c r="DN26" i="3" s="1"/>
  <c r="DN9" i="3" a="1"/>
  <c r="DN9" i="3" s="1"/>
  <c r="DM8" i="3"/>
  <c r="DN34" i="3" a="1"/>
  <c r="DN34" i="3" s="1"/>
  <c r="DM31" i="3"/>
  <c r="DM49" i="3"/>
  <c r="DM53" i="3"/>
  <c r="DM12" i="3"/>
  <c r="DN10" i="3" a="1"/>
  <c r="DN10" i="3" s="1"/>
  <c r="DN13" i="3" a="1"/>
  <c r="DN13" i="3" s="1"/>
  <c r="DM16" i="3"/>
  <c r="DM33" i="3"/>
  <c r="DN31" i="3" a="1"/>
  <c r="DN31" i="3" s="1"/>
  <c r="DN12" i="3" a="1"/>
  <c r="DN12" i="3" s="1"/>
  <c r="DM40" i="3"/>
  <c r="DM9" i="3"/>
  <c r="DN40" i="3" a="1"/>
  <c r="DN40" i="3" s="1"/>
  <c r="DM10" i="3"/>
  <c r="DM42" i="3"/>
  <c r="DN49" i="3" a="1"/>
  <c r="DN49" i="3" s="1"/>
  <c r="DM36" i="3"/>
  <c r="DN51" i="3" a="1"/>
  <c r="DN51" i="3" s="1"/>
  <c r="DN33" i="3" a="1"/>
  <c r="DN33" i="3" s="1"/>
  <c r="DN18" i="3" a="1"/>
  <c r="DN18" i="3" s="1"/>
  <c r="DN41" i="3" a="1"/>
  <c r="DN41" i="3" s="1"/>
  <c r="DN24" i="3" a="1"/>
  <c r="DN24" i="3" s="1"/>
  <c r="DN37" i="3" a="1"/>
  <c r="DN37" i="3" s="1"/>
  <c r="DM18" i="3"/>
  <c r="DM34" i="3"/>
  <c r="DM24" i="3"/>
  <c r="AU73" i="3"/>
  <c r="AU69" i="3" s="1"/>
  <c r="AV68" i="3" s="1"/>
  <c r="AU7" i="3"/>
  <c r="AU5" i="3" s="1"/>
  <c r="AV4" i="3" s="1"/>
  <c r="DM15" i="3"/>
  <c r="DN16" i="3" a="1"/>
  <c r="DN16" i="3" s="1"/>
  <c r="DN42" i="3" a="1"/>
  <c r="DN42" i="3" s="1"/>
  <c r="DM39" i="3"/>
  <c r="DN22" i="3" a="1"/>
  <c r="DN22" i="3" s="1"/>
  <c r="DM37" i="3"/>
  <c r="DM7" i="3"/>
  <c r="DM6" i="3"/>
  <c r="DM20" i="3"/>
  <c r="DN30" i="3" a="1"/>
  <c r="DN30" i="3" s="1"/>
  <c r="DN38" i="3" a="1"/>
  <c r="DN38" i="3" s="1"/>
  <c r="DN44" i="3" a="1"/>
  <c r="DN44" i="3" s="1"/>
  <c r="DN21" i="3" a="1"/>
  <c r="DN21" i="3" s="1"/>
  <c r="AU15" i="3"/>
  <c r="AU13" i="3" s="1"/>
  <c r="AV12" i="3" s="1"/>
  <c r="DN6" i="3" a="1"/>
  <c r="DN6" i="3" s="1"/>
  <c r="DM38" i="3"/>
  <c r="AU32" i="3"/>
  <c r="AU29" i="3" s="1"/>
  <c r="AV28" i="3" s="1"/>
  <c r="DN23" i="3" a="1"/>
  <c r="DN23" i="3" s="1"/>
  <c r="AU22" i="3"/>
  <c r="AU21" i="3" s="1"/>
  <c r="AV20" i="3" s="1"/>
  <c r="DM21" i="3"/>
  <c r="DM45" i="3"/>
  <c r="DN15" i="3" a="1"/>
  <c r="DN15" i="3" s="1"/>
  <c r="AU81" i="3"/>
  <c r="AU77" i="3" s="1"/>
  <c r="AV76" i="3" s="1"/>
  <c r="DN47" i="3" a="1"/>
  <c r="DN47" i="3" s="1"/>
  <c r="DN11" i="3" a="1"/>
  <c r="DN11" i="3" s="1"/>
  <c r="DF9" i="3"/>
  <c r="AU45" i="3"/>
  <c r="AV44" i="3" s="1"/>
  <c r="DF22" i="3" l="1"/>
  <c r="DF16" i="3"/>
  <c r="DF37" i="3"/>
  <c r="DF23" i="3"/>
  <c r="DF21" i="3"/>
  <c r="DF18" i="3"/>
  <c r="DF14" i="3"/>
  <c r="DF19" i="3"/>
  <c r="DF24" i="3"/>
  <c r="DF25" i="3"/>
  <c r="DF10" i="3"/>
  <c r="DF12"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M124" i="3" s="1"/>
  <c r="AA124"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AG112" i="3" l="1"/>
  <c r="D127" i="3"/>
  <c r="N134" i="3" s="1"/>
  <c r="AF134" i="3" s="1"/>
  <c r="D124" i="3"/>
  <c r="M132" i="3" s="1"/>
  <c r="AA132" i="3" s="1"/>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1" i="3" l="1"/>
  <c r="AA131" i="3" s="1"/>
  <c r="D131" i="3" s="1"/>
  <c r="M138" i="3" s="1"/>
  <c r="AA138" i="3" s="1"/>
  <c r="AG127" i="3"/>
  <c r="AG124" i="3"/>
  <c r="D120" i="3"/>
  <c r="BS63" i="3"/>
  <c r="BS68" i="3"/>
  <c r="BS66" i="3"/>
  <c r="BS65" i="3"/>
  <c r="BS58" i="3"/>
  <c r="BS69" i="3"/>
  <c r="BS60" i="3"/>
  <c r="BS64" i="3"/>
  <c r="BS67" i="3"/>
  <c r="BS62" i="3"/>
  <c r="BS61" i="3"/>
  <c r="BS59" i="3"/>
  <c r="C190" i="31"/>
  <c r="AE11" i="45"/>
  <c r="B200" i="31"/>
  <c r="AG126" i="3"/>
  <c r="AG134" i="3"/>
  <c r="N139" i="3"/>
  <c r="AF139" i="3" s="1"/>
  <c r="AG133" i="3"/>
  <c r="M139" i="3"/>
  <c r="AA139" i="3" s="1"/>
  <c r="AI44" i="45"/>
  <c r="C217" i="31"/>
  <c r="C211" i="31"/>
  <c r="AI19" i="45"/>
  <c r="C212" i="31"/>
  <c r="AI31" i="45"/>
  <c r="AI43" i="45"/>
  <c r="C213" i="31"/>
  <c r="B223" i="31"/>
  <c r="C223" i="31"/>
  <c r="AI7" i="45" l="1"/>
  <c r="C210" i="31"/>
  <c r="AG131" i="3"/>
  <c r="AG120" i="3"/>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D138" i="3"/>
  <c r="AA147" i="3"/>
  <c r="AM38" i="45" a="1"/>
  <c r="AM38" i="45" s="1"/>
  <c r="C229" i="31"/>
  <c r="C227" i="31"/>
  <c r="AM37" i="45"/>
  <c r="C233" i="31"/>
  <c r="B233" i="31"/>
  <c r="AM13" i="45"/>
  <c r="C226" i="31"/>
  <c r="AI8" i="45" l="1"/>
  <c r="B220" i="31"/>
  <c r="C220" i="31"/>
  <c r="C214" i="31"/>
  <c r="BV61" i="3"/>
  <c r="BV60" i="3"/>
  <c r="BV66" i="3"/>
  <c r="BV69" i="3"/>
  <c r="BV65" i="3"/>
  <c r="BV68" i="3"/>
  <c r="BV62" i="3"/>
  <c r="BV59" i="3"/>
  <c r="BV64" i="3"/>
  <c r="BV58" i="3"/>
  <c r="BV67" i="3"/>
  <c r="BV63" i="3"/>
  <c r="D147" i="3"/>
  <c r="AG147" i="3" s="1"/>
  <c r="AA150" i="3"/>
  <c r="H147" i="3"/>
  <c r="AA151" i="3"/>
  <c r="C237" i="31"/>
  <c r="AQ32" i="45"/>
  <c r="AG139" i="3"/>
  <c r="N143" i="3"/>
  <c r="N147" i="3"/>
  <c r="AU26" i="45"/>
  <c r="C241" i="31"/>
  <c r="C240" i="31"/>
  <c r="C247" i="31"/>
  <c r="B247" i="31"/>
  <c r="AU25" i="45"/>
  <c r="AG138" i="3"/>
  <c r="M147" i="3"/>
  <c r="M14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D132" i="3" s="1"/>
  <c r="AG125" i="3"/>
  <c r="N133" i="3"/>
  <c r="AF133" i="3" s="1"/>
  <c r="AG123" i="3"/>
  <c r="AG132" i="3" l="1"/>
  <c r="N138" i="3"/>
  <c r="AF138" i="3" s="1"/>
  <c r="C221" i="31"/>
  <c r="C215" i="31"/>
  <c r="B221" i="31"/>
  <c r="AI20" i="45"/>
  <c r="B222" i="31"/>
  <c r="C222" i="31"/>
  <c r="AI32" i="45"/>
  <c r="C216" i="31"/>
  <c r="AA143" i="3" l="1"/>
  <c r="H138" i="3"/>
  <c r="AM14" i="45"/>
  <c r="C228" i="31"/>
  <c r="B232" i="31"/>
  <c r="C232" i="31"/>
  <c r="AA152" i="3" l="1"/>
  <c r="D143" i="3"/>
  <c r="AG143" i="3" s="1"/>
  <c r="C236" i="31"/>
  <c r="C244" i="31"/>
  <c r="B244" i="31"/>
  <c r="AQ31" i="45"/>
  <c r="AG152" i="3" l="1"/>
  <c r="AJ151" i="3" s="1"/>
  <c r="AZ25" i="45"/>
  <c r="C252" i="31"/>
  <c r="AJ155" i="3" l="1"/>
  <c r="BM35" i="45"/>
  <c r="BL35" i="45" s="1"/>
  <c r="BK35" i="45" s="1"/>
  <c r="BJ35" i="45" s="1"/>
  <c r="BI35" i="45" s="1"/>
  <c r="BH35" i="45" s="1"/>
  <c r="BM16" i="45"/>
  <c r="BL16" i="45" s="1"/>
  <c r="BK16" i="45" s="1"/>
  <c r="BJ16" i="45" s="1"/>
  <c r="BI16" i="45" s="1"/>
  <c r="BH16" i="45" s="1"/>
  <c r="BM32" i="45"/>
  <c r="BL32" i="45" s="1"/>
  <c r="BK32" i="45" s="1"/>
  <c r="BJ32" i="45" s="1"/>
  <c r="BI32" i="45" s="1"/>
  <c r="BH32" i="45" s="1"/>
  <c r="BM5" i="45"/>
  <c r="BL5" i="45" s="1"/>
  <c r="BK5" i="45" s="1"/>
  <c r="BJ5" i="45" s="1"/>
  <c r="BI5" i="45" s="1"/>
  <c r="BH5" i="45" s="1"/>
  <c r="BM39" i="45"/>
  <c r="BL39" i="45" s="1"/>
  <c r="BK39" i="45" s="1"/>
  <c r="BJ39" i="45" s="1"/>
  <c r="BI39" i="45" s="1"/>
  <c r="BH39" i="45" s="1"/>
  <c r="BM13" i="45"/>
  <c r="BL13" i="45" s="1"/>
  <c r="BK13" i="45" s="1"/>
  <c r="BJ13" i="45" s="1"/>
  <c r="BI13" i="45" s="1"/>
  <c r="BH13" i="45" s="1"/>
  <c r="BM9" i="45"/>
  <c r="BL9" i="45" s="1"/>
  <c r="BK9" i="45" s="1"/>
  <c r="BJ9" i="45" s="1"/>
  <c r="BI9" i="45" s="1"/>
  <c r="BH9" i="45" s="1"/>
  <c r="BM26" i="45"/>
  <c r="BL26" i="45" s="1"/>
  <c r="BK26" i="45" s="1"/>
  <c r="BJ26" i="45" s="1"/>
  <c r="BI26" i="45" s="1"/>
  <c r="BH26" i="45" s="1"/>
  <c r="BM30" i="45"/>
  <c r="BL30" i="45" s="1"/>
  <c r="BK30" i="45" s="1"/>
  <c r="BJ30" i="45" s="1"/>
  <c r="BI30" i="45" s="1"/>
  <c r="BH30" i="45" s="1"/>
  <c r="BM11" i="45"/>
  <c r="BL11" i="45" s="1"/>
  <c r="BK11" i="45" s="1"/>
  <c r="BJ11" i="45" s="1"/>
  <c r="BI11" i="45" s="1"/>
  <c r="BH11" i="45" s="1"/>
  <c r="BM27" i="45"/>
  <c r="BL27" i="45" s="1"/>
  <c r="BK27" i="45" s="1"/>
  <c r="BJ27" i="45" s="1"/>
  <c r="BI27" i="45" s="1"/>
  <c r="BH27" i="45" s="1"/>
  <c r="BM51" i="45"/>
  <c r="BL51" i="45" s="1"/>
  <c r="BK51" i="45" s="1"/>
  <c r="BJ51" i="45" s="1"/>
  <c r="BI51" i="45" s="1"/>
  <c r="BH51" i="45" s="1"/>
  <c r="BM7" i="45"/>
  <c r="BL7" i="45" s="1"/>
  <c r="BK7" i="45" s="1"/>
  <c r="BJ7" i="45" s="1"/>
  <c r="BI7" i="45" s="1"/>
  <c r="BH7" i="45" s="1"/>
  <c r="BM10" i="45"/>
  <c r="BL10" i="45" s="1"/>
  <c r="BK10" i="45" s="1"/>
  <c r="BJ10" i="45" s="1"/>
  <c r="BI10" i="45" s="1"/>
  <c r="BH10" i="45" s="1"/>
  <c r="BM36" i="45"/>
  <c r="BL36" i="45" s="1"/>
  <c r="BK36" i="45" s="1"/>
  <c r="BJ36" i="45" s="1"/>
  <c r="BI36" i="45" s="1"/>
  <c r="BH36" i="45" s="1"/>
  <c r="BM43" i="45"/>
  <c r="BL43" i="45" s="1"/>
  <c r="BK43" i="45" s="1"/>
  <c r="BJ43" i="45" s="1"/>
  <c r="BI43" i="45" s="1"/>
  <c r="BH43" i="45" s="1"/>
  <c r="BM40" i="45"/>
  <c r="BL40" i="45" s="1"/>
  <c r="BK40" i="45" s="1"/>
  <c r="BJ40" i="45" s="1"/>
  <c r="BI40" i="45" s="1"/>
  <c r="BH40" i="45" s="1"/>
  <c r="BM23" i="45"/>
  <c r="BL23" i="45" s="1"/>
  <c r="BK23" i="45" s="1"/>
  <c r="BJ23" i="45" s="1"/>
  <c r="BI23" i="45" s="1"/>
  <c r="BH23" i="45" s="1"/>
  <c r="BM49" i="45"/>
  <c r="BL49" i="45" s="1"/>
  <c r="BK49" i="45" s="1"/>
  <c r="BJ49" i="45" s="1"/>
  <c r="BI49" i="45" s="1"/>
  <c r="BH49" i="45" s="1"/>
  <c r="BM45" i="45"/>
  <c r="BL45" i="45" s="1"/>
  <c r="BK45" i="45" s="1"/>
  <c r="BJ45" i="45" s="1"/>
  <c r="BI45" i="45" s="1"/>
  <c r="BH45" i="45" s="1"/>
  <c r="BM38" i="45"/>
  <c r="BL38" i="45" s="1"/>
  <c r="BK38" i="45" s="1"/>
  <c r="BJ38" i="45" s="1"/>
  <c r="BI38" i="45" s="1"/>
  <c r="BH38" i="45" s="1"/>
  <c r="BM47" i="45"/>
  <c r="BL47" i="45" s="1"/>
  <c r="BK47" i="45" s="1"/>
  <c r="BJ47" i="45" s="1"/>
  <c r="BI47" i="45" s="1"/>
  <c r="BH47" i="45" s="1"/>
  <c r="BM29" i="45"/>
  <c r="BL29" i="45" s="1"/>
  <c r="BK29" i="45" s="1"/>
  <c r="BJ29" i="45" s="1"/>
  <c r="BI29" i="45" s="1"/>
  <c r="BH29" i="45" s="1"/>
  <c r="BM20" i="45"/>
  <c r="BL20" i="45" s="1"/>
  <c r="BK20" i="45" s="1"/>
  <c r="BJ20" i="45" s="1"/>
  <c r="BI20" i="45" s="1"/>
  <c r="BH20" i="45" s="1"/>
  <c r="BM24" i="45"/>
  <c r="BL24" i="45" s="1"/>
  <c r="BK24" i="45" s="1"/>
  <c r="BJ24" i="45" s="1"/>
  <c r="BI24" i="45" s="1"/>
  <c r="BH24" i="45" s="1"/>
  <c r="BM48" i="45"/>
  <c r="BL48" i="45" s="1"/>
  <c r="BK48" i="45" s="1"/>
  <c r="BJ48" i="45" s="1"/>
  <c r="BI48" i="45" s="1"/>
  <c r="BH48" i="45" s="1"/>
  <c r="BM22" i="45"/>
  <c r="BL22" i="45" s="1"/>
  <c r="BK22" i="45" s="1"/>
  <c r="BJ22" i="45" s="1"/>
  <c r="BI22" i="45" s="1"/>
  <c r="BH22" i="45" s="1"/>
  <c r="BM25" i="45"/>
  <c r="BL25" i="45" s="1"/>
  <c r="BK25" i="45" s="1"/>
  <c r="BJ25" i="45" s="1"/>
  <c r="BI25" i="45" s="1"/>
  <c r="BH25" i="45" s="1"/>
  <c r="BM42" i="45"/>
  <c r="BL42" i="45" s="1"/>
  <c r="BK42" i="45" s="1"/>
  <c r="BJ42" i="45" s="1"/>
  <c r="BI42" i="45" s="1"/>
  <c r="BH42" i="45" s="1"/>
  <c r="BM15" i="45"/>
  <c r="BL15" i="45" s="1"/>
  <c r="BK15" i="45" s="1"/>
  <c r="BJ15" i="45" s="1"/>
  <c r="BI15" i="45" s="1"/>
  <c r="BH15" i="45" s="1"/>
  <c r="BM21" i="45"/>
  <c r="BL21" i="45" s="1"/>
  <c r="BK21" i="45" s="1"/>
  <c r="BJ21" i="45" s="1"/>
  <c r="BI21" i="45" s="1"/>
  <c r="BH21" i="45" s="1"/>
  <c r="BM41" i="45"/>
  <c r="BL41" i="45" s="1"/>
  <c r="BK41" i="45" s="1"/>
  <c r="BJ41" i="45" s="1"/>
  <c r="BI41" i="45" s="1"/>
  <c r="BH41" i="45" s="1"/>
  <c r="BM50" i="45"/>
  <c r="BL50" i="45" s="1"/>
  <c r="BK50" i="45" s="1"/>
  <c r="BJ50" i="45" s="1"/>
  <c r="BI50" i="45" s="1"/>
  <c r="BH50" i="45" s="1"/>
  <c r="BM28" i="45"/>
  <c r="BL28" i="45" s="1"/>
  <c r="BK28" i="45" s="1"/>
  <c r="BJ28" i="45" s="1"/>
  <c r="BI28" i="45" s="1"/>
  <c r="BH28" i="45" s="1"/>
  <c r="BM33" i="45"/>
  <c r="BL33" i="45" s="1"/>
  <c r="BK33" i="45" s="1"/>
  <c r="BJ33" i="45" s="1"/>
  <c r="BI33" i="45" s="1"/>
  <c r="BH33" i="45" s="1"/>
  <c r="BM6" i="45"/>
  <c r="BL6" i="45" s="1"/>
  <c r="BK6" i="45" s="1"/>
  <c r="BJ6" i="45" s="1"/>
  <c r="BI6" i="45" s="1"/>
  <c r="BH6" i="45" s="1"/>
  <c r="BM34" i="45"/>
  <c r="BL34" i="45" s="1"/>
  <c r="BK34" i="45" s="1"/>
  <c r="BJ34" i="45" s="1"/>
  <c r="BI34" i="45" s="1"/>
  <c r="BH34" i="45" s="1"/>
  <c r="BM14" i="45"/>
  <c r="BL14" i="45" s="1"/>
  <c r="BK14" i="45" s="1"/>
  <c r="BJ14" i="45" s="1"/>
  <c r="BI14" i="45" s="1"/>
  <c r="BH14" i="45" s="1"/>
  <c r="BM31" i="45"/>
  <c r="BL31" i="45" s="1"/>
  <c r="BK31" i="45" s="1"/>
  <c r="BJ31" i="45" s="1"/>
  <c r="BI31" i="45" s="1"/>
  <c r="BH31" i="45" s="1"/>
  <c r="BM8" i="45"/>
  <c r="BL8" i="45" s="1"/>
  <c r="BK8" i="45" s="1"/>
  <c r="BJ8" i="45" s="1"/>
  <c r="BI8" i="45" s="1"/>
  <c r="BH8" i="45" s="1"/>
  <c r="BM19" i="45"/>
  <c r="BL19" i="45" s="1"/>
  <c r="BK19" i="45" s="1"/>
  <c r="BJ19" i="45" s="1"/>
  <c r="BI19" i="45" s="1"/>
  <c r="BH19" i="45" s="1"/>
  <c r="BM18" i="45"/>
  <c r="BL18" i="45" s="1"/>
  <c r="BK18" i="45" s="1"/>
  <c r="BJ18" i="45" s="1"/>
  <c r="BI18" i="45" s="1"/>
  <c r="BH18" i="45" s="1"/>
  <c r="BM37" i="45"/>
  <c r="BL37" i="45" s="1"/>
  <c r="BK37" i="45" s="1"/>
  <c r="BJ37" i="45" s="1"/>
  <c r="BI37" i="45" s="1"/>
  <c r="BH37" i="45" s="1"/>
  <c r="BM4" i="45"/>
  <c r="BL4" i="45" s="1"/>
  <c r="BK4" i="45" s="1"/>
  <c r="BJ4" i="45" s="1"/>
  <c r="BI4" i="45" s="1"/>
  <c r="BH4" i="45" s="1"/>
  <c r="BM44" i="45"/>
  <c r="BL44" i="45" s="1"/>
  <c r="BK44" i="45" s="1"/>
  <c r="BJ44" i="45" s="1"/>
  <c r="BI44" i="45" s="1"/>
  <c r="BH44" i="45" s="1"/>
  <c r="BM12" i="45"/>
  <c r="BL12" i="45" s="1"/>
  <c r="BK12" i="45" s="1"/>
  <c r="BJ12" i="45" s="1"/>
  <c r="BI12" i="45" s="1"/>
  <c r="BH12" i="45" s="1"/>
  <c r="BM17" i="45"/>
  <c r="BL17" i="45" s="1"/>
  <c r="BK17" i="45" s="1"/>
  <c r="BJ17" i="45" s="1"/>
  <c r="BI17" i="45" s="1"/>
  <c r="BH17" i="45" s="1"/>
  <c r="BM46" i="45"/>
  <c r="BL46" i="45" s="1"/>
  <c r="BK46" i="45" s="1"/>
  <c r="BJ46" i="45" s="1"/>
  <c r="BI46" i="45" s="1"/>
  <c r="BH46"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<sst xmlns="http://schemas.openxmlformats.org/spreadsheetml/2006/main" count="6777" uniqueCount="1525">
  <si>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</si>
  <si>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</si>
  <si>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</si>
  <si>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</si>
  <si>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</si>
  <si>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</si>
  <si>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</si>
  <si>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</si>
  <si>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</si>
  <si>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</si>
  <si>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</si>
  <si>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</si>
  <si>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</si>
  <si>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</si>
  <si>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</si>
  <si>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</si>
  <si>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</si>
  <si>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</si>
  <si>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</si>
  <si>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</si>
  <si>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</si>
  <si>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</si>
  <si>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</si>
  <si>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</si>
  <si>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</si>
  <si>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</si>
  <si>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</si>
  <si>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</si>
  <si>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</si>
  <si>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</si>
  <si>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</si>
  <si>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</si>
  <si>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</si>
  <si>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</si>
  <si>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</si>
  <si>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</si>
  <si>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</si>
  <si>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</si>
  <si>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</si>
  <si>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</si>
  <si>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</si>
  <si>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</si>
  <si>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</si>
  <si>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</si>
  <si>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</si>
  <si>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</si>
  <si>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</si>
  <si>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</si>
  <si>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</si>
  <si>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</si>
  <si>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</si>
  <si>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</si>
  <si>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</si>
  <si>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</si>
  <si>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</si>
  <si>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</si>
  <si>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</si>
  <si>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</si>
  <si>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</si>
  <si>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</si>
  <si>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</si>
  <si>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</si>
  <si>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</si>
  <si>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</si>
  <si>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</si>
  <si>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</si>
  <si>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</si>
  <si>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</si>
  <si>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</si>
  <si>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</si>
  <si>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</si>
  <si>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</si>
  <si>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</si>
  <si>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</si>
  <si>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</si>
  <si>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</si>
  <si>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</si>
  <si>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</si>
  <si>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</si>
  <si>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</si>
  <si>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</si>
  <si>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</si>
  <si>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</si>
  <si>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</si>
  <si>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</si>
  <si>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</si>
  <si>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</si>
  <si>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</si>
  <si>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</si>
  <si>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</si>
  <si>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</si>
  <si>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</si>
  <si>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</si>
  <si>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</si>
  <si>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</si>
  <si>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</si>
  <si>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</si>
  <si>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</si>
  <si>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</si>
  <si>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</si>
  <si>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</si>
  <si>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</si>
  <si>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</si>
  <si>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</si>
  <si>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</si>
  <si>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</si>
  <si>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</si>
  <si>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</si>
  <si>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</si>
  <si>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</si>
  <si>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</si>
  <si>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</si>
  <si>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</si>
  <si>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</si>
  <si>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</si>
  <si>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</si>
  <si>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</si>
  <si>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</si>
  <si>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</si>
  <si>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</si>
  <si>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</si>
  <si>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</si>
  <si>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</si>
  <si>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</si>
  <si>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</si>
  <si>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</si>
  <si>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</si>
  <si>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</si>
  <si>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</si>
  <si>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</si>
  <si>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</si>
  <si>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</si>
  <si>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</si>
  <si>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</si>
  <si>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</si>
  <si>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</si>
  <si>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</si>
  <si>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</si>
  <si>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</si>
  <si>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</si>
  <si>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</si>
  <si>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</si>
  <si>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</si>
  <si>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</si>
  <si>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</si>
  <si>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</si>
  <si>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</si>
  <si>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</si>
  <si>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</si>
  <si>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</si>
  <si>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</si>
  <si>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</si>
  <si>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</si>
  <si>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</si>
  <si>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</si>
  <si>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</si>
  <si>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</si>
  <si>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</si>
  <si>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</si>
  <si>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</si>
  <si>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</si>
  <si>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</si>
  <si>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</si>
  <si>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</si>
  <si>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</si>
  <si>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</si>
  <si>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</si>
  <si>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</si>
  <si>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</si>
  <si>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</si>
  <si>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</si>
  <si>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</si>
  <si>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</si>
  <si>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</si>
  <si>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</si>
  <si>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</si>
  <si>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</si>
  <si>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</si>
  <si>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</si>
  <si>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</si>
  <si>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</si>
  <si>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</si>
  <si>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</si>
  <si>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</si>
  <si>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</si>
  <si>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</si>
  <si>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</si>
  <si>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</si>
  <si>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</si>
  <si>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</si>
  <si>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</si>
  <si>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</si>
  <si>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</si>
  <si>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</si>
  <si>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</si>
  <si>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</si>
  <si>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</si>
  <si>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</si>
  <si>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</si>
  <si>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</si>
  <si>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</si>
  <si>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</si>
  <si>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</si>
  <si>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</si>
  <si>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</si>
  <si>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</si>
  <si>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</si>
  <si>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</si>
  <si>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</si>
  <si>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</si>
  <si>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</si>
  <si>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</si>
  <si>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</si>
  <si>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</si>
  <si>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</si>
  <si>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</si>
  <si>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</si>
  <si>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</si>
  <si>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</si>
  <si>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</si>
  <si>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</si>
  <si>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</si>
  <si>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</si>
  <si>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</si>
  <si>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</si>
  <si>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</si>
  <si>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</si>
  <si>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</si>
  <si>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</si>
  <si>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</si>
  <si>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</si>
  <si>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</si>
  <si>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</si>
  <si>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</si>
  <si>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</si>
  <si>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</si>
  <si>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</si>
  <si>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</si>
  <si>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</si>
  <si>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</si>
  <si>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</si>
  <si>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</si>
  <si>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</si>
  <si>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</si>
  <si>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</si>
  <si>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</si>
  <si>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</si>
  <si>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</si>
  <si>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</si>
  <si>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</si>
  <si>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</si>
  <si>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</si>
  <si>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</si>
  <si>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</si>
  <si>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</si>
  <si>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</si>
  <si>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</si>
  <si>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</si>
  <si>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</si>
  <si>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</si>
  <si>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</si>
  <si>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</si>
  <si>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</si>
  <si>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</si>
  <si>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</si>
  <si>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</si>
  <si>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</si>
  <si>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</si>
  <si>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</si>
  <si>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</si>
  <si>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</si>
  <si>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</si>
  <si>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</si>
  <si>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</si>
  <si>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</si>
  <si>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</si>
  <si>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</si>
  <si>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</si>
  <si>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</si>
  <si>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</si>
  <si>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</si>
  <si>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</si>
  <si>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</si>
  <si>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</si>
  <si>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</si>
  <si>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</si>
  <si>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</si>
  <si>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</si>
  <si>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</si>
  <si>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</si>
  <si>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</si>
  <si>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</si>
  <si>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</si>
  <si>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</si>
  <si>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</si>
  <si>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</si>
  <si>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</si>
  <si>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</si>
  <si>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</si>
  <si>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</si>
  <si>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</si>
  <si>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</si>
  <si>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</si>
  <si>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</si>
  <si>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</si>
  <si>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</si>
  <si>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</si>
  <si>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</si>
  <si>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</si>
  <si>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</si>
  <si>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</si>
  <si>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</si>
  <si>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</si>
  <si>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</si>
  <si>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</si>
  <si>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</si>
  <si>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</si>
  <si>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</si>
  <si>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</si>
  <si>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</si>
  <si>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</si>
  <si>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</si>
  <si>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</si>
  <si>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</si>
  <si>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</si>
  <si>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</si>
  <si>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</si>
  <si>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</si>
  <si>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</si>
  <si>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</si>
  <si>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</si>
  <si>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</si>
  <si>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</si>
  <si>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</si>
  <si>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</si>
  <si>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</si>
  <si>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</si>
  <si>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</si>
  <si>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</si>
  <si>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</si>
  <si>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</si>
  <si>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</si>
  <si>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</si>
  <si>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</si>
  <si>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</si>
  <si>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</si>
  <si>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</si>
  <si>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</si>
  <si>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</si>
  <si>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</si>
  <si>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</si>
  <si>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</si>
  <si>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</si>
  <si>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</si>
  <si>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</si>
  <si>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</si>
  <si>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</si>
  <si>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</si>
  <si>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</si>
  <si>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</si>
  <si>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</si>
  <si>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</si>
  <si>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</si>
  <si>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</si>
  <si>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</si>
  <si>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</si>
  <si>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</si>
  <si>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</si>
  <si>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</si>
  <si>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</si>
  <si>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</si>
  <si>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</si>
  <si>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</si>
  <si>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</si>
  <si>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</si>
  <si>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</si>
  <si>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</si>
  <si>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</si>
  <si>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</si>
  <si>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</si>
  <si>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</si>
  <si>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</si>
  <si>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</si>
  <si>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</si>
  <si>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</si>
  <si>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</si>
  <si>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</si>
  <si>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</si>
  <si>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</si>
  <si>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</si>
  <si>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</si>
  <si>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</si>
  <si>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</si>
  <si>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</si>
  <si>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</si>
  <si>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</si>
  <si>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</si>
  <si>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</si>
  <si>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</si>
  <si>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</si>
  <si>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</si>
  <si>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</si>
  <si>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</si>
  <si>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</si>
  <si>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</si>
  <si>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</si>
  <si>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</si>
  <si>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</si>
  <si>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</si>
  <si>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</si>
  <si>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</si>
  <si>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</si>
  <si>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</si>
  <si>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</si>
  <si>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</si>
  <si>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</si>
  <si>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</si>
  <si>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</si>
  <si>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</si>
  <si>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</si>
  <si>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</si>
  <si>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</si>
  <si>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</si>
  <si>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</si>
  <si>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</si>
  <si>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</si>
  <si>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</si>
  <si>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</si>
  <si>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</si>
  <si>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</si>
  <si>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</si>
  <si>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</si>
  <si>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</si>
  <si>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</si>
  <si>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</si>
  <si>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</si>
  <si>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</si>
  <si>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</si>
  <si>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</si>
  <si>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</si>
  <si>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</si>
  <si>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</si>
  <si>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</si>
  <si>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</si>
  <si>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</si>
  <si>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</si>
  <si>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</si>
  <si>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</si>
  <si>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</si>
  <si>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</si>
  <si>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</si>
  <si>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</si>
  <si>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</si>
  <si>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</si>
  <si>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</si>
  <si>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</si>
  <si>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</si>
  <si>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</si>
  <si>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</si>
  <si>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</si>
  <si>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</si>
  <si>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</si>
  <si>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</si>
  <si>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</si>
  <si>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</si>
  <si>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</si>
  <si>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</si>
  <si>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</si>
  <si>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</si>
  <si>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</si>
  <si>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</si>
  <si>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</si>
  <si>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</si>
  <si>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</si>
  <si>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</si>
  <si>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</si>
  <si>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</si>
  <si>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</si>
  <si>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</si>
  <si>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</si>
  <si>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</si>
  <si>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</si>
  <si>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</si>
  <si>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</si>
  <si>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</si>
  <si>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</si>
  <si>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</si>
  <si>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</si>
  <si>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</si>
  <si>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</si>
  <si>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</si>
  <si>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</si>
  <si>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</si>
  <si>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</si>
  <si>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</si>
  <si>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</si>
  <si>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</si>
  <si>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</si>
  <si>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</si>
  <si>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</si>
  <si>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</si>
  <si>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</si>
  <si>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</si>
  <si>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</si>
  <si>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</si>
  <si>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</si>
  <si>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</si>
  <si>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</si>
  <si>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</si>
  <si>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</si>
  <si>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</si>
  <si>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</si>
  <si>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</si>
  <si>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</si>
  <si>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</si>
  <si>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</si>
  <si>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</si>
  <si>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</si>
  <si>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</si>
  <si>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</si>
  <si>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</si>
  <si>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</si>
  <si>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</si>
  <si>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</si>
  <si>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</si>
  <si>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</si>
  <si>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</si>
  <si>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</si>
  <si>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</si>
  <si>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</si>
  <si>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</si>
  <si>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</si>
  <si>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</si>
  <si>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</si>
  <si>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</si>
  <si>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</si>
  <si>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</si>
  <si>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</si>
  <si>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</si>
  <si>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</si>
  <si>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</si>
  <si>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</si>
  <si>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</si>
  <si>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</si>
  <si>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</si>
  <si>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</si>
  <si>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</si>
  <si>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</si>
  <si>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</si>
  <si>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</si>
  <si>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</si>
  <si>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</si>
  <si>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</si>
  <si>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</si>
  <si>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</si>
  <si>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</si>
  <si>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</si>
  <si>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</si>
  <si>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</si>
  <si>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</si>
  <si>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</si>
  <si>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</si>
  <si>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</si>
  <si>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</si>
  <si>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</si>
  <si>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</si>
  <si>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</si>
  <si>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</si>
  <si>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</si>
  <si>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</si>
  <si>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</si>
  <si>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</si>
  <si>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</si>
  <si>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</si>
  <si>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</si>
  <si>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</si>
  <si>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</si>
  <si>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</si>
  <si>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</si>
  <si>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</si>
  <si>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</si>
  <si>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</si>
  <si>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</si>
  <si>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</si>
  <si>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</si>
  <si>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</si>
  <si>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</si>
  <si>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</si>
  <si>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</si>
  <si>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</si>
  <si>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</si>
  <si>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</si>
  <si>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</si>
  <si>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</si>
  <si>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</si>
  <si>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</si>
  <si>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</si>
  <si>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</si>
  <si>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</si>
  <si>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</si>
  <si>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</si>
  <si>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</si>
  <si>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</si>
  <si>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</si>
  <si>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</si>
  <si>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</si>
  <si>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</si>
  <si>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</si>
  <si>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</si>
  <si>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</si>
  <si>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</si>
  <si>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</si>
  <si>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</si>
  <si>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</si>
  <si>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</si>
  <si>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</si>
  <si>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</si>
  <si>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</si>
  <si>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</si>
  <si>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</si>
  <si>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</si>
  <si>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</si>
  <si>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</si>
  <si>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</si>
  <si>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</si>
  <si>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</si>
  <si>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</si>
  <si>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</si>
  <si>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</si>
  <si>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</si>
  <si>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</si>
  <si>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</si>
  <si>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</si>
  <si>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</si>
  <si>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</si>
  <si>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</si>
  <si>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</si>
  <si>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</si>
  <si>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</si>
  <si>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</si>
  <si>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</si>
  <si>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</si>
  <si>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</si>
  <si>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</si>
  <si>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</si>
  <si>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</si>
  <si>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</si>
  <si>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</si>
  <si>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</si>
  <si>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</si>
  <si>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</si>
  <si>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</si>
  <si>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</si>
  <si>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</si>
  <si>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</si>
  <si>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</si>
  <si>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</si>
  <si>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</si>
  <si>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</si>
  <si>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</si>
  <si>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</si>
  <si>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</si>
  <si>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</si>
  <si>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</si>
  <si>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</si>
  <si>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</si>
  <si>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</si>
  <si>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</si>
  <si>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</si>
  <si>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</si>
  <si>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</si>
  <si>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</si>
  <si>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</si>
  <si>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</si>
  <si>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</si>
  <si>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</si>
  <si>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</si>
  <si>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</si>
  <si>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</si>
  <si>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</si>
  <si>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</si>
  <si>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</si>
  <si>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</si>
  <si>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</si>
  <si>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</si>
  <si>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</si>
  <si>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</si>
  <si>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</si>
  <si>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</si>
  <si>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</si>
  <si>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</si>
  <si>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</si>
  <si>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</si>
  <si>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</si>
  <si>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</si>
  <si>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</si>
  <si>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</si>
  <si>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</si>
  <si>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</si>
  <si>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</si>
  <si>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</si>
  <si>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</si>
  <si>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</si>
  <si>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</si>
  <si>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</si>
  <si>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</si>
  <si>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</si>
  <si>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</si>
  <si>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</si>
  <si>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</si>
  <si>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</si>
  <si>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</si>
  <si>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</si>
  <si>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</si>
  <si>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</si>
  <si>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</si>
  <si>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</si>
  <si>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</si>
  <si>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</si>
  <si>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</si>
  <si>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</si>
  <si>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</si>
  <si>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</si>
  <si>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</si>
  <si>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</si>
  <si>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</si>
  <si>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</si>
  <si>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</si>
  <si>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</si>
  <si>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</si>
  <si>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</si>
  <si>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</si>
  <si>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</si>
  <si>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</si>
  <si>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</si>
  <si>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</si>
  <si>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</si>
  <si>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</si>
  <si>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</si>
  <si>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</si>
  <si>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</si>
  <si>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</si>
  <si>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</si>
  <si>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</si>
  <si>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</si>
  <si>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</si>
  <si>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</si>
  <si>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</si>
  <si>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</si>
  <si>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</si>
  <si>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</si>
  <si>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</si>
  <si>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</si>
  <si>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</si>
  <si>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</si>
  <si>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</si>
  <si>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</si>
  <si>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</si>
  <si>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</si>
  <si>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</si>
  <si>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</si>
  <si>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</si>
  <si>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</si>
  <si>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</si>
  <si>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</si>
  <si>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</si>
  <si>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</si>
  <si>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</si>
  <si>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</si>
  <si>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</si>
  <si>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</si>
  <si>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</si>
  <si>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</si>
  <si>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</si>
  <si>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</si>
  <si>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</si>
  <si>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</si>
  <si>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</si>
  <si>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</si>
  <si>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</si>
  <si>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</si>
  <si>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</si>
  <si>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</si>
  <si>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</si>
  <si>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</si>
  <si>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</si>
  <si>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</si>
  <si>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</si>
  <si>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</si>
  <si>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</si>
  <si>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</si>
  <si>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</si>
  <si>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</si>
  <si>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</si>
  <si>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</si>
  <si>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</si>
  <si>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</si>
  <si>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</si>
  <si>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</si>
  <si>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</si>
  <si>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</si>
  <si>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</si>
  <si>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</si>
  <si>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</si>
  <si>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</si>
  <si>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</si>
  <si>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</si>
  <si>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</si>
  <si>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</si>
  <si>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</si>
  <si>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</si>
  <si>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</si>
  <si>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</si>
  <si>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</si>
  <si>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</si>
  <si>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</si>
  <si>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</si>
  <si>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</si>
  <si>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</si>
  <si>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</si>
  <si>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</si>
  <si>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</si>
  <si>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</si>
  <si>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</si>
  <si>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</si>
  <si>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</si>
  <si>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</si>
  <si>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</si>
  <si>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</si>
  <si>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</si>
  <si>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</si>
  <si>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</si>
  <si>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</si>
  <si>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</si>
  <si>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</si>
  <si>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</si>
  <si>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</si>
  <si>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</si>
  <si>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</si>
  <si>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</si>
  <si>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</si>
  <si>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</si>
  <si>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</si>
  <si>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</si>
  <si>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</si>
  <si>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</si>
  <si>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</si>
  <si>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</si>
  <si>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</si>
  <si>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</si>
  <si>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</si>
  <si>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</si>
  <si>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</si>
  <si>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</si>
  <si>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</si>
  <si>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</si>
  <si>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</si>
  <si>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</si>
  <si>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</si>
  <si>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</si>
  <si>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</si>
  <si>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</si>
  <si>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</si>
  <si>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</si>
  <si>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</si>
  <si>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</si>
  <si>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</si>
  <si>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</si>
  <si>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</si>
  <si>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</si>
  <si>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</si>
  <si>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</si>
  <si>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</si>
  <si>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</si>
  <si>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</si>
  <si>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</si>
  <si>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</si>
  <si>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</si>
  <si>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</si>
  <si>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</si>
  <si>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</si>
  <si>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</si>
  <si>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</si>
  <si>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</si>
  <si>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</si>
  <si>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</si>
  <si>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</si>
  <si>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</si>
  <si>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</si>
  <si>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</si>
  <si>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</si>
  <si>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</si>
  <si>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</si>
  <si>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</si>
  <si>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</si>
  <si>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</si>
  <si>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</si>
  <si>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</si>
  <si>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</si>
  <si>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</si>
  <si>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</si>
  <si>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</si>
  <si>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</si>
  <si>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</si>
  <si>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</si>
  <si>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</si>
  <si>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</si>
  <si>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</si>
  <si>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</si>
  <si>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</si>
  <si>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</si>
  <si>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</si>
  <si>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</si>
  <si>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</si>
  <si>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</si>
  <si>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</si>
  <si>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</si>
  <si>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</si>
  <si>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</si>
  <si>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</si>
  <si>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</si>
  <si>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</si>
  <si>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</si>
  <si>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</si>
  <si>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</si>
  <si>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</si>
  <si>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</si>
  <si>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</si>
  <si>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</si>
  <si>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</si>
  <si>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</si>
  <si>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</si>
  <si>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</si>
  <si>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</si>
  <si>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</si>
  <si>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</si>
  <si>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</si>
  <si>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</si>
  <si>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</si>
  <si>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</si>
  <si>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</si>
  <si>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</si>
  <si>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</si>
  <si>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</si>
  <si>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</si>
  <si>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</si>
  <si>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</si>
  <si>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</si>
  <si>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</si>
  <si>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</si>
  <si>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</si>
  <si>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</si>
  <si>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</si>
  <si>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</si>
  <si>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</si>
  <si>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</si>
  <si>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</si>
  <si>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</si>
  <si>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</si>
  <si>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</si>
  <si>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</si>
  <si>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</si>
  <si>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</si>
  <si>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</si>
  <si>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</si>
  <si>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</si>
  <si>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</si>
  <si>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</si>
  <si>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</si>
  <si>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</si>
  <si>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</si>
  <si>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</si>
  <si>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</si>
  <si>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</si>
  <si>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</si>
  <si>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</si>
  <si>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</si>
  <si>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</si>
  <si>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</si>
  <si>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</si>
  <si>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</si>
  <si>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</si>
  <si>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</si>
  <si>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</si>
  <si>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</si>
  <si>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</si>
  <si>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</si>
  <si>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</si>
  <si>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</si>
  <si>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</si>
  <si>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</si>
  <si>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</si>
  <si>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</si>
  <si>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</si>
  <si>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</si>
  <si>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</si>
  <si>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</si>
  <si>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</si>
  <si>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</si>
  <si>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</si>
  <si>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</si>
  <si>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</si>
  <si>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</si>
  <si>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</si>
  <si>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</si>
  <si>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</si>
  <si>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</si>
  <si>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</si>
  <si>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</si>
  <si>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</si>
  <si>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</si>
  <si>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</si>
  <si>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</si>
  <si>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</si>
  <si>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</si>
  <si>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</si>
  <si>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</si>
  <si>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</si>
  <si>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</si>
  <si>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</si>
  <si>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</si>
  <si>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</si>
  <si>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</si>
  <si>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</si>
  <si>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</si>
  <si>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</si>
  <si>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</si>
  <si>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</si>
  <si>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</si>
  <si>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</si>
  <si>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</si>
  <si>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</si>
  <si>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</si>
  <si>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</si>
  <si>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</si>
  <si>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</si>
  <si>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</si>
  <si>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</si>
  <si>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</si>
  <si>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</si>
  <si>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</si>
  <si>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</si>
  <si>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</si>
  <si>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</si>
  <si>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</si>
  <si>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</si>
  <si>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</si>
  <si>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</si>
  <si>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</si>
  <si>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</si>
  <si>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</si>
  <si>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</si>
  <si>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</si>
  <si>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</si>
  <si>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</si>
  <si>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</si>
  <si>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</si>
  <si>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</si>
  <si>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</si>
  <si>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</si>
  <si>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</si>
  <si>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</si>
  <si>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</si>
  <si>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</si>
  <si>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</si>
  <si>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</si>
  <si>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</si>
  <si>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</si>
  <si>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</si>
  <si>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</si>
  <si>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</si>
  <si>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</si>
  <si>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</si>
  <si>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</si>
  <si>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</si>
  <si>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</si>
  <si>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</si>
  <si>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</si>
  <si>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</si>
  <si>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</si>
  <si>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</si>
  <si>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</si>
  <si>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</si>
  <si>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</si>
  <si>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</si>
  <si>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</si>
  <si>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</si>
  <si>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</si>
  <si>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</si>
  <si>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</si>
  <si>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</si>
  <si>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</si>
  <si>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</si>
  <si>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</si>
  <si>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</si>
  <si>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</si>
  <si>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</si>
  <si>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</si>
  <si>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</si>
  <si>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</si>
  <si>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</si>
  <si>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</si>
  <si>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</si>
  <si>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</si>
  <si>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</si>
  <si>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</si>
  <si>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</si>
  <si>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</si>
  <si>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</si>
  <si>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</si>
  <si>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</si>
  <si>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</si>
  <si>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</si>
  <si>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</si>
  <si>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</si>
  <si>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</si>
  <si>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</si>
  <si>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</si>
  <si>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</si>
  <si>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</si>
  <si>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</si>
  <si>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</si>
  <si>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</si>
  <si>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</si>
  <si>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</si>
  <si>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</si>
  <si>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</si>
  <si>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</si>
  <si>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</si>
  <si>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</si>
  <si>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</si>
  <si>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</si>
  <si>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</si>
  <si>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</si>
  <si>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</si>
  <si>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</si>
  <si>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</si>
  <si>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</si>
  <si>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</si>
  <si>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</si>
  <si>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</si>
  <si>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</si>
  <si>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</si>
  <si>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</si>
  <si>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</si>
  <si>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</si>
  <si>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</si>
  <si>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</si>
  <si>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</si>
  <si>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</si>
  <si>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</si>
  <si>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</si>
  <si>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</si>
  <si>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</si>
  <si>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</si>
  <si>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</si>
  <si>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</si>
  <si>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</si>
  <si>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</si>
  <si>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</si>
  <si>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</si>
  <si>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</si>
  <si>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</si>
  <si>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</si>
  <si>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</si>
  <si>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</si>
  <si>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</si>
  <si>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</si>
  <si>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</si>
  <si>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</si>
  <si>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</si>
  <si>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</si>
  <si>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</si>
  <si>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</si>
  <si>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</si>
  <si>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</si>
  <si>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</si>
  <si>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</si>
  <si>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</si>
  <si>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</si>
  <si>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</si>
  <si>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</si>
  <si>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</si>
  <si>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</si>
  <si>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</si>
  <si>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</si>
  <si>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</si>
  <si>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</si>
  <si>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</si>
  <si>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</si>
  <si>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</si>
  <si>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</si>
  <si>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</si>
  <si>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</si>
  <si>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</si>
  <si>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</si>
  <si>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</si>
  <si>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</si>
  <si>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</si>
  <si>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</si>
  <si>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</si>
  <si>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</si>
  <si>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</si>
  <si>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</si>
  <si>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</si>
  <si>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</si>
  <si>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</si>
  <si>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</si>
  <si>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</si>
  <si>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</si>
  <si>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</si>
  <si>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</si>
  <si>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</si>
  <si>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</si>
  <si>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</si>
  <si>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</si>
  <si>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</si>
  <si>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</si>
  <si>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</si>
  <si>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</si>
  <si>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</si>
  <si>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</si>
  <si>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</si>
  <si>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</si>
  <si>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</si>
  <si>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</si>
  <si>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</si>
  <si>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</si>
  <si>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</si>
  <si>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</si>
  <si>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</si>
  <si>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</si>
  <si>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</si>
  <si>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</si>
  <si>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</si>
  <si>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</si>
  <si>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</si>
  <si>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</si>
  <si>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</si>
  <si>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</si>
  <si>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</si>
  <si>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</si>
  <si>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</si>
  <si>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</si>
  <si>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</si>
  <si>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</si>
  <si>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</si>
  <si>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</si>
  <si>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</si>
  <si>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</si>
  <si>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</si>
  <si>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</si>
  <si>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</si>
  <si>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</si>
  <si>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</si>
  <si>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</si>
  <si>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</si>
  <si>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</si>
  <si>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</si>
  <si>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</si>
  <si>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</si>
  <si>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</si>
  <si>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</si>
  <si>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</si>
  <si>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</si>
  <si>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</si>
  <si>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</si>
  <si>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</si>
  <si>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</si>
  <si>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</si>
  <si>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</si>
  <si>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</si>
  <si>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</si>
  <si>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</si>
  <si>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</si>
  <si>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</si>
  <si>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</si>
  <si>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</si>
  <si>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</si>
  <si>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</si>
  <si>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</si>
  <si>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</si>
  <si>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</si>
  <si>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</si>
  <si>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</si>
  <si>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</si>
  <si>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</si>
  <si>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</si>
  <si>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</si>
  <si>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</si>
  <si>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</si>
  <si>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</si>
  <si>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</si>
  <si>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</si>
  <si>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</si>
  <si>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</si>
  <si>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</si>
  <si>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</si>
  <si>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</si>
  <si>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</si>
  <si>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</si>
  <si>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</si>
  <si>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</si>
  <si>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</si>
  <si>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</si>
  <si>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</si>
  <si>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</si>
  <si>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</si>
  <si>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</si>
  <si>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</si>
  <si>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</si>
  <si>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</si>
  <si>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</si>
  <si>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</si>
  <si>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</si>
  <si>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</si>
  <si>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</si>
  <si>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</si>
  <si>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</si>
  <si>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</si>
  <si>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</si>
  <si>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</si>
  <si>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</si>
  <si>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</si>
  <si>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</si>
  <si>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</si>
  <si>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</si>
  <si>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</si>
  <si>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</si>
  <si>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</si>
  <si>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</si>
  <si>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</si>
  <si>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</si>
  <si>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</si>
  <si>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</si>
  <si>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</si>
  <si>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</si>
  <si>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</si>
  <si>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</si>
  <si>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</si>
  <si>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</si>
  <si>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</si>
  <si>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</si>
  <si>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</si>
  <si>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</si>
  <si>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</si>
  <si>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</si>
  <si>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</si>
  <si>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</si>
  <si>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</si>
  <si>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</si>
  <si>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</si>
  <si>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</si>
  <si>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</si>
  <si>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</si>
  <si>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</si>
  <si>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</si>
  <si>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</si>
  <si>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</si>
  <si>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</si>
  <si>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</si>
  <si>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</si>
  <si>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</si>
  <si>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</si>
  <si>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</si>
  <si>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</si>
  <si>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</si>
  <si>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</si>
  <si>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</si>
  <si>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</si>
  <si>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</si>
  <si>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</si>
  <si>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</si>
  <si>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</si>
  <si>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</si>
  <si>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</si>
  <si>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</si>
  <si>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</si>
  <si>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</si>
  <si>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</si>
  <si>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</si>
  <si>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</si>
  <si>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</si>
  <si>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</si>
  <si>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</si>
  <si>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</si>
  <si>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</si>
  <si>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</si>
  <si>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</si>
  <si>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</si>
  <si>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</si>
  <si>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</si>
  <si>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</si>
  <si>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</si>
  <si>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</si>
  <si>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</si>
  <si>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</si>
  <si>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</si>
  <si>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</si>
  <si>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</si>
  <si>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</si>
  <si>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</si>
  <si>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</si>
  <si>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</si>
  <si>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</si>
  <si>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</si>
  <si>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</si>
  <si>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</si>
  <si>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</si>
  <si>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</si>
  <si>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</si>
  <si>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</si>
  <si>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</si>
  <si>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</si>
  <si>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</si>
  <si>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</si>
  <si>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</si>
  <si>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</si>
  <si>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</si>
  <si>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</si>
  <si>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</si>
  <si>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</si>
  <si>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</si>
  <si>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</si>
  <si>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</si>
  <si>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</si>
  <si>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</si>
  <si>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</si>
  <si>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</si>
  <si>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</si>
  <si>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</si>
  <si>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</si>
  <si>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</si>
  <si>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</si>
  <si>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</si>
  <si>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</si>
  <si>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</si>
  <si>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</si>
  <si>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</si>
  <si>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</si>
  <si>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</si>
  <si>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</si>
  <si>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</si>
  <si>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</si>
  <si>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</si>
  <si>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</si>
  <si>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</si>
  <si>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</si>
  <si>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</si>
  <si>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</si>
  <si>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</si>
  <si>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</si>
  <si>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</si>
  <si>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</si>
  <si>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</si>
  <si>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</si>
  <si>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</si>
  <si>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</si>
  <si>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</si>
  <si>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</si>
  <si>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</si>
  <si>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</si>
  <si>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</si>
  <si>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</si>
  <si>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</si>
  <si>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</si>
  <si>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</si>
  <si>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</si>
  <si>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</si>
  <si>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</si>
  <si>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</si>
  <si>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</si>
  <si>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</si>
  <si>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</si>
  <si>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</si>
  <si>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</si>
  <si>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</si>
  <si>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</si>
  <si>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</si>
  <si>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</si>
  <si>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</si>
  <si>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</si>
  <si>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</si>
  <si>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</si>
  <si>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</si>
  <si>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</si>
  <si>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</si>
  <si>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</si>
  <si>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</si>
  <si>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</si>
  <si>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</si>
  <si>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</si>
  <si>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</si>
  <si>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</si>
  <si>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</si>
  <si>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</si>
  <si>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</si>
  <si>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</si>
  <si>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</si>
  <si>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</si>
  <si>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</si>
  <si>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</si>
  <si>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</si>
  <si>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</si>
  <si>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</si>
  <si>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</si>
  <si>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</si>
  <si>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</si>
  <si>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</si>
  <si>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</si>
  <si>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</si>
  <si>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</si>
  <si>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</si>
  <si>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</si>
  <si>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</si>
  <si>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</si>
  <si>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</si>
  <si>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Escribe jugador</t>
  </si>
  <si>
    <t xml:space="preserve">Golden boy </t>
  </si>
  <si>
    <t>Equipo Revelacion</t>
  </si>
  <si>
    <t>Equipo Decepcion</t>
  </si>
  <si>
    <t>Maximo Asistidor</t>
  </si>
  <si>
    <t>Andres Velasquezs</t>
  </si>
  <si>
    <t xml:space="preserve">naiden </t>
  </si>
  <si>
    <t>naiden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</si>
</sst>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1522</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48" zoomScaleNormal="100" workbookViewId="0">
      <selection activeCell="AB160" sqref="AB160"/>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0" t="str">
        <f>Idiomas!D8</f>
        <v>XXIII Mundial USA/MEX/CAN 2026</v>
      </c>
      <c r="X1" s="680"/>
      <c r="Y1" s="680"/>
      <c r="Z1" s="680"/>
      <c r="AA1" s="680"/>
      <c r="AB1" s="680"/>
      <c r="AC1" s="680"/>
      <c r="AD1" s="680"/>
      <c r="AE1" s="680"/>
      <c r="AF1" s="680"/>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P.1 (2)</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76" t="s">
        <v>0</v>
      </c>
      <c r="X4" s="21">
        <f ca="1">Horarios!C4</f>
        <v>46184.625</v>
      </c>
      <c r="Y4" s="22">
        <f ca="1">Horarios!C4</f>
        <v>46184.625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Local</v>
      </c>
      <c r="E5" s="13" t="str">
        <f t="shared" ca="1" si="1"/>
        <v>P.1 (2)</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76"/>
      <c r="X5" s="21">
        <f ca="1">Horarios!C5</f>
        <v>46184.916666666664</v>
      </c>
      <c r="Y5" s="22">
        <f ca="1">Horarios!C5</f>
        <v>46184.916666666664</v>
      </c>
      <c r="Z5" s="23" t="str">
        <f>$Z$4</f>
        <v>J1</v>
      </c>
      <c r="AA5" s="24" t="str">
        <f ca="1">A7</f>
        <v>Corea del Sur</v>
      </c>
      <c r="AB5" s="46" t="e" cm="1" vm="3">
        <f t="array" aca="1" ref="AB5" ca="1">Ver_flag_local</f>
        <v>#VALUE!</v>
      </c>
      <c r="AC5" s="47">
        <v>2</v>
      </c>
      <c r="AD5" s="48">
        <v>0</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Empate</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76"/>
      <c r="X6" s="21">
        <f ca="1">Horarios!C6</f>
        <v>46191.5</v>
      </c>
      <c r="Y6" s="22">
        <f ca="1">Horarios!C6</f>
        <v>46191.5</v>
      </c>
      <c r="Z6" s="23" t="str">
        <f>Idiomas!D62</f>
        <v>J2</v>
      </c>
      <c r="AA6" s="24" t="str">
        <f ca="1">A8</f>
        <v>República Checa</v>
      </c>
      <c r="AB6" s="46" t="e" cm="1" vm="4">
        <f t="array" aca="1" ref="AB6" ca="1">Ver_flag_local</f>
        <v>#VALUE!</v>
      </c>
      <c r="AC6" s="47">
        <v>1</v>
      </c>
      <c r="AD6" s="48">
        <v>1</v>
      </c>
      <c r="AE6" s="582" t="e" cm="1" vm="2">
        <f t="array" aca="1" ref="AE6" ca="1">Ver_flag_visit</f>
        <v>#VALUE!</v>
      </c>
      <c r="AF6" s="29" t="str">
        <f ca="1">A6</f>
        <v>Sudáfrica</v>
      </c>
      <c r="AG6" s="311">
        <f t="shared" si="13"/>
        <v>1</v>
      </c>
      <c r="AH6" s="188">
        <v>25</v>
      </c>
      <c r="AI6" s="177" t="str">
        <f>AJ6&amp;$B$4</f>
        <v>1A</v>
      </c>
      <c r="AJ6" s="37">
        <v>1</v>
      </c>
      <c r="AK6" s="584" t="e" cm="1" vm="3">
        <f t="array" aca="1" ref="AK6" ca="1">Ver_flag_visit</f>
        <v>#VALUE!</v>
      </c>
      <c r="AL6" s="31" t="str">
        <f ca="1">IFERROR(INDEX($BD$6:$BD$53,MATCH(AI6,$BN$6:$BN$53,0)),"")</f>
        <v>Corea del Sur</v>
      </c>
      <c r="AM6" s="32">
        <f t="shared" ref="AM6:AT9" ca="1" si="15">INDEX($BE$6:$BN$53,MATCH($AL6,$BD$6:$BD$53,0),MATCH(AM$5,$BE$5:$BN$5,0))</f>
        <v>6</v>
      </c>
      <c r="AN6" s="33">
        <f t="shared" ca="1" si="15"/>
        <v>3</v>
      </c>
      <c r="AO6" s="33">
        <f t="shared" ca="1" si="15"/>
        <v>2</v>
      </c>
      <c r="AP6" s="33">
        <f t="shared" ca="1" si="15"/>
        <v>0</v>
      </c>
      <c r="AQ6" s="33">
        <f t="shared" ca="1" si="15"/>
        <v>1</v>
      </c>
      <c r="AR6" s="33">
        <f t="shared" ca="1" si="15"/>
        <v>4</v>
      </c>
      <c r="AS6" s="33">
        <f t="shared" ca="1" si="15"/>
        <v>1</v>
      </c>
      <c r="AT6" s="38">
        <f t="shared" ca="1" si="15"/>
        <v>3</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6</v>
      </c>
      <c r="BF6" s="13">
        <f ca="1">+BG6+BH6+BI6</f>
        <v>3</v>
      </c>
      <c r="BG6" s="13">
        <f t="shared" ref="BG6:BG53" ca="1" si="17">+COUNTIFS(FGLocal,BD6,Ganador,"Local")+COUNTIFS(FGVisitante,BD6,Ganador,"Visitante")</f>
        <v>2</v>
      </c>
      <c r="BH6" s="13">
        <f t="shared" ref="BH6:BH53" ca="1" si="18">+COUNTIFS(FGLocal,BD6,Ganador,"Empate")+COUNTIFS(FGVisitante,BD6,Ganador,"Empate")</f>
        <v>0</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4</v>
      </c>
      <c r="BK6" s="13">
        <f t="shared" ref="BK6:BK53" ca="1" si="21">+SUMIFS(FG_GolesLocal,FGVisitante,BD6,Ganador,"&lt;&gt;"&amp;"Pendiente",FG_GolesLocal,"&lt;&gt;"&amp;"",FG_GolesVisitante,"&lt;&gt;"&amp;"")+SUMIFS(FG_GolesVisitante,FGLocal,BD6,Ganador,"&lt;&gt;"&amp;"Pendiente",FG_GolesLocal,"&lt;&gt;"&amp;"",FG_GolesVisitante,"&lt;&gt;"&amp;"")</f>
        <v>4</v>
      </c>
      <c r="BL6" s="13">
        <f ca="1">+BJ6-BK6</f>
        <v>0</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6</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P.1 (2)</v>
      </c>
      <c r="BU6" s="13">
        <f t="shared" ref="BU6:BU53" ca="1" si="24">IF($BT6="-","-",COUNTIFS(FGLocal,$BD6,Ganador,"Local",Part1Empate1V,$BT6)+COUNTIFS(FGVisitante,$BD6,Ganador,"Visitante",Part1Empate1L,$BT6))</f>
        <v>0</v>
      </c>
      <c r="BV6" s="13">
        <f t="shared" ref="BV6:BV53" ca="1" si="25">IF($BT6="-","-",COUNTIFS(FGLocal,$BD6,Ganador,"Empate",Part1Empate1V,$BT6)+COUNTIFS(FGVisitante,$BD6,Ganador,"Empate",Part1Empate1L,$BT6))</f>
        <v>0</v>
      </c>
      <c r="BW6" s="13">
        <f t="shared" ref="BW6:BW53" ca="1" si="26">IF($BT6="-","-",COUNTIFS(FGLocal,$BD6,Ganador,"Visitante",Part1Empate1V,$BT6)+COUNTIFS(FGVisitante,$BD6,Ganador,"Local",Part1Empate1L,$BT6))</f>
        <v>1</v>
      </c>
      <c r="BX6" s="13">
        <f ca="1">IF($BT6="-","-",BU6*3+BV6)</f>
        <v>0</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05" customHeight="1">
      <c r="A7" s="13" t="str">
        <f ca="1">+Equipos!B4</f>
        <v>Corea del Sur</v>
      </c>
      <c r="B7" s="13"/>
      <c r="C7" s="13"/>
      <c r="D7" s="13" t="str">
        <f t="shared" si="0"/>
        <v>Visitante</v>
      </c>
      <c r="E7" s="13" t="str">
        <f t="shared" ca="1" si="1"/>
        <v>P.1 (2)</v>
      </c>
      <c r="F7" s="13" t="str">
        <f t="shared" ca="1" si="2"/>
        <v>P.1 (2)</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76"/>
      <c r="X7" s="21">
        <f ca="1">Horarios!C7</f>
        <v>46191.875</v>
      </c>
      <c r="Y7" s="22">
        <f ca="1">Horarios!C7</f>
        <v>46191.875</v>
      </c>
      <c r="Z7" s="23" t="str">
        <f>$Z$6</f>
        <v>J2</v>
      </c>
      <c r="AA7" s="24" t="str">
        <f ca="1">A5</f>
        <v>México</v>
      </c>
      <c r="AB7" s="46" t="e" cm="1" vm="1">
        <f t="array" aca="1" ref="AB7" ca="1">Ver_flag_local</f>
        <v>#VALUE!</v>
      </c>
      <c r="AC7" s="47">
        <v>0</v>
      </c>
      <c r="AD7" s="48">
        <v>2</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6</v>
      </c>
      <c r="AN7" s="36">
        <f t="shared" ca="1" si="15"/>
        <v>3</v>
      </c>
      <c r="AO7" s="36">
        <f t="shared" ca="1" si="15"/>
        <v>2</v>
      </c>
      <c r="AP7" s="36">
        <f t="shared" ca="1" si="15"/>
        <v>0</v>
      </c>
      <c r="AQ7" s="36">
        <f t="shared" ca="1" si="15"/>
        <v>1</v>
      </c>
      <c r="AR7" s="36">
        <f t="shared" ca="1" si="15"/>
        <v>4</v>
      </c>
      <c r="AS7" s="36">
        <f t="shared" ca="1" si="15"/>
        <v>4</v>
      </c>
      <c r="AT7" s="40">
        <f t="shared" ca="1" si="15"/>
        <v>0</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4</v>
      </c>
      <c r="BF7" s="13">
        <f t="shared" ref="BF7:BF53" ca="1" si="41">+BG7+BH7+BI7</f>
        <v>3</v>
      </c>
      <c r="BG7" s="13">
        <f t="shared" ca="1" si="17"/>
        <v>1</v>
      </c>
      <c r="BH7" s="13">
        <f t="shared" ca="1" si="18"/>
        <v>1</v>
      </c>
      <c r="BI7" s="13">
        <f t="shared" ca="1" si="19"/>
        <v>1</v>
      </c>
      <c r="BJ7" s="13">
        <f t="shared" ca="1" si="20"/>
        <v>3</v>
      </c>
      <c r="BK7" s="13">
        <f t="shared" ca="1" si="21"/>
        <v>3</v>
      </c>
      <c r="BL7" s="13">
        <f t="shared" ref="BL7:BL53" ca="1" si="42">+BJ7-BK7</f>
        <v>0</v>
      </c>
      <c r="BM7" s="13" t="str">
        <f t="shared" ca="1" si="22"/>
        <v>3A</v>
      </c>
      <c r="BN7" s="13" t="str">
        <f t="shared" ca="1" si="23"/>
        <v>3A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4</v>
      </c>
      <c r="BS7" s="13">
        <f ca="1">BP7+COUNTIFS($BQ$6:$BQ$53,BQ7,$BR$6:BR$53,"&gt;"&amp;BR7,$BC$6:$BC$53,INDEX(T_Equipos[Grupo],MATCH(BD7,T_Equipos[NombreEquipo],0)))</f>
        <v>3</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3</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3</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3</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3</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3</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3</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3</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3</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3</v>
      </c>
      <c r="DE7" s="13"/>
      <c r="DF7" s="13">
        <f t="shared" ref="DF7:DF9" ca="1" si="45">IF(OR(INDEX($AW$6:$AW$97,MATCH($BD7,$AV$6:$AV$97,0))="",DB7="-"),DD7,INDEX($AW$6:$AW$97,MATCH($BD7,$AV$6:$AV$97,0))+DD7/1000)</f>
        <v>3</v>
      </c>
      <c r="DG7" s="13" t="str">
        <f ca="1">IF(DB7="-","-",COUNTIFS(DF$6:DF$53,"&lt;"&amp;DF7,$BC$6:$BC$53,INDEX(T_Equipos[Grupo],MATCH(BD7,T_Equipos[NombreEquipo],0))))</f>
        <v>-</v>
      </c>
      <c r="DH7" s="13">
        <f ca="1">DA7+COUNTIFS(DB$6:DB$53,DB7,DG$6:DG$53,"&lt;"&amp;DG7,$BC$6:$BC$53,INDEX(T_Equipos[Grupo],MATCH(BD7,T_Equipos[NombreEquipo],0)))</f>
        <v>3</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05" customHeight="1">
      <c r="A8" s="13" t="str">
        <f ca="1">+Equipos!B5</f>
        <v>República Checa</v>
      </c>
      <c r="B8" s="13"/>
      <c r="C8" s="13"/>
      <c r="D8" s="13" t="str">
        <f t="shared" si="0"/>
        <v>Visitante</v>
      </c>
      <c r="E8" s="13" t="str">
        <f t="shared" ca="1" si="1"/>
        <v>-</v>
      </c>
      <c r="F8" s="13" t="str">
        <f t="shared" ca="1" si="2"/>
        <v>P.1 (2)</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76"/>
      <c r="X8" s="21">
        <f ca="1">Horarios!C8</f>
        <v>46197.875</v>
      </c>
      <c r="Y8" s="22">
        <f ca="1">Horarios!C8</f>
        <v>46197.875</v>
      </c>
      <c r="Z8" s="23" t="str">
        <f>Idiomas!D63</f>
        <v>J3</v>
      </c>
      <c r="AA8" s="24" t="str">
        <f ca="1">A8</f>
        <v>República Checa</v>
      </c>
      <c r="AB8" s="46" t="e" cm="1" vm="4">
        <f t="array" aca="1" ref="AB8" ca="1">Ver_flag_local</f>
        <v>#VALUE!</v>
      </c>
      <c r="AC8" s="47">
        <v>1</v>
      </c>
      <c r="AD8" s="48">
        <v>2</v>
      </c>
      <c r="AE8" s="582" t="e" cm="1" vm="1">
        <f t="array" aca="1" ref="AE8" ca="1">Ver_flag_visit</f>
        <v>#VALUE!</v>
      </c>
      <c r="AF8" s="29" t="str">
        <f ca="1">A5</f>
        <v>México</v>
      </c>
      <c r="AG8" s="311">
        <f t="shared" si="13"/>
        <v>1</v>
      </c>
      <c r="AH8" s="188">
        <v>53</v>
      </c>
      <c r="AI8" s="177" t="str">
        <f>AJ8&amp;$B$4</f>
        <v>3A</v>
      </c>
      <c r="AJ8" s="39">
        <v>3</v>
      </c>
      <c r="AK8" s="585" t="e" cm="1" vm="2">
        <f t="array" aca="1" ref="AK8" ca="1">Ver_flag_visit</f>
        <v>#VALUE!</v>
      </c>
      <c r="AL8" s="34" t="str">
        <f ca="1">IFERROR(INDEX($BD$6:$BD$53,MATCH(AI8,$BN$6:$BN$53,0)),"")</f>
        <v>Sudáfrica</v>
      </c>
      <c r="AM8" s="35">
        <f t="shared" ca="1" si="15"/>
        <v>4</v>
      </c>
      <c r="AN8" s="36">
        <f t="shared" ca="1" si="15"/>
        <v>3</v>
      </c>
      <c r="AO8" s="36">
        <f t="shared" ca="1" si="15"/>
        <v>1</v>
      </c>
      <c r="AP8" s="36">
        <f t="shared" ca="1" si="15"/>
        <v>1</v>
      </c>
      <c r="AQ8" s="36">
        <f t="shared" ca="1" si="15"/>
        <v>1</v>
      </c>
      <c r="AR8" s="36">
        <f t="shared" ca="1" si="15"/>
        <v>3</v>
      </c>
      <c r="AS8" s="36">
        <f t="shared" ca="1" si="15"/>
        <v>3</v>
      </c>
      <c r="AT8" s="40">
        <f t="shared" ca="1" si="15"/>
        <v>0</v>
      </c>
      <c r="AU8" s="318">
        <f ca="1">INDEX($DL$6:$DL$53,MATCH(AI8,$DP$6:$DP$53,0))</f>
        <v>1</v>
      </c>
      <c r="AV8" s="178" t="str">
        <f ca="1">INDEX($BD$6:$BD$53,MATCH(AI8,$BM$6:$BM$53,0))</f>
        <v>Sudáfrica</v>
      </c>
      <c r="AW8" s="202"/>
      <c r="AX8" s="167"/>
      <c r="AY8" s="193" t="str">
        <f ca="1">+A7</f>
        <v>Corea del Sur</v>
      </c>
      <c r="AZ8" s="194"/>
      <c r="BC8" s="13" t="str">
        <f ca="1">+INDEX(T_Equipos[Grupo],MATCH(WORLDCUP!BD8,T_Equipos[NombreEquipo],0))</f>
        <v>A</v>
      </c>
      <c r="BD8" s="13" t="str">
        <f ca="1">+Equipos!B4</f>
        <v>Corea del Sur</v>
      </c>
      <c r="BE8" s="13">
        <f t="shared" ca="1" si="16"/>
        <v>6</v>
      </c>
      <c r="BF8" s="13">
        <f t="shared" ca="1" si="41"/>
        <v>3</v>
      </c>
      <c r="BG8" s="13">
        <f t="shared" ca="1" si="17"/>
        <v>2</v>
      </c>
      <c r="BH8" s="13">
        <f t="shared" ca="1" si="18"/>
        <v>0</v>
      </c>
      <c r="BI8" s="13">
        <f t="shared" ca="1" si="19"/>
        <v>1</v>
      </c>
      <c r="BJ8" s="13">
        <f t="shared" ca="1" si="20"/>
        <v>4</v>
      </c>
      <c r="BK8" s="13">
        <f t="shared" ca="1" si="21"/>
        <v>1</v>
      </c>
      <c r="BL8" s="13">
        <f t="shared" ca="1" si="42"/>
        <v>3</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6</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P.1 (2)</v>
      </c>
      <c r="BU8" s="13">
        <f t="shared" ca="1" si="24"/>
        <v>1</v>
      </c>
      <c r="BV8" s="13">
        <f t="shared" ca="1" si="25"/>
        <v>0</v>
      </c>
      <c r="BW8" s="13">
        <f t="shared" ca="1" si="26"/>
        <v>0</v>
      </c>
      <c r="BX8" s="13">
        <f ca="1">IF($BT8="-","-",BU8*3+BV8)</f>
        <v>3</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Sudáfrica</v>
      </c>
    </row>
    <row r="9" spans="1:121" ht="16.05" customHeight="1" thickBot="1">
      <c r="A9" s="13"/>
      <c r="B9" s="13"/>
      <c r="C9" s="13"/>
      <c r="D9" s="13" t="str">
        <f t="shared" si="0"/>
        <v>Local</v>
      </c>
      <c r="E9" s="13" t="str">
        <f t="shared" ca="1" si="1"/>
        <v>-</v>
      </c>
      <c r="F9" s="13" t="str">
        <f t="shared" ca="1" si="2"/>
        <v>P.1 (2)</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7"/>
      <c r="X9" s="25">
        <f ca="1">Horarios!C9</f>
        <v>46197.875</v>
      </c>
      <c r="Y9" s="26">
        <f ca="1">Horarios!C9</f>
        <v>46197.875</v>
      </c>
      <c r="Z9" s="27" t="str">
        <f>$Z$8</f>
        <v>J3</v>
      </c>
      <c r="AA9" s="28" t="str">
        <f ca="1">A6</f>
        <v>Sudáfrica</v>
      </c>
      <c r="AB9" s="49" t="e" cm="1" vm="2">
        <f t="array" aca="1" ref="AB9" ca="1">Ver_flag_local</f>
        <v>#VALUE!</v>
      </c>
      <c r="AC9" s="50">
        <v>1</v>
      </c>
      <c r="AD9" s="51">
        <v>0</v>
      </c>
      <c r="AE9" s="583" t="e" cm="1" vm="3">
        <f t="array" aca="1" ref="AE9" ca="1">Ver_flag_visit</f>
        <v>#VALUE!</v>
      </c>
      <c r="AF9" s="30" t="str">
        <f ca="1">A7</f>
        <v>Corea del Sur</v>
      </c>
      <c r="AG9" s="311">
        <f t="shared" si="13"/>
        <v>1</v>
      </c>
      <c r="AH9" s="188">
        <v>54</v>
      </c>
      <c r="AI9" s="177" t="str">
        <f>AJ9&amp;$B$4</f>
        <v>4A</v>
      </c>
      <c r="AJ9" s="41">
        <v>4</v>
      </c>
      <c r="AK9" s="586" t="e" cm="1" vm="4">
        <f t="array" aca="1" ref="AK9" ca="1">Ver_flag_visit</f>
        <v>#VALUE!</v>
      </c>
      <c r="AL9" s="42" t="str">
        <f ca="1">IFERROR(INDEX($BD$6:$BD$53,MATCH(AI9,$BN$6:$BN$53,0)),"")</f>
        <v>República Checa</v>
      </c>
      <c r="AM9" s="43">
        <f t="shared" ca="1" si="15"/>
        <v>1</v>
      </c>
      <c r="AN9" s="44">
        <f t="shared" ca="1" si="15"/>
        <v>3</v>
      </c>
      <c r="AO9" s="44">
        <f t="shared" ca="1" si="15"/>
        <v>0</v>
      </c>
      <c r="AP9" s="44">
        <f t="shared" ca="1" si="15"/>
        <v>1</v>
      </c>
      <c r="AQ9" s="44">
        <f t="shared" ca="1" si="15"/>
        <v>2</v>
      </c>
      <c r="AR9" s="44">
        <f t="shared" ca="1" si="15"/>
        <v>2</v>
      </c>
      <c r="AS9" s="44">
        <f t="shared" ca="1" si="15"/>
        <v>5</v>
      </c>
      <c r="AT9" s="45">
        <f t="shared" ca="1" si="15"/>
        <v>-3</v>
      </c>
      <c r="AU9" s="318">
        <f ca="1">INDEX($DL$6:$DL$53,MATCH(AI9,$DP$6:$DP$53,0))</f>
        <v>1</v>
      </c>
      <c r="AV9" s="178" t="str">
        <f ca="1">INDEX($BD$6:$BD$53,MATCH(AI9,$BM$6:$BM$53,0))</f>
        <v>República Checa</v>
      </c>
      <c r="AW9" s="202"/>
      <c r="AX9" s="167"/>
      <c r="AY9" s="197" t="str">
        <f ca="1">+A8</f>
        <v>República Checa</v>
      </c>
      <c r="AZ9" s="198"/>
      <c r="BC9" s="13" t="str">
        <f ca="1">+INDEX(T_Equipos[Grupo],MATCH(WORLDCUP!BD9,T_Equipos[NombreEquipo],0))</f>
        <v>A</v>
      </c>
      <c r="BD9" s="13" t="str">
        <f ca="1">+Equipos!B5</f>
        <v>República Checa</v>
      </c>
      <c r="BE9" s="13">
        <f t="shared" ca="1" si="16"/>
        <v>1</v>
      </c>
      <c r="BF9" s="13">
        <f t="shared" ca="1" si="41"/>
        <v>3</v>
      </c>
      <c r="BG9" s="13">
        <f t="shared" ca="1" si="17"/>
        <v>0</v>
      </c>
      <c r="BH9" s="13">
        <f t="shared" ca="1" si="18"/>
        <v>1</v>
      </c>
      <c r="BI9" s="13">
        <f t="shared" ca="1" si="19"/>
        <v>2</v>
      </c>
      <c r="BJ9" s="13">
        <f t="shared" ca="1" si="20"/>
        <v>2</v>
      </c>
      <c r="BK9" s="13">
        <f t="shared" ca="1" si="21"/>
        <v>5</v>
      </c>
      <c r="BL9" s="13">
        <f t="shared" ca="1" si="42"/>
        <v>-3</v>
      </c>
      <c r="BM9" s="13" t="str">
        <f t="shared" ca="1" si="22"/>
        <v>4A</v>
      </c>
      <c r="BN9" s="13" t="str">
        <f t="shared" ca="1" si="23"/>
        <v>4A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1</v>
      </c>
      <c r="BS9" s="13">
        <f ca="1">BP9+COUNTIFS($BQ$6:$BQ$53,BQ9,$BR$6:BR$53,"&gt;"&amp;BR9,$BC$6:$BC$53,INDEX(T_Equipos[Grupo],MATCH(BD9,T_Equipos[NombreEquipo],0)))</f>
        <v>4</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4</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4</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4</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4</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4</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4</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4</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4</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4</v>
      </c>
      <c r="DE9" s="13"/>
      <c r="DF9" s="13">
        <f t="shared" ca="1" si="45"/>
        <v>4</v>
      </c>
      <c r="DG9" s="13" t="str">
        <f ca="1">IF(DB9="-","-",COUNTIFS(DF$6:DF$53,"&lt;"&amp;DF9,$BC$6:$BC$53,INDEX(T_Equipos[Grupo],MATCH(BD9,T_Equipos[NombreEquipo],0))))</f>
        <v>-</v>
      </c>
      <c r="DH9" s="13">
        <f ca="1">DA9+COUNTIFS(DB$6:DB$53,DB9,DG$6:DG$53,"&lt;"&amp;DG9,$BC$6:$BC$53,INDEX(T_Equipos[Grupo],MATCH(BD9,T_Equipos[NombreEquipo],0)))</f>
        <v>4</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República Checa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4</v>
      </c>
      <c r="BF10" s="13">
        <f t="shared" ca="1" si="41"/>
        <v>3</v>
      </c>
      <c r="BG10" s="13">
        <f t="shared" ca="1" si="17"/>
        <v>1</v>
      </c>
      <c r="BH10" s="13">
        <f t="shared" ca="1" si="18"/>
        <v>1</v>
      </c>
      <c r="BI10" s="13">
        <f t="shared" ca="1" si="19"/>
        <v>1</v>
      </c>
      <c r="BJ10" s="13">
        <f t="shared" ca="1" si="20"/>
        <v>4</v>
      </c>
      <c r="BK10" s="13">
        <f t="shared" ca="1" si="21"/>
        <v>4</v>
      </c>
      <c r="BL10" s="13">
        <f t="shared" ca="1" si="42"/>
        <v>0</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4</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1</v>
      </c>
      <c r="BF11" s="13">
        <f t="shared" ca="1" si="41"/>
        <v>3</v>
      </c>
      <c r="BG11" s="13">
        <f t="shared" ca="1" si="17"/>
        <v>0</v>
      </c>
      <c r="BH11" s="13">
        <f t="shared" ca="1" si="18"/>
        <v>1</v>
      </c>
      <c r="BI11" s="13">
        <f t="shared" ca="1" si="19"/>
        <v>2</v>
      </c>
      <c r="BJ11" s="13">
        <f t="shared" ca="1" si="20"/>
        <v>2</v>
      </c>
      <c r="BK11" s="13">
        <f t="shared" ca="1" si="21"/>
        <v>6</v>
      </c>
      <c r="BL11" s="13">
        <f t="shared" ca="1" si="42"/>
        <v>-4</v>
      </c>
      <c r="BM11" s="13" t="str">
        <f t="shared" ca="1" si="22"/>
        <v>4B</v>
      </c>
      <c r="BN11" s="13" t="str">
        <f t="shared" ca="1" si="23"/>
        <v>4B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1</v>
      </c>
      <c r="BS11" s="13">
        <f ca="1">BP11+COUNTIFS($BQ$6:$BQ$53,BQ11,$BR$6:BR$53,"&gt;"&amp;BR11,$BC$6:$BC$53,INDEX(T_Equipos[Grupo],MATCH(BD11,T_Equipos[NombreEquipo],0)))</f>
        <v>4</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4</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4</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4</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4</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4</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4</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4</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4</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4</v>
      </c>
      <c r="DE11" s="13"/>
      <c r="DF11" s="13">
        <f t="shared" ca="1" si="52"/>
        <v>4</v>
      </c>
      <c r="DG11" s="13" t="str">
        <f ca="1">IF(DB11="-","-",COUNTIFS(DF$6:DF$53,"&lt;"&amp;DF11,$BC$6:$BC$53,INDEX(T_Equipos[Grupo],MATCH(BD11,T_Equipos[NombreEquipo],0))))</f>
        <v>-</v>
      </c>
      <c r="DH11" s="13">
        <f ca="1">DA11+COUNTIFS(DB$6:DB$53,DB11,DG$6:DG$53,"&lt;"&amp;DG11,$BC$6:$BC$53,INDEX(T_Equipos[Grupo],MATCH(BD11,T_Equipos[NombreEquipo],0)))</f>
        <v>4</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8" t="s">
        <v>1</v>
      </c>
      <c r="X12" s="21">
        <f ca="1">Horarios!C12</f>
        <v>46185.625</v>
      </c>
      <c r="Y12" s="22">
        <f ca="1">Horarios!C12</f>
        <v>46185.625</v>
      </c>
      <c r="Z12" s="23" t="str">
        <f>$Z$4</f>
        <v>J1</v>
      </c>
      <c r="AA12" s="24" t="str">
        <f ca="1">A13</f>
        <v>Canadá</v>
      </c>
      <c r="AB12" s="46" t="e" cm="1" vm="5">
        <f t="array" aca="1" ref="AB12" ca="1">Ver_flag_local</f>
        <v>#VALUE!</v>
      </c>
      <c r="AC12" s="47">
        <v>3</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2</v>
      </c>
      <c r="BF12" s="13">
        <f t="shared" ca="1" si="41"/>
        <v>3</v>
      </c>
      <c r="BG12" s="13">
        <f t="shared" ca="1" si="17"/>
        <v>0</v>
      </c>
      <c r="BH12" s="13">
        <f t="shared" ca="1" si="18"/>
        <v>2</v>
      </c>
      <c r="BI12" s="13">
        <f t="shared" ca="1" si="19"/>
        <v>1</v>
      </c>
      <c r="BJ12" s="13">
        <f t="shared" ca="1" si="20"/>
        <v>3</v>
      </c>
      <c r="BK12" s="13">
        <f t="shared" ca="1" si="21"/>
        <v>4</v>
      </c>
      <c r="BL12" s="13">
        <f t="shared" ca="1" si="42"/>
        <v>-1</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2</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3</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3</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3</v>
      </c>
      <c r="DE12" s="13"/>
      <c r="DF12" s="13">
        <f t="shared" ca="1" si="52"/>
        <v>3</v>
      </c>
      <c r="DG12" s="13" t="str">
        <f ca="1">IF(DB12="-","-",COUNTIFS(DF$6:DF$53,"&lt;"&amp;DF12,$BC$6:$BC$53,INDEX(T_Equipos[Grupo],MATCH(BD12,T_Equipos[NombreEquipo],0))))</f>
        <v>-</v>
      </c>
      <c r="DH12" s="13">
        <f ca="1">DA12+COUNTIFS(DB$6:DB$53,DB12,DG$6:DG$53,"&lt;"&amp;DG12,$BC$6:$BC$53,INDEX(T_Equipos[Grupo],MATCH(BD12,T_Equipos[NombreEquipo],0)))</f>
        <v>3</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Catar</v>
      </c>
    </row>
    <row r="13" spans="1:121" ht="16.05"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8"/>
      <c r="X13" s="21">
        <f ca="1">Horarios!C13</f>
        <v>46186.625</v>
      </c>
      <c r="Y13" s="22">
        <f ca="1">Horarios!C13</f>
        <v>46186.625</v>
      </c>
      <c r="Z13" s="23" t="str">
        <f>$Z$4</f>
        <v>J1</v>
      </c>
      <c r="AA13" s="24" t="str">
        <f ca="1">A15</f>
        <v>Catar</v>
      </c>
      <c r="AB13" s="46" t="e" cm="1" vm="7">
        <f t="array" aca="1" ref="AB13" ca="1">Ver_flag_local</f>
        <v>#VALUE!</v>
      </c>
      <c r="AC13" s="47">
        <v>1</v>
      </c>
      <c r="AD13" s="48">
        <v>2</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6</v>
      </c>
      <c r="BK13" s="13">
        <f t="shared" ca="1" si="21"/>
        <v>1</v>
      </c>
      <c r="BL13" s="13">
        <f t="shared" ca="1" si="42"/>
        <v>5</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Bosnia y Herzegovina</v>
      </c>
    </row>
    <row r="14" spans="1:121" ht="16.05"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8"/>
      <c r="X14" s="21">
        <f ca="1">Horarios!C14</f>
        <v>46191.625</v>
      </c>
      <c r="Y14" s="22">
        <f ca="1">Horarios!C14</f>
        <v>46191.625</v>
      </c>
      <c r="Z14" s="23" t="str">
        <f>$Z$6</f>
        <v>J2</v>
      </c>
      <c r="AA14" s="24" t="str">
        <f ca="1">A16</f>
        <v>Suiza</v>
      </c>
      <c r="AB14" s="46" t="e" cm="1" vm="8">
        <f t="array" aca="1" ref="AB14" ca="1">Ver_flag_local</f>
        <v>#VALUE!</v>
      </c>
      <c r="AC14" s="47">
        <v>2</v>
      </c>
      <c r="AD14" s="48">
        <v>0</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6</v>
      </c>
      <c r="AS14" s="33">
        <f t="shared" ca="1" si="69"/>
        <v>1</v>
      </c>
      <c r="AT14" s="69">
        <f t="shared" ca="1" si="69"/>
        <v>5</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6</v>
      </c>
      <c r="BF14" s="13">
        <f t="shared" ca="1" si="41"/>
        <v>3</v>
      </c>
      <c r="BG14" s="13">
        <f t="shared" ca="1" si="17"/>
        <v>2</v>
      </c>
      <c r="BH14" s="13">
        <f t="shared" ca="1" si="18"/>
        <v>0</v>
      </c>
      <c r="BI14" s="13">
        <f t="shared" ca="1" si="19"/>
        <v>1</v>
      </c>
      <c r="BJ14" s="13">
        <f t="shared" ca="1" si="20"/>
        <v>7</v>
      </c>
      <c r="BK14" s="13">
        <f t="shared" ca="1" si="21"/>
        <v>2</v>
      </c>
      <c r="BL14" s="13">
        <f t="shared" ca="1" si="42"/>
        <v>5</v>
      </c>
      <c r="BM14" s="13" t="str">
        <f t="shared" ca="1" si="22"/>
        <v>2C</v>
      </c>
      <c r="BN14" s="13" t="str">
        <f t="shared" ca="1" si="23"/>
        <v>2C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6</v>
      </c>
      <c r="BS14" s="13">
        <f ca="1">BP14+COUNTIFS($BQ$6:$BQ$53,BQ14,$BR$6:BR$53,"&gt;"&amp;BR14,$BC$6:$BC$53,INDEX(T_Equipos[Grupo],MATCH(BD14,T_Equipos[NombreEquipo],0)))</f>
        <v>2</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2</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2</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2</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2</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2</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2</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2</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2</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2</v>
      </c>
      <c r="DE14" s="13"/>
      <c r="DF14" s="13">
        <f t="shared" ca="1" si="52"/>
        <v>2</v>
      </c>
      <c r="DG14" s="13" t="str">
        <f ca="1">IF(DB14="-","-",COUNTIFS(DF$6:DF$53,"&lt;"&amp;DF14,$BC$6:$BC$53,INDEX(T_Equipos[Grupo],MATCH(BD14,T_Equipos[NombreEquipo],0))))</f>
        <v>-</v>
      </c>
      <c r="DH14" s="13">
        <f ca="1">DA14+COUNTIFS(DB$6:DB$53,DB14,DG$6:DG$53,"&lt;"&amp;DG14,$BC$6:$BC$53,INDEX(T_Equipos[Grupo],MATCH(BD14,T_Equipos[NombreEquipo],0)))</f>
        <v>2</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Marruecos</v>
      </c>
    </row>
    <row r="15" spans="1:121" ht="16.05" customHeight="1">
      <c r="A15" s="13" t="str">
        <f ca="1">+Equipos!B8</f>
        <v>Catar</v>
      </c>
      <c r="B15" s="13"/>
      <c r="C15" s="13"/>
      <c r="D15" s="13" t="str">
        <f t="shared" si="53"/>
        <v>Empate</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8"/>
      <c r="X15" s="21">
        <f ca="1">Horarios!C15</f>
        <v>46191.75</v>
      </c>
      <c r="Y15" s="22">
        <f ca="1">Horarios!C15</f>
        <v>46191.75</v>
      </c>
      <c r="Z15" s="23" t="str">
        <f>$Z$6</f>
        <v>J2</v>
      </c>
      <c r="AA15" s="24" t="str">
        <f ca="1">A13</f>
        <v>Canadá</v>
      </c>
      <c r="AB15" s="46" t="e" cm="1" vm="5">
        <f t="array" aca="1" ref="AB15" ca="1">Ver_flag_local</f>
        <v>#VALUE!</v>
      </c>
      <c r="AC15" s="47">
        <v>1</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4</v>
      </c>
      <c r="AN15" s="36">
        <f t="shared" ca="1" si="69"/>
        <v>3</v>
      </c>
      <c r="AO15" s="36">
        <f t="shared" ca="1" si="69"/>
        <v>1</v>
      </c>
      <c r="AP15" s="36">
        <f t="shared" ca="1" si="69"/>
        <v>1</v>
      </c>
      <c r="AQ15" s="36">
        <f t="shared" ca="1" si="69"/>
        <v>1</v>
      </c>
      <c r="AR15" s="36">
        <f t="shared" ca="1" si="69"/>
        <v>4</v>
      </c>
      <c r="AS15" s="36">
        <f t="shared" ca="1" si="69"/>
        <v>4</v>
      </c>
      <c r="AT15" s="71">
        <f t="shared" ca="1" si="69"/>
        <v>0</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9</v>
      </c>
      <c r="BF15" s="13">
        <f t="shared" ca="1" si="41"/>
        <v>3</v>
      </c>
      <c r="BG15" s="13">
        <f t="shared" ca="1" si="17"/>
        <v>3</v>
      </c>
      <c r="BH15" s="13">
        <f t="shared" ca="1" si="18"/>
        <v>0</v>
      </c>
      <c r="BI15" s="13">
        <f t="shared" ca="1" si="19"/>
        <v>0</v>
      </c>
      <c r="BJ15" s="13">
        <f t="shared" ca="1" si="20"/>
        <v>7</v>
      </c>
      <c r="BK15" s="13">
        <f t="shared" ca="1" si="21"/>
        <v>1</v>
      </c>
      <c r="BL15" s="13">
        <f t="shared" ca="1" si="42"/>
        <v>6</v>
      </c>
      <c r="BM15" s="13" t="str">
        <f t="shared" ca="1" si="22"/>
        <v>1C</v>
      </c>
      <c r="BN15" s="13" t="str">
        <f t="shared" ca="1" si="23"/>
        <v>1C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9</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1</v>
      </c>
      <c r="DE15" s="13"/>
      <c r="DF15" s="13">
        <f t="shared" ca="1" si="52"/>
        <v>1</v>
      </c>
      <c r="DG15" s="13" t="str">
        <f ca="1">IF(DB15="-","-",COUNTIFS(DF$6:DF$53,"&lt;"&amp;DF15,$BC$6:$BC$53,INDEX(T_Equipos[Grupo],MATCH(BD15,T_Equipos[NombreEquipo],0))))</f>
        <v>-</v>
      </c>
      <c r="DH15" s="13">
        <f ca="1">DA15+COUNTIFS(DB$6:DB$53,DB15,DG$6:DG$53,"&lt;"&amp;DG15,$BC$6:$BC$53,INDEX(T_Equipos[Grupo],MATCH(BD15,T_Equipos[NombreEquipo],0)))</f>
        <v>1</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Brasil</v>
      </c>
    </row>
    <row r="16" spans="1:121" ht="16.05"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8"/>
      <c r="X16" s="21">
        <f ca="1">Horarios!C16</f>
        <v>46197.625</v>
      </c>
      <c r="Y16" s="22">
        <f ca="1">Horarios!C16</f>
        <v>46197.625</v>
      </c>
      <c r="Z16" s="23" t="str">
        <f>$Z$8</f>
        <v>J3</v>
      </c>
      <c r="AA16" s="24" t="str">
        <f ca="1">A16</f>
        <v>Suiza</v>
      </c>
      <c r="AB16" s="46" t="e" cm="1" vm="8">
        <f t="array" aca="1" ref="AB16" ca="1">Ver_flag_local</f>
        <v>#VALUE!</v>
      </c>
      <c r="AC16" s="47">
        <v>2</v>
      </c>
      <c r="AD16" s="48">
        <v>0</v>
      </c>
      <c r="AE16" s="582" t="e" cm="1" vm="5">
        <f t="array" aca="1" ref="AE16" ca="1">Ver_flag_visit</f>
        <v>#VALUE!</v>
      </c>
      <c r="AF16" s="29" t="str">
        <f ca="1">A13</f>
        <v>Canadá</v>
      </c>
      <c r="AG16" s="311">
        <f t="shared" si="66"/>
        <v>1</v>
      </c>
      <c r="AH16" s="188">
        <v>51</v>
      </c>
      <c r="AI16" s="177" t="str">
        <f t="shared" si="70"/>
        <v>3B</v>
      </c>
      <c r="AJ16" s="70">
        <v>3</v>
      </c>
      <c r="AK16" s="589" t="e" cm="1" vm="7">
        <f t="array" aca="1" ref="AK16" ca="1">Ver_flag_visit</f>
        <v>#VALUE!</v>
      </c>
      <c r="AL16" s="34" t="str">
        <f ca="1">IFERROR(INDEX($BD$6:$BD$53,MATCH(AI16,$BN$6:$BN$53,0)),"")</f>
        <v>Catar</v>
      </c>
      <c r="AM16" s="35">
        <f t="shared" ca="1" si="69"/>
        <v>2</v>
      </c>
      <c r="AN16" s="36">
        <f t="shared" ca="1" si="69"/>
        <v>3</v>
      </c>
      <c r="AO16" s="36">
        <f t="shared" ca="1" si="69"/>
        <v>0</v>
      </c>
      <c r="AP16" s="36">
        <f t="shared" ca="1" si="69"/>
        <v>2</v>
      </c>
      <c r="AQ16" s="36">
        <f t="shared" ca="1" si="69"/>
        <v>1</v>
      </c>
      <c r="AR16" s="36">
        <f t="shared" ca="1" si="69"/>
        <v>3</v>
      </c>
      <c r="AS16" s="36">
        <f t="shared" ca="1" si="69"/>
        <v>4</v>
      </c>
      <c r="AT16" s="71">
        <f t="shared" ca="1" si="69"/>
        <v>-1</v>
      </c>
      <c r="AU16" s="318">
        <f ca="1">INDEX($DL$6:$DL$53,MATCH(AI16,$DP$6:$DP$53,0))</f>
        <v>1</v>
      </c>
      <c r="AV16" s="178" t="str">
        <f ca="1">INDEX($BD$6:$BD$53,MATCH(AI16,$BM$6:$BM$53,0))</f>
        <v>Catar</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7</v>
      </c>
      <c r="BL16" s="13">
        <f t="shared" ca="1" si="42"/>
        <v>-7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Empate</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9"/>
      <c r="X17" s="25">
        <f ca="1">Horarios!C17</f>
        <v>46197.625</v>
      </c>
      <c r="Y17" s="26">
        <f ca="1">Horarios!C17</f>
        <v>46197.625</v>
      </c>
      <c r="Z17" s="27" t="str">
        <f>$Z$8</f>
        <v>J3</v>
      </c>
      <c r="AA17" s="28" t="str">
        <f ca="1">A14</f>
        <v>Bosnia y Herzegovina</v>
      </c>
      <c r="AB17" s="49" t="e" cm="1" vm="6">
        <f t="array" aca="1" ref="AB17" ca="1">Ver_flag_local</f>
        <v>#VALUE!</v>
      </c>
      <c r="AC17" s="50">
        <v>1</v>
      </c>
      <c r="AD17" s="51">
        <v>1</v>
      </c>
      <c r="AE17" s="583" t="e" cm="1" vm="7">
        <f t="array" aca="1" ref="AE17" ca="1">Ver_flag_visit</f>
        <v>#VALUE!</v>
      </c>
      <c r="AF17" s="30" t="str">
        <f ca="1">A15</f>
        <v>Catar</v>
      </c>
      <c r="AG17" s="311">
        <f t="shared" si="66"/>
        <v>1</v>
      </c>
      <c r="AH17" s="188">
        <v>52</v>
      </c>
      <c r="AI17" s="177" t="str">
        <f t="shared" si="70"/>
        <v>4B</v>
      </c>
      <c r="AJ17" s="72">
        <v>4</v>
      </c>
      <c r="AK17" s="590" t="e" cm="1" vm="6">
        <f t="array" aca="1" ref="AK17" ca="1">Ver_flag_visit</f>
        <v>#VALUE!</v>
      </c>
      <c r="AL17" s="73" t="str">
        <f ca="1">IFERROR(INDEX($BD$6:$BD$53,MATCH(AI17,$BN$6:$BN$53,0)),"")</f>
        <v>Bosnia y Herzegovina</v>
      </c>
      <c r="AM17" s="74">
        <f t="shared" ca="1" si="69"/>
        <v>1</v>
      </c>
      <c r="AN17" s="75">
        <f t="shared" ca="1" si="69"/>
        <v>3</v>
      </c>
      <c r="AO17" s="75">
        <f t="shared" ca="1" si="69"/>
        <v>0</v>
      </c>
      <c r="AP17" s="75">
        <f t="shared" ca="1" si="69"/>
        <v>1</v>
      </c>
      <c r="AQ17" s="75">
        <f t="shared" ca="1" si="69"/>
        <v>2</v>
      </c>
      <c r="AR17" s="75">
        <f t="shared" ca="1" si="69"/>
        <v>2</v>
      </c>
      <c r="AS17" s="75">
        <f t="shared" ca="1" si="69"/>
        <v>6</v>
      </c>
      <c r="AT17" s="76">
        <f t="shared" ca="1" si="69"/>
        <v>-4</v>
      </c>
      <c r="AU17" s="318">
        <f ca="1">INDEX($DL$6:$DL$53,MATCH(AI17,$DP$6:$DP$53,0))</f>
        <v>1</v>
      </c>
      <c r="AV17" s="178" t="str">
        <f ca="1">INDEX($BD$6:$BD$53,MATCH(AI17,$BM$6:$BM$53,0))</f>
        <v>Bosnia y Herzegovina</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2</v>
      </c>
      <c r="BK17" s="13">
        <f t="shared" ca="1" si="21"/>
        <v>6</v>
      </c>
      <c r="BL17" s="13">
        <f t="shared" ca="1" si="42"/>
        <v>-4</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6</v>
      </c>
      <c r="BF18" s="13">
        <f t="shared" ca="1" si="41"/>
        <v>3</v>
      </c>
      <c r="BG18" s="13">
        <f t="shared" ca="1" si="17"/>
        <v>2</v>
      </c>
      <c r="BH18" s="13">
        <f t="shared" ca="1" si="18"/>
        <v>0</v>
      </c>
      <c r="BI18" s="13">
        <f t="shared" ca="1" si="19"/>
        <v>1</v>
      </c>
      <c r="BJ18" s="13">
        <f t="shared" ca="1" si="20"/>
        <v>5</v>
      </c>
      <c r="BK18" s="13">
        <f t="shared" ca="1" si="21"/>
        <v>4</v>
      </c>
      <c r="BL18" s="13">
        <f t="shared" ca="1" si="42"/>
        <v>1</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6</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Paraguay</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7</v>
      </c>
      <c r="BF19" s="13">
        <f t="shared" ca="1" si="41"/>
        <v>3</v>
      </c>
      <c r="BG19" s="13">
        <f t="shared" ca="1" si="17"/>
        <v>2</v>
      </c>
      <c r="BH19" s="13">
        <f t="shared" ca="1" si="18"/>
        <v>1</v>
      </c>
      <c r="BI19" s="13">
        <f t="shared" ca="1" si="19"/>
        <v>0</v>
      </c>
      <c r="BJ19" s="13">
        <f t="shared" ca="1" si="20"/>
        <v>6</v>
      </c>
      <c r="BK19" s="13">
        <f t="shared" ca="1" si="21"/>
        <v>4</v>
      </c>
      <c r="BL19" s="13">
        <f t="shared" ca="1" si="42"/>
        <v>2</v>
      </c>
      <c r="BM19" s="13" t="str">
        <f t="shared" ca="1" si="22"/>
        <v>1D</v>
      </c>
      <c r="BN19" s="13" t="str">
        <f t="shared" ca="1" si="23"/>
        <v>1D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7</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1</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1</v>
      </c>
      <c r="DE19" s="13"/>
      <c r="DF19" s="13">
        <f t="shared" ca="1" si="52"/>
        <v>1</v>
      </c>
      <c r="DG19" s="13" t="str">
        <f ca="1">IF(DB19="-","-",COUNTIFS(DF$6:DF$53,"&lt;"&amp;DF19,$BC$6:$BC$53,INDEX(T_Equipos[Grupo],MATCH(BD19,T_Equipos[NombreEquipo],0))))</f>
        <v>-</v>
      </c>
      <c r="DH19" s="13">
        <f ca="1">DA19+COUNTIFS(DB$6:DB$53,DB19,DG$6:DG$53,"&lt;"&amp;DG19,$BC$6:$BC$53,INDEX(T_Equipos[Grupo],MATCH(BD19,T_Equipos[NombreEquipo],0)))</f>
        <v>1</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05" customHeight="1" thickBot="1">
      <c r="A20" s="13" t="s">
        <v>32</v>
      </c>
      <c r="B20" s="13" t="s">
        <v>2</v>
      </c>
      <c r="C20" s="13">
        <f>COUNTIF(Equipos!$C$2:$C$49,WORLDCUP!B20)</f>
        <v>4</v>
      </c>
      <c r="D20" s="13" t="str">
        <f t="shared" ref="D20:D25" si="71">IF(OR(AC20="",AD20=""),"Pendiente",IF(AC20&gt;AD20,"Local",IF(AC20&lt;AD20,"Visitante","Empate")))</f>
        <v>Visitante</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7" t="s">
        <v>2</v>
      </c>
      <c r="X20" s="21">
        <f ca="1">Horarios!C20</f>
        <v>46186.75</v>
      </c>
      <c r="Y20" s="22">
        <f ca="1">Horarios!C20</f>
        <v>46186.75</v>
      </c>
      <c r="Z20" s="23" t="str">
        <f>$Z$4</f>
        <v>J1</v>
      </c>
      <c r="AA20" s="24" t="str">
        <f ca="1">A21</f>
        <v>Brasil</v>
      </c>
      <c r="AB20" s="46" t="e" cm="1" vm="9">
        <f t="array" aca="1" ref="AB20" ca="1">Ver_flag_local</f>
        <v>#VALUE!</v>
      </c>
      <c r="AC20" s="47">
        <v>0</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3</v>
      </c>
      <c r="BK20" s="13">
        <f t="shared" ca="1" si="21"/>
        <v>5</v>
      </c>
      <c r="BL20" s="13">
        <f t="shared" ca="1" si="42"/>
        <v>-2</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Turquía</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7"/>
      <c r="X21" s="21">
        <f ca="1">Horarios!C21</f>
        <v>46186.875</v>
      </c>
      <c r="Y21" s="22">
        <f ca="1">Horarios!C21</f>
        <v>46186.875</v>
      </c>
      <c r="Z21" s="23" t="str">
        <f>$Z$4</f>
        <v>J1</v>
      </c>
      <c r="AA21" s="24" t="str">
        <f ca="1">A23</f>
        <v>Haití</v>
      </c>
      <c r="AB21" s="46" t="e" cm="1" vm="11">
        <f t="array" aca="1" ref="AB21" ca="1">Ver_flag_local</f>
        <v>#VALUE!</v>
      </c>
      <c r="AC21" s="47">
        <v>0</v>
      </c>
      <c r="AD21" s="48">
        <v>1</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2</v>
      </c>
      <c r="BF21" s="13">
        <f t="shared" ca="1" si="41"/>
        <v>3</v>
      </c>
      <c r="BG21" s="13">
        <f t="shared" ca="1" si="17"/>
        <v>0</v>
      </c>
      <c r="BH21" s="13">
        <f t="shared" ca="1" si="18"/>
        <v>2</v>
      </c>
      <c r="BI21" s="13">
        <f t="shared" ca="1" si="19"/>
        <v>1</v>
      </c>
      <c r="BJ21" s="13">
        <f t="shared" ca="1" si="20"/>
        <v>4</v>
      </c>
      <c r="BK21" s="13">
        <f t="shared" ca="1" si="21"/>
        <v>5</v>
      </c>
      <c r="BL21" s="13">
        <f t="shared" ca="1" si="42"/>
        <v>-1</v>
      </c>
      <c r="BM21" s="13" t="str">
        <f t="shared" ca="1" si="22"/>
        <v>3D</v>
      </c>
      <c r="BN21" s="13" t="str">
        <f t="shared" ca="1" si="23"/>
        <v>3D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2</v>
      </c>
      <c r="BS21" s="13">
        <f ca="1">BP21+COUNTIFS($BQ$6:$BQ$53,BQ21,$BR$6:BR$53,"&gt;"&amp;BR21,$BC$6:$BC$53,INDEX(T_Equipos[Grupo],MATCH(BD21,T_Equipos[NombreEquipo],0)))</f>
        <v>3</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3</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3</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3</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3</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3</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3</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3</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3</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3</v>
      </c>
      <c r="DE21" s="13"/>
      <c r="DF21" s="13">
        <f t="shared" ca="1" si="52"/>
        <v>3</v>
      </c>
      <c r="DG21" s="13" t="str">
        <f ca="1">IF(DB21="-","-",COUNTIFS(DF$6:DF$53,"&lt;"&amp;DF21,$BC$6:$BC$53,INDEX(T_Equipos[Grupo],MATCH(BD21,T_Equipos[NombreEquipo],0))))</f>
        <v>-</v>
      </c>
      <c r="DH21" s="13">
        <f ca="1">DA21+COUNTIFS(DB$6:DB$53,DB21,DG$6:DG$53,"&lt;"&amp;DG21,$BC$6:$BC$53,INDEX(T_Equipos[Grupo],MATCH(BD21,T_Equipos[NombreEquipo],0)))</f>
        <v>3</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7"/>
      <c r="X22" s="21">
        <f ca="1">Horarios!C22</f>
        <v>46192.75</v>
      </c>
      <c r="Y22" s="22">
        <f ca="1">Horarios!C22</f>
        <v>46192.75</v>
      </c>
      <c r="Z22" s="23" t="str">
        <f>$Z$6</f>
        <v>J2</v>
      </c>
      <c r="AA22" s="24" t="str">
        <f ca="1">A24</f>
        <v>Escocia</v>
      </c>
      <c r="AB22" s="46" t="e" cm="1" vm="12">
        <f t="array" aca="1" ref="AB22" ca="1">Ver_flag_local</f>
        <v>#VALUE!</v>
      </c>
      <c r="AC22" s="47">
        <v>1</v>
      </c>
      <c r="AD22" s="48">
        <v>3</v>
      </c>
      <c r="AE22" s="582" t="e" cm="1" vm="10">
        <f t="array" aca="1" ref="AE22" ca="1">Ver_flag_visit</f>
        <v>#VALUE!</v>
      </c>
      <c r="AF22" s="29" t="str">
        <f ca="1">A22</f>
        <v>Marruecos</v>
      </c>
      <c r="AG22" s="311">
        <f t="shared" si="84"/>
        <v>1</v>
      </c>
      <c r="AH22" s="188">
        <v>30</v>
      </c>
      <c r="AI22" s="177" t="str">
        <f>AJ22&amp;$B$20</f>
        <v>1C</v>
      </c>
      <c r="AJ22" s="37">
        <v>1</v>
      </c>
      <c r="AK22" s="588" t="e" cm="1" vm="10">
        <f t="array" aca="1" ref="AK22" ca="1">Ver_flag_visit</f>
        <v>#VALUE!</v>
      </c>
      <c r="AL22" s="31" t="str">
        <f ca="1">IFERROR(INDEX($BD$6:$BD$53,MATCH(AI22,$BN$6:$BN$53,0)),"")</f>
        <v>Marruecos</v>
      </c>
      <c r="AM22" s="32">
        <f t="shared" ref="AM22:AT25" ca="1" si="87">INDEX($BE$6:$BN$53,MATCH($AL22,$BD$6:$BD$53,0),MATCH(AM$5,$BE$5:$BN$5,0))</f>
        <v>9</v>
      </c>
      <c r="AN22" s="33">
        <f t="shared" ca="1" si="87"/>
        <v>3</v>
      </c>
      <c r="AO22" s="33">
        <f t="shared" ca="1" si="87"/>
        <v>3</v>
      </c>
      <c r="AP22" s="33">
        <f t="shared" ca="1" si="87"/>
        <v>0</v>
      </c>
      <c r="AQ22" s="33">
        <f t="shared" ca="1" si="87"/>
        <v>0</v>
      </c>
      <c r="AR22" s="33">
        <f t="shared" ca="1" si="87"/>
        <v>7</v>
      </c>
      <c r="AS22" s="33">
        <f t="shared" ca="1" si="87"/>
        <v>1</v>
      </c>
      <c r="AT22" s="38">
        <f t="shared" ca="1" si="87"/>
        <v>6</v>
      </c>
      <c r="AU22" s="318">
        <f ca="1">INDEX($DL$6:$DL$53,MATCH(AI22,$DP$6:$DP$53,0))</f>
        <v>1</v>
      </c>
      <c r="AV22" s="178" t="str">
        <f ca="1">INDEX($BD$6:$BD$53,MATCH(AI22,$BM$6:$BM$53,0))</f>
        <v>Marruecos</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7</v>
      </c>
      <c r="BK22" s="13">
        <f t="shared" ca="1" si="21"/>
        <v>4</v>
      </c>
      <c r="BL22" s="13">
        <f t="shared" ca="1" si="42"/>
        <v>3</v>
      </c>
      <c r="BM22" s="13" t="str">
        <f t="shared" ca="1" si="22"/>
        <v>2E</v>
      </c>
      <c r="BN22" s="13" t="str">
        <f t="shared" ca="1" si="23"/>
        <v>2E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P.1 (2)</v>
      </c>
      <c r="BU22" s="13">
        <f t="shared" ca="1" si="24"/>
        <v>0</v>
      </c>
      <c r="BV22" s="13">
        <f t="shared" ca="1" si="25"/>
        <v>1</v>
      </c>
      <c r="BW22" s="13">
        <f t="shared" ca="1" si="26"/>
        <v>0</v>
      </c>
      <c r="BX22" s="13">
        <f t="shared" ca="1" si="48"/>
        <v>1</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P.1 (2)</v>
      </c>
      <c r="CA22" s="13">
        <f t="shared" ca="1" si="27"/>
        <v>2</v>
      </c>
      <c r="CB22" s="13">
        <f t="shared" ca="1" si="28"/>
        <v>2</v>
      </c>
      <c r="CC22" s="13">
        <f t="shared" ca="1" si="49"/>
        <v>0</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P.1 (2)</v>
      </c>
      <c r="CF22" s="13">
        <f t="shared" ca="1" si="29"/>
        <v>2</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P.1 (2)</v>
      </c>
      <c r="CI22" s="13">
        <f t="shared" ca="1" si="30"/>
        <v>0</v>
      </c>
      <c r="CJ22" s="13">
        <f t="shared" ca="1" si="31"/>
        <v>1</v>
      </c>
      <c r="CK22" s="13">
        <f t="shared" ca="1" si="32"/>
        <v>0</v>
      </c>
      <c r="CL22" s="13">
        <f t="shared" ca="1" si="50"/>
        <v>1</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P.1 (2)</v>
      </c>
      <c r="CO22" s="13">
        <f t="shared" ca="1" si="33"/>
        <v>2</v>
      </c>
      <c r="CP22" s="13">
        <f t="shared" ca="1" si="34"/>
        <v>2</v>
      </c>
      <c r="CQ22" s="13">
        <f t="shared" ca="1" si="51"/>
        <v>0</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P.1 (2)</v>
      </c>
      <c r="CT22" s="13">
        <f t="shared" ca="1" si="35"/>
        <v>2</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P.1 (2)</v>
      </c>
      <c r="CW22" s="13">
        <f t="shared" ca="1" si="36"/>
        <v>3</v>
      </c>
      <c r="CX22" s="13">
        <f ca="1">CU22+COUNTIFS($CV$6:$CV$53,CV22,$CW$6:CW$53,"&gt;"&amp;CW22,$BC$6:$BC$53,INDEX(T_Equipos[Grupo],MATCH(BD22,T_Equipos[NombreEquipo],0)))</f>
        <v>2</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2</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2</v>
      </c>
      <c r="DE22" s="13"/>
      <c r="DF22" s="13">
        <f t="shared" ca="1" si="52"/>
        <v>2</v>
      </c>
      <c r="DG22" s="13" t="str">
        <f ca="1">IF(DB22="-","-",COUNTIFS(DF$6:DF$53,"&lt;"&amp;DF22,$BC$6:$BC$53,INDEX(T_Equipos[Grupo],MATCH(BD22,T_Equipos[NombreEquipo],0))))</f>
        <v>-</v>
      </c>
      <c r="DH22" s="13">
        <f ca="1">DA22+COUNTIFS(DB$6:DB$53,DB22,DG$6:DG$53,"&lt;"&amp;DG22,$BC$6:$BC$53,INDEX(T_Equipos[Grupo],MATCH(BD22,T_Equipos[NombreEquipo],0)))</f>
        <v>2</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Ecuador</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7"/>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9">
        <f t="array" aca="1" ref="AK23" ca="1">Ver_flag_visit</f>
        <v>#VALUE!</v>
      </c>
      <c r="AL23" s="34" t="str">
        <f ca="1">IFERROR(INDEX($BD$6:$BD$53,MATCH(AI23,$BN$6:$BN$53,0)),"")</f>
        <v>Brasil</v>
      </c>
      <c r="AM23" s="35">
        <f t="shared" ca="1" si="87"/>
        <v>6</v>
      </c>
      <c r="AN23" s="36">
        <f t="shared" ca="1" si="87"/>
        <v>3</v>
      </c>
      <c r="AO23" s="36">
        <f t="shared" ca="1" si="87"/>
        <v>2</v>
      </c>
      <c r="AP23" s="36">
        <f t="shared" ca="1" si="87"/>
        <v>0</v>
      </c>
      <c r="AQ23" s="36">
        <f t="shared" ca="1" si="87"/>
        <v>1</v>
      </c>
      <c r="AR23" s="36">
        <f t="shared" ca="1" si="87"/>
        <v>7</v>
      </c>
      <c r="AS23" s="36">
        <f t="shared" ca="1" si="87"/>
        <v>2</v>
      </c>
      <c r="AT23" s="40">
        <f t="shared" ca="1" si="87"/>
        <v>5</v>
      </c>
      <c r="AU23" s="318">
        <f ca="1">INDEX($DL$6:$DL$53,MATCH(AI23,$DP$6:$DP$53,0))</f>
        <v>1</v>
      </c>
      <c r="AV23" s="178" t="str">
        <f ca="1">INDEX($BD$6:$BD$53,MATCH(AI23,$BM$6:$BM$53,0))</f>
        <v>Brasil</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6</v>
      </c>
      <c r="BL23" s="13">
        <f t="shared" ca="1" si="42"/>
        <v>-5</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Alemania</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7"/>
      <c r="X24" s="21">
        <f ca="1">Horarios!C24</f>
        <v>46197.75</v>
      </c>
      <c r="Y24" s="22">
        <f ca="1">Horarios!C24</f>
        <v>46197.75</v>
      </c>
      <c r="Z24" s="23" t="str">
        <f>$Z$8</f>
        <v>J3</v>
      </c>
      <c r="AA24" s="24" t="str">
        <f ca="1">A24</f>
        <v>Escocia</v>
      </c>
      <c r="AB24" s="46" t="e" cm="1" vm="12">
        <f t="array" aca="1" ref="AB24" ca="1">Ver_flag_local</f>
        <v>#VALUE!</v>
      </c>
      <c r="AC24" s="47">
        <v>0</v>
      </c>
      <c r="AD24" s="48">
        <v>3</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2</v>
      </c>
      <c r="AS24" s="36">
        <f t="shared" ca="1" si="87"/>
        <v>6</v>
      </c>
      <c r="AT24" s="40">
        <f t="shared" ca="1" si="87"/>
        <v>-4</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5</v>
      </c>
      <c r="BK24" s="13">
        <f t="shared" ca="1" si="21"/>
        <v>7</v>
      </c>
      <c r="BL24" s="13">
        <f t="shared" ca="1" si="42"/>
        <v>-2</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8"/>
      <c r="X25" s="25">
        <f ca="1">Horarios!C25</f>
        <v>46197.75</v>
      </c>
      <c r="Y25" s="26">
        <f ca="1">Horarios!C25</f>
        <v>46197.75</v>
      </c>
      <c r="Z25" s="27" t="str">
        <f>$Z$8</f>
        <v>J3</v>
      </c>
      <c r="AA25" s="28" t="str">
        <f ca="1">A22</f>
        <v>Marruecos</v>
      </c>
      <c r="AB25" s="49" t="e" cm="1" vm="10">
        <f t="array" aca="1" ref="AB25" ca="1">Ver_flag_local</f>
        <v>#VALUE!</v>
      </c>
      <c r="AC25" s="50">
        <v>2</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7</v>
      </c>
      <c r="AT25" s="45">
        <f t="shared" ca="1" si="87"/>
        <v>-7</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7</v>
      </c>
      <c r="BF25" s="13">
        <f t="shared" ca="1" si="41"/>
        <v>3</v>
      </c>
      <c r="BG25" s="13">
        <f t="shared" ca="1" si="17"/>
        <v>2</v>
      </c>
      <c r="BH25" s="13">
        <f t="shared" ca="1" si="18"/>
        <v>1</v>
      </c>
      <c r="BI25" s="13">
        <f t="shared" ca="1" si="19"/>
        <v>0</v>
      </c>
      <c r="BJ25" s="13">
        <f t="shared" ca="1" si="20"/>
        <v>7</v>
      </c>
      <c r="BK25" s="13">
        <f t="shared" ca="1" si="21"/>
        <v>3</v>
      </c>
      <c r="BL25" s="13">
        <f t="shared" ca="1" si="42"/>
        <v>4</v>
      </c>
      <c r="BM25" s="13" t="str">
        <f t="shared" ca="1" si="22"/>
        <v>1E</v>
      </c>
      <c r="BN25" s="13" t="str">
        <f t="shared" ca="1" si="23"/>
        <v>1E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7</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P.1 (2)</v>
      </c>
      <c r="BU25" s="13">
        <f t="shared" ca="1" si="24"/>
        <v>0</v>
      </c>
      <c r="BV25" s="13">
        <f t="shared" ca="1" si="25"/>
        <v>1</v>
      </c>
      <c r="BW25" s="13">
        <f t="shared" ca="1" si="26"/>
        <v>0</v>
      </c>
      <c r="BX25" s="13">
        <f t="shared" ca="1" si="48"/>
        <v>1</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P.1 (2)</v>
      </c>
      <c r="CA25" s="13">
        <f t="shared" ca="1" si="27"/>
        <v>2</v>
      </c>
      <c r="CB25" s="13">
        <f t="shared" ca="1" si="28"/>
        <v>2</v>
      </c>
      <c r="CC25" s="13">
        <f t="shared" ca="1" si="49"/>
        <v>0</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P.1 (2)</v>
      </c>
      <c r="CF25" s="13">
        <f t="shared" ca="1" si="29"/>
        <v>2</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P.1 (2)</v>
      </c>
      <c r="CI25" s="13">
        <f t="shared" ca="1" si="30"/>
        <v>0</v>
      </c>
      <c r="CJ25" s="13">
        <f t="shared" ca="1" si="31"/>
        <v>1</v>
      </c>
      <c r="CK25" s="13">
        <f t="shared" ca="1" si="32"/>
        <v>0</v>
      </c>
      <c r="CL25" s="13">
        <f t="shared" ca="1" si="50"/>
        <v>1</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P.1 (2)</v>
      </c>
      <c r="CO25" s="13">
        <f t="shared" ca="1" si="33"/>
        <v>2</v>
      </c>
      <c r="CP25" s="13">
        <f t="shared" ca="1" si="34"/>
        <v>2</v>
      </c>
      <c r="CQ25" s="13">
        <f t="shared" ca="1" si="51"/>
        <v>0</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P.1 (2)</v>
      </c>
      <c r="CT25" s="13">
        <f t="shared" ca="1" si="35"/>
        <v>2</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P.1 (2)</v>
      </c>
      <c r="CW25" s="13">
        <f t="shared" ca="1" si="36"/>
        <v>4</v>
      </c>
      <c r="CX25" s="13">
        <f ca="1">CU25+COUNTIFS($CV$6:$CV$53,CV25,$CW$6:CW$53,"&gt;"&amp;CW25,$BC$6:$BC$53,INDEX(T_Equipos[Grupo],MATCH(BD25,T_Equipos[NombreEquipo],0)))</f>
        <v>1</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1</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1</v>
      </c>
      <c r="DE25" s="13"/>
      <c r="DF25" s="13">
        <f t="shared" ca="1" si="52"/>
        <v>1</v>
      </c>
      <c r="DG25" s="13" t="str">
        <f ca="1">IF(DB25="-","-",COUNTIFS(DF$6:DF$53,"&lt;"&amp;DF25,$BC$6:$BC$53,INDEX(T_Equipos[Grupo],MATCH(BD25,T_Equipos[NombreEquipo],0))))</f>
        <v>-</v>
      </c>
      <c r="DH25" s="13">
        <f ca="1">DA25+COUNTIFS(DB$6:DB$53,DB25,DG$6:DG$53,"&lt;"&amp;DG25,$BC$6:$BC$53,INDEX(T_Equipos[Grupo],MATCH(BD25,T_Equipos[NombreEquipo],0)))</f>
        <v>1</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6</v>
      </c>
      <c r="BF26" s="13">
        <f t="shared" ca="1" si="41"/>
        <v>3</v>
      </c>
      <c r="BG26" s="13">
        <f t="shared" ca="1" si="17"/>
        <v>2</v>
      </c>
      <c r="BH26" s="13">
        <f t="shared" ca="1" si="18"/>
        <v>0</v>
      </c>
      <c r="BI26" s="13">
        <f t="shared" ca="1" si="19"/>
        <v>1</v>
      </c>
      <c r="BJ26" s="13">
        <f t="shared" ca="1" si="20"/>
        <v>5</v>
      </c>
      <c r="BK26" s="13">
        <f t="shared" ca="1" si="21"/>
        <v>5</v>
      </c>
      <c r="BL26" s="13">
        <f t="shared" ca="1" si="42"/>
        <v>0</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6</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1</v>
      </c>
      <c r="BV26" s="13">
        <f t="shared" ca="1" si="25"/>
        <v>0</v>
      </c>
      <c r="BW26" s="13">
        <f t="shared" ca="1" si="26"/>
        <v>0</v>
      </c>
      <c r="BX26" s="13">
        <f t="shared" ca="1" si="48"/>
        <v>3</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4</v>
      </c>
      <c r="BF27" s="13">
        <f t="shared" ca="1" si="41"/>
        <v>3</v>
      </c>
      <c r="BG27" s="13">
        <f t="shared" ca="1" si="17"/>
        <v>1</v>
      </c>
      <c r="BH27" s="13">
        <f t="shared" ca="1" si="18"/>
        <v>1</v>
      </c>
      <c r="BI27" s="13">
        <f t="shared" ca="1" si="19"/>
        <v>1</v>
      </c>
      <c r="BJ27" s="13">
        <f t="shared" ca="1" si="20"/>
        <v>5</v>
      </c>
      <c r="BK27" s="13">
        <f t="shared" ca="1" si="21"/>
        <v>5</v>
      </c>
      <c r="BL27" s="13">
        <f t="shared" ca="1" si="42"/>
        <v>0</v>
      </c>
      <c r="BM27" s="13" t="str">
        <f t="shared" ca="1" si="22"/>
        <v>3F</v>
      </c>
      <c r="BN27" s="13" t="str">
        <f t="shared" ca="1" si="23"/>
        <v>3F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4</v>
      </c>
      <c r="BS27" s="13">
        <f ca="1">BP27+COUNTIFS($BQ$6:$BQ$53,BQ27,$BR$6:BR$53,"&gt;"&amp;BR27,$BC$6:$BC$53,INDEX(T_Equipos[Grupo],MATCH(BD27,T_Equipos[NombreEquipo],0)))</f>
        <v>3</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3</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3</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3</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3</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3</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3</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3</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3</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3</v>
      </c>
      <c r="DE27" s="13"/>
      <c r="DF27" s="13">
        <f t="shared" ca="1" si="52"/>
        <v>3</v>
      </c>
      <c r="DG27" s="13" t="str">
        <f ca="1">IF(DB27="-","-",COUNTIFS(DF$6:DF$53,"&lt;"&amp;DF27,$BC$6:$BC$53,INDEX(T_Equipos[Grupo],MATCH(BD27,T_Equipos[NombreEquipo],0))))</f>
        <v>-</v>
      </c>
      <c r="DH27" s="13">
        <f ca="1">DA27+COUNTIFS(DB$6:DB$53,DB27,DG$6:DG$53,"&lt;"&amp;DG27,$BC$6:$BC$53,INDEX(T_Equipos[Grupo],MATCH(BD27,T_Equipos[NombreEquipo],0)))</f>
        <v>3</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Suecia</v>
      </c>
    </row>
    <row r="28" spans="1:121" ht="16.05"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9" t="s">
        <v>74</v>
      </c>
      <c r="X28" s="21">
        <f ca="1">Horarios!C28</f>
        <v>46185.875</v>
      </c>
      <c r="Y28" s="22">
        <f ca="1">Horarios!C28</f>
        <v>46185.875</v>
      </c>
      <c r="Z28" s="23" t="str">
        <f>$Z$4</f>
        <v>J1</v>
      </c>
      <c r="AA28" s="24" t="str">
        <f ca="1">A29</f>
        <v>Estados Unidos</v>
      </c>
      <c r="AB28" s="46" t="e" cm="1" vm="13">
        <f t="array" aca="1" ref="AB28" ca="1">Ver_flag_local</f>
        <v>#VALUE!</v>
      </c>
      <c r="AC28" s="47">
        <v>1</v>
      </c>
      <c r="AD28" s="48">
        <v>2</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6</v>
      </c>
      <c r="BF28" s="13">
        <f t="shared" ca="1" si="41"/>
        <v>3</v>
      </c>
      <c r="BG28" s="13">
        <f t="shared" ca="1" si="17"/>
        <v>2</v>
      </c>
      <c r="BH28" s="13">
        <f t="shared" ca="1" si="18"/>
        <v>0</v>
      </c>
      <c r="BI28" s="13">
        <f t="shared" ca="1" si="19"/>
        <v>1</v>
      </c>
      <c r="BJ28" s="13">
        <f t="shared" ca="1" si="20"/>
        <v>6</v>
      </c>
      <c r="BK28" s="13">
        <f t="shared" ca="1" si="21"/>
        <v>4</v>
      </c>
      <c r="BL28" s="13">
        <f t="shared" ca="1" si="42"/>
        <v>2</v>
      </c>
      <c r="BM28" s="13" t="str">
        <f t="shared" ca="1" si="22"/>
        <v>2F</v>
      </c>
      <c r="BN28" s="13" t="str">
        <f t="shared" ca="1" si="23"/>
        <v>2F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6</v>
      </c>
      <c r="BS28" s="13">
        <f ca="1">BP28+COUNTIFS($BQ$6:$BQ$53,BQ28,$BR$6:BR$53,"&gt;"&amp;BR28,$BC$6:$BC$53,INDEX(T_Equipos[Grupo],MATCH(BD28,T_Equipos[NombreEquipo],0)))</f>
        <v>1</v>
      </c>
      <c r="BT28" s="13" t="str">
        <f ca="1">IF(COUNTIFS($BS$6:$BS$53,BS28,$BC$6:$BC$53,INDEX(T_Equipos[Grupo],MATCH(BD28,T_Equipos[NombreEquipo],0)))=1,"-","P."&amp;BS28&amp;" ("&amp;COUNTIFS($BS$6:$BS$53,BS28,$BC$6:$BC$53,INDEX(T_Equipos[Grupo],MATCH(BD28,T_Equipos[NombreEquipo],0)))&amp;")")</f>
        <v>P.1 (2)</v>
      </c>
      <c r="BU28" s="13">
        <f t="shared" ca="1" si="24"/>
        <v>0</v>
      </c>
      <c r="BV28" s="13">
        <f t="shared" ca="1" si="25"/>
        <v>0</v>
      </c>
      <c r="BW28" s="13">
        <f t="shared" ca="1" si="26"/>
        <v>1</v>
      </c>
      <c r="BX28" s="13">
        <f t="shared" ca="1" si="48"/>
        <v>0</v>
      </c>
      <c r="BY28" s="13">
        <f ca="1">BS28+COUNTIFS($BT$6:$BT$53,BT28,$BX$6:BX$53,"&gt;"&amp;BX28,$BC$6:$BC$53,INDEX(T_Equipos[Grupo],MATCH(BD28,T_Equipos[NombreEquipo],0)))</f>
        <v>2</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2</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2</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2</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2</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2</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2</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2</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2</v>
      </c>
      <c r="DE28" s="13"/>
      <c r="DF28" s="13">
        <f t="shared" ca="1" si="52"/>
        <v>2</v>
      </c>
      <c r="DG28" s="13" t="str">
        <f ca="1">IF(DB28="-","-",COUNTIFS(DF$6:DF$53,"&lt;"&amp;DF28,$BC$6:$BC$53,INDEX(T_Equipos[Grupo],MATCH(BD28,T_Equipos[NombreEquipo],0))))</f>
        <v>-</v>
      </c>
      <c r="DH28" s="13">
        <f ca="1">DA28+COUNTIFS(DB$6:DB$53,DB28,DG$6:DG$53,"&lt;"&amp;DG28,$BC$6:$BC$53,INDEX(T_Equipos[Grupo],MATCH(BD28,T_Equipos[NombreEquipo],0)))</f>
        <v>2</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Japón</v>
      </c>
    </row>
    <row r="29" spans="1:121" ht="16.05" customHeight="1">
      <c r="A29" s="13" t="str">
        <f ca="1">+Equipos!B14</f>
        <v>Estados Unidos</v>
      </c>
      <c r="B29" s="13"/>
      <c r="C29" s="13"/>
      <c r="D29" s="13" t="str">
        <f t="shared" si="91"/>
        <v>Empate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9"/>
      <c r="X29" s="21">
        <f ca="1">Horarios!C29</f>
        <v>46187</v>
      </c>
      <c r="Y29" s="22">
        <f ca="1">Horarios!C29</f>
        <v>46187</v>
      </c>
      <c r="Z29" s="23" t="str">
        <f>$Z$4</f>
        <v>J1</v>
      </c>
      <c r="AA29" s="24" t="str">
        <f ca="1">A31</f>
        <v>Australia</v>
      </c>
      <c r="AB29" s="46" t="e" cm="1" vm="15">
        <f t="array" aca="1" ref="AB29" ca="1">Ver_flag_local</f>
        <v>#VALUE!</v>
      </c>
      <c r="AC29" s="47">
        <v>1</v>
      </c>
      <c r="AD29" s="48">
        <v>1</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3</v>
      </c>
      <c r="BK29" s="13">
        <f t="shared" ca="1" si="21"/>
        <v>5</v>
      </c>
      <c r="BL29" s="13">
        <f t="shared" ca="1" si="42"/>
        <v>-2</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9"/>
      <c r="X30" s="21">
        <f ca="1">Horarios!C30</f>
        <v>46192.625</v>
      </c>
      <c r="Y30" s="22">
        <f ca="1">Horarios!C30</f>
        <v>46192.625</v>
      </c>
      <c r="Z30" s="23" t="str">
        <f>$Z$6</f>
        <v>J2</v>
      </c>
      <c r="AA30" s="24" t="str">
        <f ca="1">A29</f>
        <v>Estados Unidos</v>
      </c>
      <c r="AB30" s="46" t="e" cm="1" vm="13">
        <f t="array" aca="1" ref="AB30" ca="1">Ver_flag_local</f>
        <v>#VALUE!</v>
      </c>
      <c r="AC30" s="47">
        <v>2</v>
      </c>
      <c r="AD30" s="48">
        <v>1</v>
      </c>
      <c r="AE30" s="582" t="e" cm="1" vm="15">
        <f t="array" aca="1" ref="AE30" ca="1">Ver_flag_visit</f>
        <v>#VALUE!</v>
      </c>
      <c r="AF30" s="29" t="str">
        <f ca="1">A31</f>
        <v>Australia</v>
      </c>
      <c r="AG30" s="311">
        <f t="shared" si="104"/>
        <v>1</v>
      </c>
      <c r="AH30" s="188">
        <v>32</v>
      </c>
      <c r="AI30" s="177" t="str">
        <f>AJ30&amp;$B$28</f>
        <v>1D</v>
      </c>
      <c r="AJ30" s="37">
        <v>1</v>
      </c>
      <c r="AK30" s="588" t="e" cm="1" vm="14">
        <f t="array" aca="1" ref="AK30" ca="1">Ver_flag_visit</f>
        <v>#VALUE!</v>
      </c>
      <c r="AL30" s="31" t="str">
        <f ca="1">IFERROR(INDEX($BD$6:$BD$53,MATCH(AI30,$BN$6:$BN$53,0)),"")</f>
        <v>Paraguay</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6</v>
      </c>
      <c r="AS30" s="33">
        <f t="shared" ca="1" si="107"/>
        <v>4</v>
      </c>
      <c r="AT30" s="38">
        <f t="shared" ca="1" si="107"/>
        <v>2</v>
      </c>
      <c r="AU30" s="318">
        <f ca="1">INDEX($DL$6:$DL$53,MATCH(AI30,$DP$6:$DP$53,0))</f>
        <v>1</v>
      </c>
      <c r="AV30" s="178" t="str">
        <f ca="1">INDEX($BD$6:$BD$53,MATCH(AI30,$BM$6:$BM$53,0))</f>
        <v>Paraguay</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7</v>
      </c>
      <c r="BK30" s="13">
        <f t="shared" ca="1" si="21"/>
        <v>1</v>
      </c>
      <c r="BL30" s="13">
        <f t="shared" ca="1" si="42"/>
        <v>6</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Empate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9"/>
      <c r="X31" s="21">
        <f ca="1">Horarios!C31</f>
        <v>46192.958333333336</v>
      </c>
      <c r="Y31" s="22">
        <f ca="1">Horarios!C31</f>
        <v>46192.958333333336</v>
      </c>
      <c r="Z31" s="23" t="str">
        <f>$Z$6</f>
        <v>J2</v>
      </c>
      <c r="AA31" s="24" t="str">
        <f ca="1">A32</f>
        <v>Turquía</v>
      </c>
      <c r="AB31" s="46" t="e" cm="1" vm="16">
        <f t="array" aca="1" ref="AB31" ca="1">Ver_flag_local</f>
        <v>#VALUE!</v>
      </c>
      <c r="AC31" s="47">
        <v>2</v>
      </c>
      <c r="AD31" s="48">
        <v>2</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6</v>
      </c>
      <c r="AN31" s="36">
        <f t="shared" ca="1" si="107"/>
        <v>3</v>
      </c>
      <c r="AO31" s="36">
        <f t="shared" ca="1" si="107"/>
        <v>2</v>
      </c>
      <c r="AP31" s="36">
        <f t="shared" ca="1" si="107"/>
        <v>0</v>
      </c>
      <c r="AQ31" s="36">
        <f t="shared" ca="1" si="107"/>
        <v>1</v>
      </c>
      <c r="AR31" s="36">
        <f t="shared" ca="1" si="107"/>
        <v>5</v>
      </c>
      <c r="AS31" s="36">
        <f t="shared" ca="1" si="107"/>
        <v>4</v>
      </c>
      <c r="AT31" s="40">
        <f t="shared" ca="1" si="107"/>
        <v>1</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3</v>
      </c>
      <c r="BF31" s="13">
        <f t="shared" ca="1" si="41"/>
        <v>3</v>
      </c>
      <c r="BG31" s="13">
        <f t="shared" ca="1" si="17"/>
        <v>1</v>
      </c>
      <c r="BH31" s="13">
        <f t="shared" ca="1" si="18"/>
        <v>0</v>
      </c>
      <c r="BI31" s="13">
        <f t="shared" ca="1" si="19"/>
        <v>2</v>
      </c>
      <c r="BJ31" s="13">
        <f t="shared" ca="1" si="20"/>
        <v>3</v>
      </c>
      <c r="BK31" s="13">
        <f t="shared" ca="1" si="21"/>
        <v>5</v>
      </c>
      <c r="BL31" s="13">
        <f t="shared" ca="1" si="42"/>
        <v>-2</v>
      </c>
      <c r="BM31" s="13" t="str">
        <f t="shared" ca="1" si="22"/>
        <v>3G</v>
      </c>
      <c r="BN31" s="13" t="str">
        <f t="shared" ca="1" si="23"/>
        <v>3G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3</v>
      </c>
      <c r="BS31" s="13">
        <f ca="1">BP31+COUNTIFS($BQ$6:$BQ$53,BQ31,$BR$6:BR$53,"&gt;"&amp;BR31,$BC$6:$BC$53,INDEX(T_Equipos[Grupo],MATCH(BD31,T_Equipos[NombreEquipo],0)))</f>
        <v>3</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3</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3</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3</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3</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3</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3</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3</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3</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3</v>
      </c>
      <c r="DE31" s="13"/>
      <c r="DF31" s="13">
        <f t="shared" ca="1" si="52"/>
        <v>3</v>
      </c>
      <c r="DG31" s="13" t="str">
        <f ca="1">IF(DB31="-","-",COUNTIFS(DF$6:DF$53,"&lt;"&amp;DF31,$BC$6:$BC$53,INDEX(T_Equipos[Grupo],MATCH(BD31,T_Equipos[NombreEquipo],0))))</f>
        <v>-</v>
      </c>
      <c r="DH31" s="13">
        <f ca="1">DA31+COUNTIFS(DB$6:DB$53,DB31,DG$6:DG$53,"&lt;"&amp;DG31,$BC$6:$BC$53,INDEX(T_Equipos[Grupo],MATCH(BD31,T_Equipos[NombreEquipo],0)))</f>
        <v>3</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Nueva Zelanda</v>
      </c>
    </row>
    <row r="32" spans="1:121" ht="16.05" customHeight="1">
      <c r="A32" s="13" t="str">
        <f ca="1">+Equipos!B17</f>
        <v>Turquía</v>
      </c>
      <c r="B32" s="13"/>
      <c r="C32" s="13"/>
      <c r="D32" s="13" t="str">
        <f t="shared" si="91"/>
        <v>Visitante</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9"/>
      <c r="X32" s="21">
        <f ca="1">Horarios!C32</f>
        <v>46198.916666666664</v>
      </c>
      <c r="Y32" s="22">
        <f ca="1">Horarios!C32</f>
        <v>46198.916666666664</v>
      </c>
      <c r="Z32" s="23" t="str">
        <f>$Z$8</f>
        <v>J3</v>
      </c>
      <c r="AA32" s="24" t="str">
        <f ca="1">A32</f>
        <v>Turquía</v>
      </c>
      <c r="AB32" s="46" t="e" cm="1" vm="16">
        <f t="array" aca="1" ref="AB32" ca="1">Ver_flag_local</f>
        <v>#VALUE!</v>
      </c>
      <c r="AC32" s="47">
        <v>1</v>
      </c>
      <c r="AD32" s="48">
        <v>2</v>
      </c>
      <c r="AE32" s="582" t="e" cm="1" vm="13">
        <f t="array" aca="1" ref="AE32" ca="1">Ver_flag_visit</f>
        <v>#VALUE!</v>
      </c>
      <c r="AF32" s="29" t="str">
        <f ca="1">A29</f>
        <v>Estados Unidos</v>
      </c>
      <c r="AG32" s="311">
        <f t="shared" si="104"/>
        <v>1</v>
      </c>
      <c r="AH32" s="188">
        <v>59</v>
      </c>
      <c r="AI32" s="177" t="str">
        <f t="shared" si="108"/>
        <v>3D</v>
      </c>
      <c r="AJ32" s="39">
        <v>3</v>
      </c>
      <c r="AK32" s="589" t="e" cm="1" vm="16">
        <f t="array" aca="1" ref="AK32" ca="1">Ver_flag_visit</f>
        <v>#VALUE!</v>
      </c>
      <c r="AL32" s="34" t="str">
        <f ca="1">IFERROR(INDEX($BD$6:$BD$53,MATCH(AI32,$BN$6:$BN$53,0)),"")</f>
        <v>Turquía</v>
      </c>
      <c r="AM32" s="35">
        <f t="shared" ca="1" si="107"/>
        <v>2</v>
      </c>
      <c r="AN32" s="36">
        <f t="shared" ca="1" si="107"/>
        <v>3</v>
      </c>
      <c r="AO32" s="36">
        <f t="shared" ca="1" si="107"/>
        <v>0</v>
      </c>
      <c r="AP32" s="36">
        <f t="shared" ca="1" si="107"/>
        <v>2</v>
      </c>
      <c r="AQ32" s="36">
        <f t="shared" ca="1" si="107"/>
        <v>1</v>
      </c>
      <c r="AR32" s="36">
        <f t="shared" ca="1" si="107"/>
        <v>4</v>
      </c>
      <c r="AS32" s="36">
        <f t="shared" ca="1" si="107"/>
        <v>5</v>
      </c>
      <c r="AT32" s="40">
        <f t="shared" ca="1" si="107"/>
        <v>-1</v>
      </c>
      <c r="AU32" s="318">
        <f ca="1">INDEX($DL$6:$DL$53,MATCH(AI32,$DP$6:$DP$53,0))</f>
        <v>1</v>
      </c>
      <c r="AV32" s="178" t="str">
        <f ca="1">INDEX($BD$6:$BD$53,MATCH(AI32,$BM$6:$BM$53,0))</f>
        <v>Turquía</v>
      </c>
      <c r="AW32" s="202"/>
      <c r="AX32" s="167"/>
      <c r="AY32" s="193" t="str">
        <f ca="1">+A31</f>
        <v>Australia</v>
      </c>
      <c r="AZ32" s="194"/>
      <c r="BC32" s="13" t="str">
        <f ca="1">+INDEX(T_Equipos[Grupo],MATCH(WORLDCUP!BD32,T_Equipos[NombreEquipo],0))</f>
        <v>G</v>
      </c>
      <c r="BD32" s="13" t="str">
        <f ca="1">+Equipos!B28</f>
        <v>Irán</v>
      </c>
      <c r="BE32" s="13">
        <f t="shared" ca="1" si="16"/>
        <v>1</v>
      </c>
      <c r="BF32" s="13">
        <f t="shared" ca="1" si="41"/>
        <v>3</v>
      </c>
      <c r="BG32" s="13">
        <f t="shared" ca="1" si="17"/>
        <v>0</v>
      </c>
      <c r="BH32" s="13">
        <f t="shared" ca="1" si="18"/>
        <v>1</v>
      </c>
      <c r="BI32" s="13">
        <f t="shared" ca="1" si="19"/>
        <v>2</v>
      </c>
      <c r="BJ32" s="13">
        <f t="shared" ca="1" si="20"/>
        <v>1</v>
      </c>
      <c r="BK32" s="13">
        <f t="shared" ca="1" si="21"/>
        <v>5</v>
      </c>
      <c r="BL32" s="13">
        <f t="shared" ca="1" si="42"/>
        <v>-4</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1</v>
      </c>
      <c r="BS32" s="13">
        <f ca="1">BP32+COUNTIFS($BQ$6:$BQ$53,BQ32,$BR$6:BR$53,"&gt;"&amp;BR32,$BC$6:$BC$53,INDEX(T_Equipos[Grupo],MATCH(BD32,T_Equipos[NombreEquipo],0)))</f>
        <v>4</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4</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4</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4</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4</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4</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4</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Egipto</v>
      </c>
    </row>
    <row r="33" spans="1:121" ht="16.05"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90"/>
      <c r="X33" s="25">
        <f ca="1">Horarios!C33</f>
        <v>46198.916666666664</v>
      </c>
      <c r="Y33" s="26">
        <f ca="1">Horarios!C33</f>
        <v>46198.916666666664</v>
      </c>
      <c r="Z33" s="27" t="str">
        <f>$Z$8</f>
        <v>J3</v>
      </c>
      <c r="AA33" s="28" t="str">
        <f ca="1">A30</f>
        <v>Paraguay</v>
      </c>
      <c r="AB33" s="49" t="e" cm="1" vm="14">
        <f t="array" aca="1" ref="AB33" ca="1">Ver_flag_local</f>
        <v>#VALUE!</v>
      </c>
      <c r="AC33" s="50">
        <v>2</v>
      </c>
      <c r="AD33" s="51">
        <v>1</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3</v>
      </c>
      <c r="AS33" s="44">
        <f t="shared" ca="1" si="107"/>
        <v>5</v>
      </c>
      <c r="AT33" s="45">
        <f t="shared" ca="1" si="107"/>
        <v>-2</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4</v>
      </c>
      <c r="BF33" s="13">
        <f t="shared" ca="1" si="41"/>
        <v>3</v>
      </c>
      <c r="BG33" s="13">
        <f t="shared" ca="1" si="17"/>
        <v>1</v>
      </c>
      <c r="BH33" s="13">
        <f t="shared" ca="1" si="18"/>
        <v>1</v>
      </c>
      <c r="BI33" s="13">
        <f t="shared" ca="1" si="19"/>
        <v>1</v>
      </c>
      <c r="BJ33" s="13">
        <f t="shared" ca="1" si="20"/>
        <v>3</v>
      </c>
      <c r="BK33" s="13">
        <f t="shared" ca="1" si="21"/>
        <v>3</v>
      </c>
      <c r="BL33" s="13">
        <f t="shared" ca="1" si="42"/>
        <v>0</v>
      </c>
      <c r="BM33" s="13" t="str">
        <f t="shared" ca="1" si="22"/>
        <v>2G</v>
      </c>
      <c r="BN33" s="13" t="str">
        <f t="shared" ca="1" si="23"/>
        <v>2G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4</v>
      </c>
      <c r="BS33" s="13">
        <f ca="1">BP33+COUNTIFS($BQ$6:$BQ$53,BQ33,$BR$6:BR$53,"&gt;"&amp;BR33,$BC$6:$BC$53,INDEX(T_Equipos[Grupo],MATCH(BD33,T_Equipos[NombreEquipo],0)))</f>
        <v>2</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2</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2</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2</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2</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2</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2</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2</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2</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2</v>
      </c>
      <c r="DE33" s="13"/>
      <c r="DF33" s="13">
        <f t="shared" ca="1" si="52"/>
        <v>2</v>
      </c>
      <c r="DG33" s="13" t="str">
        <f ca="1">IF(DB33="-","-",COUNTIFS(DF$6:DF$53,"&lt;"&amp;DF33,$BC$6:$BC$53,INDEX(T_Equipos[Grupo],MATCH(BD33,T_Equipos[NombreEquipo],0))))</f>
        <v>-</v>
      </c>
      <c r="DH33" s="13">
        <f ca="1">DA33+COUNTIFS(DB$6:DB$53,DB33,DG$6:DG$53,"&lt;"&amp;DG33,$BC$6:$BC$53,INDEX(T_Equipos[Grupo],MATCH(BD33,T_Equipos[NombreEquipo],0)))</f>
        <v>2</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9</v>
      </c>
      <c r="BK34" s="13">
        <f t="shared" ca="1" si="21"/>
        <v>2</v>
      </c>
      <c r="BL34" s="13">
        <f t="shared" ca="1" si="42"/>
        <v>7</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9</v>
      </c>
      <c r="BL35" s="13">
        <f t="shared" ca="1" si="42"/>
        <v>-9</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P.1 (2)</v>
      </c>
      <c r="F36" s="13" t="str">
        <f t="shared" ref="F36:F41" ca="1" si="113">IF(D36="Pendiente","-",INDEX($BT$6:$BT$53,MATCH($AF36,$BD$6:$BD$53,0)))</f>
        <v>-</v>
      </c>
      <c r="G36" s="13"/>
      <c r="H36" s="13" t="str">
        <f t="shared" ref="H36:H41" ca="1" si="114">IF(D36="Pendiente","-",INDEX($BZ$6:$BZ$53,MATCH($AA36,$BD$6:$BD$53,0)))</f>
        <v>P.1 (2)</v>
      </c>
      <c r="I36" s="13" t="str">
        <f t="shared" ref="I36:I41" ca="1" si="115">IF(D36="Pendiente","-",INDEX($BZ$6:$BZ$53,MATCH($AF36,$BD$6:$BD$53,0)))</f>
        <v>-</v>
      </c>
      <c r="J36" s="13"/>
      <c r="K36" s="13" t="str">
        <f t="shared" ref="K36:K41" ca="1" si="116">IF(D36="Pendiente","-",INDEX($CE$6:$CE$53,MATCH($AA36,$BD$6:$BD$53,0)))</f>
        <v>P.1 (2)</v>
      </c>
      <c r="L36" s="13" t="str">
        <f t="shared" ref="L36:L41" ca="1" si="117">IF(D36="Pendiente","-",INDEX($CE$6:$CE$53,MATCH($AF36,$BD$6:$BD$53,0)))</f>
        <v>-</v>
      </c>
      <c r="M36" s="13"/>
      <c r="N36" s="13" t="str">
        <f t="shared" ref="N36:N41" ca="1" si="118">IF(D36="Pendiente","-",INDEX($CH$6:$CH$53,MATCH($AA36,$BD$6:$BD$53,0)))</f>
        <v>P.1 (2)</v>
      </c>
      <c r="O36" s="13" t="str">
        <f t="shared" ref="O36:O41" ca="1" si="119">IF(D36="Pendiente","-",INDEX($CH$6:$CH$53,MATCH($AF36,$BD$6:$BD$53,0)))</f>
        <v>-</v>
      </c>
      <c r="P36" s="13"/>
      <c r="Q36" s="13" t="str">
        <f t="shared" ref="Q36:Q41" ca="1" si="120">IF(D36="Pendiente","-",INDEX($CN$6:$CN$53,MATCH($AA36,$BD$6:$BD$53,0)))</f>
        <v>P.1 (2)</v>
      </c>
      <c r="R36" s="13" t="str">
        <f t="shared" ref="R36:R41" ca="1" si="121">IF(D36="Pendiente","-",INDEX($CN$6:$CN$53,MATCH($AF36,$BD$6:$BD$53,0)))</f>
        <v>-</v>
      </c>
      <c r="S36" s="13"/>
      <c r="T36" s="13" t="str">
        <f t="shared" ref="T36:T41" ca="1" si="122">IF(D36="Pendiente","-",INDEX($CS$6:$CS$53,MATCH($AA36,$BD$6:$BD$53,0)))</f>
        <v>P.1 (2)</v>
      </c>
      <c r="U36" s="13" t="str">
        <f t="shared" ref="U36:U41" ca="1" si="123">IF(D36="Pendiente","-",INDEX($CS$6:$CS$53,MATCH($AF36,$BD$6:$BD$53,0)))</f>
        <v>-</v>
      </c>
      <c r="V36" s="14"/>
      <c r="W36" s="691" t="s">
        <v>3</v>
      </c>
      <c r="X36" s="21">
        <f ca="1">Horarios!C36</f>
        <v>46187.541666666664</v>
      </c>
      <c r="Y36" s="22">
        <f ca="1">Horarios!C36</f>
        <v>46187.541666666664</v>
      </c>
      <c r="Z36" s="23" t="str">
        <f>$Z$4</f>
        <v>J1</v>
      </c>
      <c r="AA36" s="24" t="str">
        <f ca="1">A37</f>
        <v>Alemania</v>
      </c>
      <c r="AB36" s="46" t="e" cm="1" vm="17">
        <f t="array" aca="1" ref="AB36" ca="1">Ver_flag_local</f>
        <v>#VALUE!</v>
      </c>
      <c r="AC36" s="47">
        <v>2</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4</v>
      </c>
      <c r="BK36" s="13">
        <f t="shared" ca="1" si="21"/>
        <v>4</v>
      </c>
      <c r="BL36" s="13">
        <f t="shared" ca="1" si="42"/>
        <v>0</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v>
      </c>
      <c r="F37" s="13" t="str">
        <f t="shared" ca="1" si="113"/>
        <v>P.1 (2)</v>
      </c>
      <c r="G37" s="13"/>
      <c r="H37" s="13" t="str">
        <f t="shared" ca="1" si="114"/>
        <v>-</v>
      </c>
      <c r="I37" s="13" t="str">
        <f t="shared" ca="1" si="115"/>
        <v>P.1 (2)</v>
      </c>
      <c r="J37" s="13"/>
      <c r="K37" s="13" t="str">
        <f t="shared" ca="1" si="116"/>
        <v>-</v>
      </c>
      <c r="L37" s="13" t="str">
        <f t="shared" ca="1" si="117"/>
        <v>P.1 (2)</v>
      </c>
      <c r="M37" s="13"/>
      <c r="N37" s="13" t="str">
        <f t="shared" ca="1" si="118"/>
        <v>-</v>
      </c>
      <c r="O37" s="13" t="str">
        <f t="shared" ca="1" si="119"/>
        <v>P.1 (2)</v>
      </c>
      <c r="P37" s="13"/>
      <c r="Q37" s="13" t="str">
        <f t="shared" ca="1" si="120"/>
        <v>-</v>
      </c>
      <c r="R37" s="13" t="str">
        <f t="shared" ca="1" si="121"/>
        <v>P.1 (2)</v>
      </c>
      <c r="S37" s="13"/>
      <c r="T37" s="13" t="str">
        <f t="shared" ca="1" si="122"/>
        <v>-</v>
      </c>
      <c r="U37" s="13" t="str">
        <f t="shared" ca="1" si="123"/>
        <v>P.1 (2)</v>
      </c>
      <c r="V37" s="14"/>
      <c r="W37" s="691"/>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3</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6</v>
      </c>
      <c r="BK37" s="13">
        <f t="shared" ca="1" si="21"/>
        <v>4</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P.1 (2)</v>
      </c>
      <c r="F38" s="13" t="str">
        <f t="shared" ca="1" si="113"/>
        <v>-</v>
      </c>
      <c r="G38" s="13"/>
      <c r="H38" s="13" t="str">
        <f t="shared" ca="1" si="114"/>
        <v>P.1 (2)</v>
      </c>
      <c r="I38" s="13" t="str">
        <f t="shared" ca="1" si="115"/>
        <v>-</v>
      </c>
      <c r="J38" s="13"/>
      <c r="K38" s="13" t="str">
        <f t="shared" ca="1" si="116"/>
        <v>P.1 (2)</v>
      </c>
      <c r="L38" s="13" t="str">
        <f t="shared" ca="1" si="117"/>
        <v>-</v>
      </c>
      <c r="M38" s="13"/>
      <c r="N38" s="13" t="str">
        <f t="shared" ca="1" si="118"/>
        <v>P.1 (2)</v>
      </c>
      <c r="O38" s="13" t="str">
        <f t="shared" ca="1" si="119"/>
        <v>-</v>
      </c>
      <c r="P38" s="13"/>
      <c r="Q38" s="13" t="str">
        <f t="shared" ca="1" si="120"/>
        <v>P.1 (2)</v>
      </c>
      <c r="R38" s="13" t="str">
        <f t="shared" ca="1" si="121"/>
        <v>-</v>
      </c>
      <c r="S38" s="13"/>
      <c r="T38" s="13" t="str">
        <f t="shared" ca="1" si="122"/>
        <v>P.1 (2)</v>
      </c>
      <c r="U38" s="13" t="str">
        <f t="shared" ca="1" si="123"/>
        <v>-</v>
      </c>
      <c r="V38" s="14"/>
      <c r="W38" s="691"/>
      <c r="X38" s="21">
        <f ca="1">Horarios!C38</f>
        <v>46193.666666666664</v>
      </c>
      <c r="Y38" s="22">
        <f ca="1">Horarios!C38</f>
        <v>46193.666666666664</v>
      </c>
      <c r="Z38" s="23" t="str">
        <f>$Z$6</f>
        <v>J2</v>
      </c>
      <c r="AA38" s="24" t="str">
        <f ca="1">A37</f>
        <v>Alemania</v>
      </c>
      <c r="AB38" s="46" t="e" cm="1" vm="17">
        <f t="array" aca="1" ref="AB38" ca="1">Ver_flag_local</f>
        <v>#VALUE!</v>
      </c>
      <c r="AC38" s="47">
        <v>3</v>
      </c>
      <c r="AD38" s="48">
        <v>2</v>
      </c>
      <c r="AE38" s="582" t="e" cm="1" vm="19">
        <f t="array" aca="1" ref="AE38" ca="1">Ver_flag_visit</f>
        <v>#VALUE!</v>
      </c>
      <c r="AF38" s="29" t="str">
        <f ca="1">A39</f>
        <v>Costa de Marfil</v>
      </c>
      <c r="AG38" s="311">
        <f t="shared" si="124"/>
        <v>1</v>
      </c>
      <c r="AH38" s="188">
        <v>33</v>
      </c>
      <c r="AI38" s="177" t="str">
        <f>AJ38&amp;$B$36</f>
        <v>1E</v>
      </c>
      <c r="AJ38" s="37">
        <v>1</v>
      </c>
      <c r="AK38" s="588" t="e" cm="1" vm="20">
        <f t="array" aca="1" ref="AK38" ca="1">Ver_flag_visit</f>
        <v>#VALUE!</v>
      </c>
      <c r="AL38" s="31" t="str">
        <f ca="1">IFERROR(INDEX($BD$6:$BD$53,MATCH(AI38,$BN$6:$BN$53,0)),"")</f>
        <v>Ecuador</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7</v>
      </c>
      <c r="AS38" s="33">
        <f t="shared" ca="1" si="127"/>
        <v>3</v>
      </c>
      <c r="AT38" s="38">
        <f t="shared" ca="1" si="127"/>
        <v>4</v>
      </c>
      <c r="AU38" s="318">
        <f ca="1">INDEX($DL$6:$DL$53,MATCH(AI38,$DP$6:$DP$53,0))</f>
        <v>1</v>
      </c>
      <c r="AV38" s="178" t="str">
        <f ca="1">INDEX($BD$6:$BD$53,MATCH(AI38,$BM$6:$BM$53,0))</f>
        <v>Ecuador</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10</v>
      </c>
      <c r="BK38" s="13">
        <f t="shared" ca="1" si="21"/>
        <v>3</v>
      </c>
      <c r="BL38" s="13">
        <f t="shared" ca="1" si="42"/>
        <v>7</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P.1 (2)</v>
      </c>
      <c r="F39" s="13" t="str">
        <f t="shared" ca="1" si="113"/>
        <v>-</v>
      </c>
      <c r="G39" s="13"/>
      <c r="H39" s="13" t="str">
        <f t="shared" ca="1" si="114"/>
        <v>P.1 (2)</v>
      </c>
      <c r="I39" s="13" t="str">
        <f t="shared" ca="1" si="115"/>
        <v>-</v>
      </c>
      <c r="J39" s="13"/>
      <c r="K39" s="13" t="str">
        <f t="shared" ca="1" si="116"/>
        <v>P.1 (2)</v>
      </c>
      <c r="L39" s="13" t="str">
        <f t="shared" ca="1" si="117"/>
        <v>-</v>
      </c>
      <c r="M39" s="13"/>
      <c r="N39" s="13" t="str">
        <f t="shared" ca="1" si="118"/>
        <v>P.1 (2)</v>
      </c>
      <c r="O39" s="13" t="str">
        <f t="shared" ca="1" si="119"/>
        <v>-</v>
      </c>
      <c r="P39" s="13"/>
      <c r="Q39" s="13" t="str">
        <f t="shared" ca="1" si="120"/>
        <v>P.1 (2)</v>
      </c>
      <c r="R39" s="13" t="str">
        <f t="shared" ca="1" si="121"/>
        <v>-</v>
      </c>
      <c r="S39" s="13"/>
      <c r="T39" s="13" t="str">
        <f t="shared" ca="1" si="122"/>
        <v>P.1 (2)</v>
      </c>
      <c r="U39" s="13" t="str">
        <f t="shared" ca="1" si="123"/>
        <v>-</v>
      </c>
      <c r="V39" s="14"/>
      <c r="W39" s="691"/>
      <c r="X39" s="21">
        <f ca="1">Horarios!C39</f>
        <v>46193.833333333336</v>
      </c>
      <c r="Y39" s="22">
        <f ca="1">Horarios!C39</f>
        <v>46193.833333333336</v>
      </c>
      <c r="Z39" s="23" t="str">
        <f>$Z$6</f>
        <v>J2</v>
      </c>
      <c r="AA39" s="24" t="str">
        <f ca="1">A40</f>
        <v>Ecuador</v>
      </c>
      <c r="AB39" s="46" t="e" cm="1" vm="20">
        <f t="array" aca="1" ref="AB39" ca="1">Ver_flag_local</f>
        <v>#VALUE!</v>
      </c>
      <c r="AC39" s="47">
        <v>2</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17">
        <f t="array" aca="1" ref="AK39" ca="1">Ver_flag_visit</f>
        <v>#VALUE!</v>
      </c>
      <c r="AL39" s="34" t="str">
        <f ca="1">IFERROR(INDEX($BD$6:$BD$53,MATCH(AI39,$BN$6:$BN$53,0)),"")</f>
        <v>Alemania</v>
      </c>
      <c r="AM39" s="35">
        <f t="shared" ca="1" si="127"/>
        <v>7</v>
      </c>
      <c r="AN39" s="36">
        <f t="shared" ca="1" si="127"/>
        <v>3</v>
      </c>
      <c r="AO39" s="36">
        <f t="shared" ca="1" si="127"/>
        <v>2</v>
      </c>
      <c r="AP39" s="36">
        <f t="shared" ca="1" si="127"/>
        <v>1</v>
      </c>
      <c r="AQ39" s="36">
        <f t="shared" ca="1" si="127"/>
        <v>0</v>
      </c>
      <c r="AR39" s="36">
        <f t="shared" ca="1" si="127"/>
        <v>7</v>
      </c>
      <c r="AS39" s="36">
        <f t="shared" ca="1" si="127"/>
        <v>4</v>
      </c>
      <c r="AT39" s="40">
        <f t="shared" ca="1" si="127"/>
        <v>3</v>
      </c>
      <c r="AU39" s="318">
        <f ca="1">INDEX($DL$6:$DL$53,MATCH(AI39,$DP$6:$DP$53,0))</f>
        <v>1</v>
      </c>
      <c r="AV39" s="178" t="str">
        <f ca="1">INDEX($BD$6:$BD$53,MATCH(AI39,$BM$6:$BM$53,0))</f>
        <v>Alemania</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5</v>
      </c>
      <c r="BK39" s="13">
        <f t="shared" ca="1" si="21"/>
        <v>6</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2</v>
      </c>
      <c r="CB39" s="13">
        <f t="shared" ca="1" si="28"/>
        <v>2</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2</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2</v>
      </c>
      <c r="CP39" s="13">
        <f t="shared" ca="1" si="34"/>
        <v>2</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2</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-1</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1"/>
      <c r="X40" s="21">
        <f ca="1">Horarios!C40</f>
        <v>46198.666666666664</v>
      </c>
      <c r="Y40" s="22">
        <f ca="1">Horarios!C40</f>
        <v>46198.666666666664</v>
      </c>
      <c r="Z40" s="23" t="str">
        <f>$Z$8</f>
        <v>J3</v>
      </c>
      <c r="AA40" s="24" t="str">
        <f ca="1">A38</f>
        <v>Curazao</v>
      </c>
      <c r="AB40" s="46" t="e" cm="1" vm="18">
        <f t="array" aca="1" ref="AB40" ca="1">Ver_flag_local</f>
        <v>#VALUE!</v>
      </c>
      <c r="AC40" s="47">
        <v>1</v>
      </c>
      <c r="AD40" s="48">
        <v>2</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5</v>
      </c>
      <c r="AS40" s="36">
        <f t="shared" ca="1" si="127"/>
        <v>7</v>
      </c>
      <c r="AT40" s="40">
        <f t="shared" ca="1" si="127"/>
        <v>-2</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2</v>
      </c>
      <c r="BK40" s="13">
        <f t="shared" ca="1" si="21"/>
        <v>9</v>
      </c>
      <c r="BL40" s="13">
        <f t="shared" ca="1" si="42"/>
        <v>-7</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Empate</v>
      </c>
      <c r="E41" s="13" t="str">
        <f t="shared" ca="1" si="112"/>
        <v>P.1 (2)</v>
      </c>
      <c r="F41" s="13" t="str">
        <f t="shared" ca="1" si="113"/>
        <v>P.1 (2)</v>
      </c>
      <c r="G41" s="13"/>
      <c r="H41" s="13" t="str">
        <f t="shared" ca="1" si="114"/>
        <v>P.1 (2)</v>
      </c>
      <c r="I41" s="13" t="str">
        <f t="shared" ca="1" si="115"/>
        <v>P.1 (2)</v>
      </c>
      <c r="J41" s="13"/>
      <c r="K41" s="13" t="str">
        <f t="shared" ca="1" si="116"/>
        <v>P.1 (2)</v>
      </c>
      <c r="L41" s="13" t="str">
        <f t="shared" ca="1" si="117"/>
        <v>P.1 (2)</v>
      </c>
      <c r="M41" s="13"/>
      <c r="N41" s="13" t="str">
        <f t="shared" ca="1" si="118"/>
        <v>P.1 (2)</v>
      </c>
      <c r="O41" s="13" t="str">
        <f t="shared" ca="1" si="119"/>
        <v>P.1 (2)</v>
      </c>
      <c r="P41" s="13"/>
      <c r="Q41" s="13" t="str">
        <f t="shared" ca="1" si="120"/>
        <v>P.1 (2)</v>
      </c>
      <c r="R41" s="13" t="str">
        <f t="shared" ca="1" si="121"/>
        <v>P.1 (2)</v>
      </c>
      <c r="S41" s="13"/>
      <c r="T41" s="13" t="str">
        <f t="shared" ca="1" si="122"/>
        <v>P.1 (2)</v>
      </c>
      <c r="U41" s="13" t="str">
        <f t="shared" ca="1" si="123"/>
        <v>P.1 (2)</v>
      </c>
      <c r="V41" s="14"/>
      <c r="W41" s="692"/>
      <c r="X41" s="25">
        <f ca="1">Horarios!C41</f>
        <v>46198.666666666664</v>
      </c>
      <c r="Y41" s="26">
        <f ca="1">Horarios!C41</f>
        <v>46198.666666666664</v>
      </c>
      <c r="Z41" s="27" t="str">
        <f>$Z$8</f>
        <v>J3</v>
      </c>
      <c r="AA41" s="28" t="str">
        <f ca="1">A40</f>
        <v>Ecuador</v>
      </c>
      <c r="AB41" s="49" t="e" cm="1" vm="20">
        <f t="array" aca="1" ref="AB41" ca="1">Ver_flag_local</f>
        <v>#VALUE!</v>
      </c>
      <c r="AC41" s="50">
        <v>2</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6</v>
      </c>
      <c r="AT41" s="45">
        <f t="shared" ca="1" si="127"/>
        <v>-5</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7</v>
      </c>
      <c r="BK41" s="13">
        <f t="shared" ca="1" si="21"/>
        <v>6</v>
      </c>
      <c r="BL41" s="13">
        <f t="shared" ca="1" si="42"/>
        <v>1</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P.2 (2)</v>
      </c>
      <c r="BU41" s="13">
        <f t="shared" ca="1" si="24"/>
        <v>0</v>
      </c>
      <c r="BV41" s="13">
        <f t="shared" ca="1" si="25"/>
        <v>1</v>
      </c>
      <c r="BW41" s="13">
        <f t="shared" ca="1" si="26"/>
        <v>0</v>
      </c>
      <c r="BX41" s="13">
        <f t="shared" ca="1" si="48"/>
        <v>1</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P.2 (2)</v>
      </c>
      <c r="CA41" s="13">
        <f t="shared" ca="1" si="27"/>
        <v>2</v>
      </c>
      <c r="CB41" s="13">
        <f t="shared" ca="1" si="28"/>
        <v>2</v>
      </c>
      <c r="CC41" s="13">
        <f t="shared" ca="1" si="49"/>
        <v>0</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P.2 (2)</v>
      </c>
      <c r="CF41" s="13">
        <f t="shared" ca="1" si="29"/>
        <v>2</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P.2 (2)</v>
      </c>
      <c r="CI41" s="13">
        <f t="shared" ca="1" si="30"/>
        <v>0</v>
      </c>
      <c r="CJ41" s="13">
        <f t="shared" ca="1" si="31"/>
        <v>1</v>
      </c>
      <c r="CK41" s="13">
        <f t="shared" ca="1" si="32"/>
        <v>0</v>
      </c>
      <c r="CL41" s="13">
        <f t="shared" ca="1" si="50"/>
        <v>1</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P.2 (2)</v>
      </c>
      <c r="CO41" s="13">
        <f t="shared" ca="1" si="33"/>
        <v>2</v>
      </c>
      <c r="CP41" s="13">
        <f t="shared" ca="1" si="34"/>
        <v>2</v>
      </c>
      <c r="CQ41" s="13">
        <f t="shared" ca="1" si="51"/>
        <v>0</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P.2 (2)</v>
      </c>
      <c r="CT41" s="13">
        <f t="shared" ca="1" si="35"/>
        <v>2</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P.2 (2)</v>
      </c>
      <c r="CW41" s="13">
        <f t="shared" ca="1" si="36"/>
        <v>1</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6</v>
      </c>
      <c r="BK42" s="13">
        <f t="shared" ca="1" si="21"/>
        <v>0</v>
      </c>
      <c r="BL42" s="13">
        <f t="shared" ca="1" si="42"/>
        <v>6</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6</v>
      </c>
      <c r="BF43" s="13">
        <f t="shared" ca="1" si="41"/>
        <v>3</v>
      </c>
      <c r="BG43" s="13">
        <f t="shared" ca="1" si="17"/>
        <v>2</v>
      </c>
      <c r="BH43" s="13">
        <f t="shared" ca="1" si="18"/>
        <v>0</v>
      </c>
      <c r="BI43" s="13">
        <f t="shared" ca="1" si="19"/>
        <v>1</v>
      </c>
      <c r="BJ43" s="13">
        <f t="shared" ca="1" si="20"/>
        <v>5</v>
      </c>
      <c r="BK43" s="13">
        <f t="shared" ca="1" si="21"/>
        <v>3</v>
      </c>
      <c r="BL43" s="13">
        <f t="shared" ca="1" si="42"/>
        <v>2</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6</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05" customHeight="1" thickBot="1">
      <c r="A44" s="13" t="s">
        <v>32</v>
      </c>
      <c r="B44" s="13" t="s">
        <v>4</v>
      </c>
      <c r="C44" s="13">
        <f>COUNTIF(Equipos!$C$2:$C$49,WORLDCUP!B44)</f>
        <v>4</v>
      </c>
      <c r="D44" s="13" t="str">
        <f t="shared" ref="D44:D49" si="131">IF(OR(AC44="",AD44=""),"Pendiente",IF(AC44&gt;AD44,"Local",IF(AC44&lt;AD44,"Visitante","Empate")))</f>
        <v>Visitante</v>
      </c>
      <c r="E44" s="13" t="str">
        <f t="shared" ref="E44:E49" ca="1" si="132">IF(D44="Pendiente","-",INDEX($BT$6:$BT$53,MATCH($AA44,$BD$6:$BD$53,0)))</f>
        <v>P.1 (2)</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54" t="s">
        <v>4</v>
      </c>
      <c r="X44" s="21">
        <f ca="1">Horarios!C44</f>
        <v>46187.666666666664</v>
      </c>
      <c r="Y44" s="22">
        <f ca="1">Horarios!C44</f>
        <v>46187.666666666664</v>
      </c>
      <c r="Z44" s="23" t="str">
        <f>$Z$4</f>
        <v>J1</v>
      </c>
      <c r="AA44" s="24" t="str">
        <f ca="1">A45</f>
        <v>Países Bajos</v>
      </c>
      <c r="AB44" s="46" t="e" cm="1" vm="21">
        <f t="array" aca="1" ref="AB44" ca="1">Ver_flag_local</f>
        <v>#VALUE!</v>
      </c>
      <c r="AC44" s="47">
        <v>1</v>
      </c>
      <c r="AD44" s="48">
        <v>3</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1</v>
      </c>
      <c r="BF44" s="13">
        <f t="shared" ca="1" si="41"/>
        <v>3</v>
      </c>
      <c r="BG44" s="13">
        <f t="shared" ca="1" si="17"/>
        <v>0</v>
      </c>
      <c r="BH44" s="13">
        <f t="shared" ca="1" si="18"/>
        <v>1</v>
      </c>
      <c r="BI44" s="13">
        <f t="shared" ca="1" si="19"/>
        <v>2</v>
      </c>
      <c r="BJ44" s="13">
        <f t="shared" ca="1" si="20"/>
        <v>1</v>
      </c>
      <c r="BK44" s="13">
        <f t="shared" ca="1" si="21"/>
        <v>6</v>
      </c>
      <c r="BL44" s="13">
        <f t="shared" ca="1" si="42"/>
        <v>-5</v>
      </c>
      <c r="BM44" s="13" t="str">
        <f t="shared" ca="1" si="22"/>
        <v>4J</v>
      </c>
      <c r="BN44" s="13" t="str">
        <f t="shared" ca="1" si="23"/>
        <v>4J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1</v>
      </c>
      <c r="BS44" s="13">
        <f ca="1">BP44+COUNTIFS($BQ$6:$BQ$53,BQ44,$BR$6:BR$53,"&gt;"&amp;BR44,$BC$6:$BC$53,INDEX(T_Equipos[Grupo],MATCH(BD44,T_Equipos[NombreEquipo],0)))</f>
        <v>3</v>
      </c>
      <c r="BT44" s="13" t="str">
        <f ca="1">IF(COUNTIFS($BS$6:$BS$53,BS44,$BC$6:$BC$53,INDEX(T_Equipos[Grupo],MATCH(BD44,T_Equipos[NombreEquipo],0)))=1,"-","P."&amp;BS44&amp;" ("&amp;COUNTIFS($BS$6:$BS$53,BS44,$BC$6:$BC$53,INDEX(T_Equipos[Grupo],MATCH(BD44,T_Equipos[NombreEquipo],0)))&amp;")")</f>
        <v>P.3 (2)</v>
      </c>
      <c r="BU44" s="13">
        <f t="shared" ca="1" si="24"/>
        <v>0</v>
      </c>
      <c r="BV44" s="13">
        <f t="shared" ca="1" si="25"/>
        <v>1</v>
      </c>
      <c r="BW44" s="13">
        <f t="shared" ca="1" si="26"/>
        <v>0</v>
      </c>
      <c r="BX44" s="13">
        <f t="shared" ca="1" si="48"/>
        <v>1</v>
      </c>
      <c r="BY44" s="13">
        <f ca="1">BS44+COUNTIFS($BT$6:$BT$53,BT44,$BX$6:BX$53,"&gt;"&amp;BX44,$BC$6:$BC$53,INDEX(T_Equipos[Grupo],MATCH(BD44,T_Equipos[NombreEquipo],0)))</f>
        <v>3</v>
      </c>
      <c r="BZ44" s="13" t="str">
        <f ca="1">IF(COUNTIFS($BY$6:$BY$53,BY44,$BC$6:$BC$53,INDEX(T_Equipos[Grupo],MATCH(BD44,T_Equipos[NombreEquipo],0)))=1,"-","P."&amp;BY44&amp;" ("&amp;COUNTIFS($BY$6:$BY$53,BY44,$BC$6:$BC$53,INDEX(T_Equipos[Grupo],MATCH(BD44,T_Equipos[NombreEquipo],0)))&amp;")")</f>
        <v>P.3 (2)</v>
      </c>
      <c r="CA44" s="13">
        <f t="shared" ca="1" si="27"/>
        <v>1</v>
      </c>
      <c r="CB44" s="13">
        <f t="shared" ca="1" si="28"/>
        <v>1</v>
      </c>
      <c r="CC44" s="13">
        <f t="shared" ca="1" si="49"/>
        <v>0</v>
      </c>
      <c r="CD44" s="13">
        <f ca="1">BY44+COUNTIFS($BZ$6:$BZ$53,BZ44,$CC$6:CC$53,"&gt;"&amp;CC44,$BC$6:$BC$53,INDEX(T_Equipos[Grupo],MATCH(BD44,T_Equipos[NombreEquipo],0)))</f>
        <v>3</v>
      </c>
      <c r="CE44" s="13" t="str">
        <f ca="1">IF(COUNTIFS($CD$6:$CD$53,CD44,$BC$6:$BC$53,INDEX(T_Equipos[Grupo],MATCH(BD44,T_Equipos[NombreEquipo],0)))=1,"-","P."&amp;CD44&amp;" ("&amp;COUNTIFS($CD$6:$CD$53,CD44,$BC$6:$BC$53,INDEX(T_Equipos[Grupo],MATCH(BD44,T_Equipos[NombreEquipo],0)))&amp;")")</f>
        <v>P.3 (2)</v>
      </c>
      <c r="CF44" s="13">
        <f t="shared" ca="1" si="29"/>
        <v>1</v>
      </c>
      <c r="CG44" s="13">
        <f ca="1">CD44+COUNTIFS($CE$6:$CE$53,CE44,$CF$6:CF$53,"&gt;"&amp;CF44,$BC$6:$BC$53,INDEX(T_Equipos[Grupo],MATCH(BD44,T_Equipos[NombreEquipo],0)))</f>
        <v>3</v>
      </c>
      <c r="CH44" s="13" t="str">
        <f ca="1">IF(COUNTIFS($CG$6:$CG$53,CG44,$BC$6:$BC$53,INDEX(T_Equipos[Grupo],MATCH(BD44,T_Equipos[NombreEquipo],0)))=1,"-","P."&amp;CG44&amp;" ("&amp;COUNTIFS($CG$6:$CG$53,CG44,$BC$6:$BC$53,INDEX(T_Equipos[Grupo],MATCH(BD44,T_Equipos[NombreEquipo],0)))&amp;")")</f>
        <v>P.3 (2)</v>
      </c>
      <c r="CI44" s="13">
        <f t="shared" ca="1" si="30"/>
        <v>0</v>
      </c>
      <c r="CJ44" s="13">
        <f t="shared" ca="1" si="31"/>
        <v>1</v>
      </c>
      <c r="CK44" s="13">
        <f t="shared" ca="1" si="32"/>
        <v>0</v>
      </c>
      <c r="CL44" s="13">
        <f t="shared" ca="1" si="50"/>
        <v>1</v>
      </c>
      <c r="CM44" s="13">
        <f ca="1">CG44+COUNTIFS($CH$6:$CH$53,CH44,$CL$6:CL$53,"&gt;"&amp;CL44,$BC$6:$BC$53,INDEX(T_Equipos[Grupo],MATCH(BD44,T_Equipos[NombreEquipo],0)))</f>
        <v>3</v>
      </c>
      <c r="CN44" s="13" t="str">
        <f ca="1">IF(COUNTIFS($CM$6:$CM$53,CM44,$BC$6:$BC$53,INDEX(T_Equipos[Grupo],MATCH(BD44,T_Equipos[NombreEquipo],0)))=1,"-","P."&amp;CM44&amp;" ("&amp;COUNTIFS($CM$6:$CM$53,CM44,$BC$6:$BC$53,INDEX(T_Equipos[Grupo],MATCH(BD44,T_Equipos[NombreEquipo],0)))&amp;")")</f>
        <v>P.3 (2)</v>
      </c>
      <c r="CO44" s="13">
        <f t="shared" ca="1" si="33"/>
        <v>1</v>
      </c>
      <c r="CP44" s="13">
        <f t="shared" ca="1" si="34"/>
        <v>1</v>
      </c>
      <c r="CQ44" s="13">
        <f t="shared" ca="1" si="51"/>
        <v>0</v>
      </c>
      <c r="CR44" s="13">
        <f ca="1">CM44+COUNTIFS($CN$6:$CN$53,CN44,$CQ$6:CQ$53,"&gt;"&amp;CQ44,$BC$6:$BC$53,INDEX(T_Equipos[Grupo],MATCH(BD44,T_Equipos[NombreEquipo],0)))</f>
        <v>3</v>
      </c>
      <c r="CS44" s="13" t="str">
        <f ca="1">IF(COUNTIFS($CR$6:$CR$53,CR44,$BC$6:$BC$53,INDEX(T_Equipos[Grupo],MATCH(BD44,T_Equipos[NombreEquipo],0)))=1,"-","P."&amp;CR44&amp;" ("&amp;COUNTIFS($CR$6:$CR$53,CR44,$BC$6:$BC$53,INDEX(T_Equipos[Grupo],MATCH(BD44,T_Equipos[NombreEquipo],0)))&amp;")")</f>
        <v>P.3 (2)</v>
      </c>
      <c r="CT44" s="13">
        <f t="shared" ca="1" si="35"/>
        <v>1</v>
      </c>
      <c r="CU44" s="13">
        <f ca="1">CR44+COUNTIFS($CS$6:$CS$53,CS44,$CT$6:CT$53,"&gt;"&amp;CT44,$BC$6:$BC$53,INDEX(T_Equipos[Grupo],MATCH(BD44,T_Equipos[NombreEquipo],0)))</f>
        <v>3</v>
      </c>
      <c r="CV44" s="13" t="str">
        <f ca="1">IF(COUNTIFS($CU$6:$CU$53,CU44,$BC$6:$BC$53,INDEX(T_Equipos[Grupo],MATCH(BD44,T_Equipos[NombreEquipo],0)))=1,"-","P."&amp;CU44&amp;" ("&amp;COUNTIFS($CU$6:$CU$53,CU44,$BC$6:$BC$53,INDEX(T_Equipos[Grupo],MATCH(BD44,T_Equipos[NombreEquipo],0)))&amp;")")</f>
        <v>P.3 (2)</v>
      </c>
      <c r="CW44" s="13">
        <f t="shared" ca="1" si="36"/>
        <v>-5</v>
      </c>
      <c r="CX44" s="13">
        <f ca="1">CU44+COUNTIFS($CV$6:$CV$53,CV44,$CW$6:CW$53,"&gt;"&amp;CW44,$BC$6:$BC$53,INDEX(T_Equipos[Grupo],MATCH(BD44,T_Equipos[NombreEquipo],0)))</f>
        <v>4</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4</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4</v>
      </c>
      <c r="DE44" s="13"/>
      <c r="DF44" s="13">
        <f t="shared" ca="1" si="52"/>
        <v>4</v>
      </c>
      <c r="DG44" s="13" t="str">
        <f ca="1">IF(DB44="-","-",COUNTIFS(DF$6:DF$53,"&lt;"&amp;DF44,$BC$6:$BC$53,INDEX(T_Equipos[Grupo],MATCH(BD44,T_Equipos[NombreEquipo],0))))</f>
        <v>-</v>
      </c>
      <c r="DH44" s="13">
        <f ca="1">DA44+COUNTIFS(DB$6:DB$53,DB44,DG$6:DG$53,"&lt;"&amp;DG44,$BC$6:$BC$53,INDEX(T_Equipos[Grupo],MATCH(BD44,T_Equipos[NombreEquipo],0)))</f>
        <v>4</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Jordania</v>
      </c>
    </row>
    <row r="45" spans="1:121" ht="16.05" customHeight="1">
      <c r="A45" s="13" t="str">
        <f ca="1">+Equipos!B22</f>
        <v>Países Bajos</v>
      </c>
      <c r="B45" s="13"/>
      <c r="C45" s="13"/>
      <c r="D45" s="13" t="str">
        <f t="shared" si="131"/>
        <v>Local</v>
      </c>
      <c r="E45" s="13" t="str">
        <f t="shared" ca="1" si="132"/>
        <v>P.1 (2)</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54"/>
      <c r="X45" s="21">
        <f ca="1">Horarios!C45</f>
        <v>46187.916666666664</v>
      </c>
      <c r="Y45" s="22">
        <f ca="1">Horarios!C45</f>
        <v>46187.916666666664</v>
      </c>
      <c r="Z45" s="23" t="str">
        <f>$Z$4</f>
        <v>J1</v>
      </c>
      <c r="AA45" s="24" t="str">
        <f ca="1">A47</f>
        <v>Suecia</v>
      </c>
      <c r="AB45" s="46" t="e" cm="1" vm="23">
        <f t="array" aca="1" ref="AB45" ca="1">Ver_flag_local</f>
        <v>#VALUE!</v>
      </c>
      <c r="AC45" s="47">
        <v>2</v>
      </c>
      <c r="AD45" s="48">
        <v>1</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2</v>
      </c>
      <c r="BK45" s="13">
        <f t="shared" ca="1" si="21"/>
        <v>5</v>
      </c>
      <c r="BL45" s="13">
        <f t="shared" ca="1" si="42"/>
        <v>-3</v>
      </c>
      <c r="BM45" s="13" t="str">
        <f t="shared" ca="1" si="22"/>
        <v>3J</v>
      </c>
      <c r="BN45" s="13" t="str">
        <f t="shared" ca="1" si="23"/>
        <v>3J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3</v>
      </c>
      <c r="BT45" s="13" t="str">
        <f ca="1">IF(COUNTIFS($BS$6:$BS$53,BS45,$BC$6:$BC$53,INDEX(T_Equipos[Grupo],MATCH(BD45,T_Equipos[NombreEquipo],0)))=1,"-","P."&amp;BS45&amp;" ("&amp;COUNTIFS($BS$6:$BS$53,BS45,$BC$6:$BC$53,INDEX(T_Equipos[Grupo],MATCH(BD45,T_Equipos[NombreEquipo],0)))&amp;")")</f>
        <v>P.3 (2)</v>
      </c>
      <c r="BU45" s="13">
        <f t="shared" ca="1" si="24"/>
        <v>0</v>
      </c>
      <c r="BV45" s="13">
        <f t="shared" ca="1" si="25"/>
        <v>1</v>
      </c>
      <c r="BW45" s="13">
        <f t="shared" ca="1" si="26"/>
        <v>0</v>
      </c>
      <c r="BX45" s="13">
        <f t="shared" ca="1" si="48"/>
        <v>1</v>
      </c>
      <c r="BY45" s="13">
        <f ca="1">BS45+COUNTIFS($BT$6:$BT$53,BT45,$BX$6:BX$53,"&gt;"&amp;BX45,$BC$6:$BC$53,INDEX(T_Equipos[Grupo],MATCH(BD45,T_Equipos[NombreEquipo],0)))</f>
        <v>3</v>
      </c>
      <c r="BZ45" s="13" t="str">
        <f ca="1">IF(COUNTIFS($BY$6:$BY$53,BY45,$BC$6:$BC$53,INDEX(T_Equipos[Grupo],MATCH(BD45,T_Equipos[NombreEquipo],0)))=1,"-","P."&amp;BY45&amp;" ("&amp;COUNTIFS($BY$6:$BY$53,BY45,$BC$6:$BC$53,INDEX(T_Equipos[Grupo],MATCH(BD45,T_Equipos[NombreEquipo],0)))&amp;")")</f>
        <v>P.3 (2)</v>
      </c>
      <c r="CA45" s="13">
        <f t="shared" ca="1" si="27"/>
        <v>1</v>
      </c>
      <c r="CB45" s="13">
        <f t="shared" ca="1" si="28"/>
        <v>1</v>
      </c>
      <c r="CC45" s="13">
        <f t="shared" ca="1" si="49"/>
        <v>0</v>
      </c>
      <c r="CD45" s="13">
        <f ca="1">BY45+COUNTIFS($BZ$6:$BZ$53,BZ45,$CC$6:CC$53,"&gt;"&amp;CC45,$BC$6:$BC$53,INDEX(T_Equipos[Grupo],MATCH(BD45,T_Equipos[NombreEquipo],0)))</f>
        <v>3</v>
      </c>
      <c r="CE45" s="13" t="str">
        <f ca="1">IF(COUNTIFS($CD$6:$CD$53,CD45,$BC$6:$BC$53,INDEX(T_Equipos[Grupo],MATCH(BD45,T_Equipos[NombreEquipo],0)))=1,"-","P."&amp;CD45&amp;" ("&amp;COUNTIFS($CD$6:$CD$53,CD45,$BC$6:$BC$53,INDEX(T_Equipos[Grupo],MATCH(BD45,T_Equipos[NombreEquipo],0)))&amp;")")</f>
        <v>P.3 (2)</v>
      </c>
      <c r="CF45" s="13">
        <f t="shared" ca="1" si="29"/>
        <v>1</v>
      </c>
      <c r="CG45" s="13">
        <f ca="1">CD45+COUNTIFS($CE$6:$CE$53,CE45,$CF$6:CF$53,"&gt;"&amp;CF45,$BC$6:$BC$53,INDEX(T_Equipos[Grupo],MATCH(BD45,T_Equipos[NombreEquipo],0)))</f>
        <v>3</v>
      </c>
      <c r="CH45" s="13" t="str">
        <f ca="1">IF(COUNTIFS($CG$6:$CG$53,CG45,$BC$6:$BC$53,INDEX(T_Equipos[Grupo],MATCH(BD45,T_Equipos[NombreEquipo],0)))=1,"-","P."&amp;CG45&amp;" ("&amp;COUNTIFS($CG$6:$CG$53,CG45,$BC$6:$BC$53,INDEX(T_Equipos[Grupo],MATCH(BD45,T_Equipos[NombreEquipo],0)))&amp;")")</f>
        <v>P.3 (2)</v>
      </c>
      <c r="CI45" s="13">
        <f t="shared" ca="1" si="30"/>
        <v>0</v>
      </c>
      <c r="CJ45" s="13">
        <f t="shared" ca="1" si="31"/>
        <v>1</v>
      </c>
      <c r="CK45" s="13">
        <f t="shared" ca="1" si="32"/>
        <v>0</v>
      </c>
      <c r="CL45" s="13">
        <f t="shared" ca="1" si="50"/>
        <v>1</v>
      </c>
      <c r="CM45" s="13">
        <f ca="1">CG45+COUNTIFS($CH$6:$CH$53,CH45,$CL$6:CL$53,"&gt;"&amp;CL45,$BC$6:$BC$53,INDEX(T_Equipos[Grupo],MATCH(BD45,T_Equipos[NombreEquipo],0)))</f>
        <v>3</v>
      </c>
      <c r="CN45" s="13" t="str">
        <f ca="1">IF(COUNTIFS($CM$6:$CM$53,CM45,$BC$6:$BC$53,INDEX(T_Equipos[Grupo],MATCH(BD45,T_Equipos[NombreEquipo],0)))=1,"-","P."&amp;CM45&amp;" ("&amp;COUNTIFS($CM$6:$CM$53,CM45,$BC$6:$BC$53,INDEX(T_Equipos[Grupo],MATCH(BD45,T_Equipos[NombreEquipo],0)))&amp;")")</f>
        <v>P.3 (2)</v>
      </c>
      <c r="CO45" s="13">
        <f t="shared" ca="1" si="33"/>
        <v>1</v>
      </c>
      <c r="CP45" s="13">
        <f t="shared" ca="1" si="34"/>
        <v>1</v>
      </c>
      <c r="CQ45" s="13">
        <f t="shared" ca="1" si="51"/>
        <v>0</v>
      </c>
      <c r="CR45" s="13">
        <f ca="1">CM45+COUNTIFS($CN$6:$CN$53,CN45,$CQ$6:CQ$53,"&gt;"&amp;CQ45,$BC$6:$BC$53,INDEX(T_Equipos[Grupo],MATCH(BD45,T_Equipos[NombreEquipo],0)))</f>
        <v>3</v>
      </c>
      <c r="CS45" s="13" t="str">
        <f ca="1">IF(COUNTIFS($CR$6:$CR$53,CR45,$BC$6:$BC$53,INDEX(T_Equipos[Grupo],MATCH(BD45,T_Equipos[NombreEquipo],0)))=1,"-","P."&amp;CR45&amp;" ("&amp;COUNTIFS($CR$6:$CR$53,CR45,$BC$6:$BC$53,INDEX(T_Equipos[Grupo],MATCH(BD45,T_Equipos[NombreEquipo],0)))&amp;")")</f>
        <v>P.3 (2)</v>
      </c>
      <c r="CT45" s="13">
        <f t="shared" ca="1" si="35"/>
        <v>1</v>
      </c>
      <c r="CU45" s="13">
        <f ca="1">CR45+COUNTIFS($CS$6:$CS$53,CS45,$CT$6:CT$53,"&gt;"&amp;CT45,$BC$6:$BC$53,INDEX(T_Equipos[Grupo],MATCH(BD45,T_Equipos[NombreEquipo],0)))</f>
        <v>3</v>
      </c>
      <c r="CV45" s="13" t="str">
        <f ca="1">IF(COUNTIFS($CU$6:$CU$53,CU45,$BC$6:$BC$53,INDEX(T_Equipos[Grupo],MATCH(BD45,T_Equipos[NombreEquipo],0)))=1,"-","P."&amp;CU45&amp;" ("&amp;COUNTIFS($CU$6:$CU$53,CU45,$BC$6:$BC$53,INDEX(T_Equipos[Grupo],MATCH(BD45,T_Equipos[NombreEquipo],0)))&amp;")")</f>
        <v>P.3 (2)</v>
      </c>
      <c r="CW45" s="13">
        <f t="shared" ca="1" si="36"/>
        <v>-3</v>
      </c>
      <c r="CX45" s="13">
        <f ca="1">CU45+COUNTIFS($CV$6:$CV$53,CV45,$CW$6:CW$53,"&gt;"&amp;CW45,$BC$6:$BC$53,INDEX(T_Equipos[Grupo],MATCH(BD45,T_Equipos[NombreEquipo],0)))</f>
        <v>3</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3</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3</v>
      </c>
      <c r="DE45" s="13"/>
      <c r="DF45" s="13">
        <f t="shared" ca="1" si="52"/>
        <v>3</v>
      </c>
      <c r="DG45" s="13" t="str">
        <f ca="1">IF(DB45="-","-",COUNTIFS(DF$6:DF$53,"&lt;"&amp;DF45,$BC$6:$BC$53,INDEX(T_Equipos[Grupo],MATCH(BD45,T_Equipos[NombreEquipo],0))))</f>
        <v>-</v>
      </c>
      <c r="DH45" s="13">
        <f ca="1">DA45+COUNTIFS(DB$6:DB$53,DB45,DG$6:DG$53,"&lt;"&amp;DG45,$BC$6:$BC$53,INDEX(T_Equipos[Grupo],MATCH(BD45,T_Equipos[NombreEquipo],0)))</f>
        <v>3</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Austria</v>
      </c>
    </row>
    <row r="46" spans="1:121" ht="16.05" customHeight="1">
      <c r="A46" s="13" t="str">
        <f ca="1">+Equipos!B23</f>
        <v>Japón</v>
      </c>
      <c r="B46" s="13"/>
      <c r="C46" s="13"/>
      <c r="D46" s="13" t="str">
        <f t="shared" si="131"/>
        <v>Local</v>
      </c>
      <c r="E46" s="13" t="str">
        <f t="shared" ca="1" si="132"/>
        <v>P.1 (2)</v>
      </c>
      <c r="F46" s="13" t="str">
        <f t="shared" ca="1" si="133"/>
        <v>P.1 (2)</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54"/>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1</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6</v>
      </c>
      <c r="AN46" s="33">
        <f t="shared" ca="1" si="147"/>
        <v>3</v>
      </c>
      <c r="AO46" s="33">
        <f t="shared" ca="1" si="147"/>
        <v>2</v>
      </c>
      <c r="AP46" s="33">
        <f t="shared" ca="1" si="147"/>
        <v>0</v>
      </c>
      <c r="AQ46" s="33">
        <f t="shared" ca="1" si="147"/>
        <v>1</v>
      </c>
      <c r="AR46" s="33">
        <f t="shared" ca="1" si="147"/>
        <v>5</v>
      </c>
      <c r="AS46" s="33">
        <f t="shared" ca="1" si="147"/>
        <v>5</v>
      </c>
      <c r="AT46" s="38">
        <f t="shared" ca="1" si="147"/>
        <v>0</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8</v>
      </c>
      <c r="BK46" s="13">
        <f t="shared" ca="1" si="21"/>
        <v>3</v>
      </c>
      <c r="BL46" s="13">
        <f t="shared" ca="1" si="42"/>
        <v>5</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2</v>
      </c>
      <c r="CB46" s="13">
        <f t="shared" ca="1" si="28"/>
        <v>2</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2</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2</v>
      </c>
      <c r="CP46" s="13">
        <f t="shared" ca="1" si="34"/>
        <v>2</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2</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5</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Empate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54"/>
      <c r="X47" s="21">
        <f ca="1">Horarios!C47</f>
        <v>46194</v>
      </c>
      <c r="Y47" s="22">
        <f ca="1">Horarios!C47</f>
        <v>46194</v>
      </c>
      <c r="Z47" s="23" t="str">
        <f>$Z$6</f>
        <v>J2</v>
      </c>
      <c r="AA47" s="24" t="str">
        <f ca="1">A48</f>
        <v>Túnez</v>
      </c>
      <c r="AB47" s="46" t="e" cm="1" vm="24">
        <f t="array" aca="1" ref="AB47" ca="1">Ver_flag_local</f>
        <v>#VALUE!</v>
      </c>
      <c r="AC47" s="47">
        <v>1</v>
      </c>
      <c r="AD47" s="48">
        <v>1</v>
      </c>
      <c r="AE47" s="582" t="e" cm="1" vm="22">
        <f t="array" aca="1" ref="AE47" ca="1">Ver_flag_visit</f>
        <v>#VALUE!</v>
      </c>
      <c r="AF47" s="29" t="str">
        <f ca="1">A46</f>
        <v>Japón</v>
      </c>
      <c r="AG47" s="311">
        <f t="shared" si="144"/>
        <v>1</v>
      </c>
      <c r="AH47" s="188">
        <v>36</v>
      </c>
      <c r="AI47" s="177" t="str">
        <f t="shared" ref="AI47:AI49" si="148">AJ47&amp;$B$44</f>
        <v>2F</v>
      </c>
      <c r="AJ47" s="39">
        <v>2</v>
      </c>
      <c r="AK47" s="589" t="e" cm="1" vm="23">
        <f t="array" aca="1" ref="AK47" ca="1">Ver_flag_visit</f>
        <v>#VALUE!</v>
      </c>
      <c r="AL47" s="34" t="str">
        <f ca="1">IFERROR(INDEX($BD$6:$BD$53,MATCH(AI47,$BN$6:$BN$53,0)),"")</f>
        <v>Suecia</v>
      </c>
      <c r="AM47" s="35">
        <f t="shared" ca="1" si="147"/>
        <v>6</v>
      </c>
      <c r="AN47" s="36">
        <f t="shared" ca="1" si="147"/>
        <v>3</v>
      </c>
      <c r="AO47" s="36">
        <f t="shared" ca="1" si="147"/>
        <v>2</v>
      </c>
      <c r="AP47" s="36">
        <f t="shared" ca="1" si="147"/>
        <v>0</v>
      </c>
      <c r="AQ47" s="36">
        <f t="shared" ca="1" si="147"/>
        <v>1</v>
      </c>
      <c r="AR47" s="36">
        <f t="shared" ca="1" si="147"/>
        <v>6</v>
      </c>
      <c r="AS47" s="36">
        <f t="shared" ca="1" si="147"/>
        <v>4</v>
      </c>
      <c r="AT47" s="40">
        <f t="shared" ca="1" si="147"/>
        <v>2</v>
      </c>
      <c r="AU47" s="318">
        <f ca="1">INDEX($DL$6:$DL$53,MATCH(AI47,$DP$6:$DP$53,0))</f>
        <v>1</v>
      </c>
      <c r="AV47" s="178" t="str">
        <f ca="1">INDEX($BD$6:$BD$53,MATCH(AI47,$BM$6:$BM$53,0))</f>
        <v>Suecia</v>
      </c>
      <c r="AW47" s="202"/>
      <c r="AX47" s="167"/>
      <c r="AY47" s="195" t="str">
        <f ca="1">+A46</f>
        <v>Japón</v>
      </c>
      <c r="AZ47" s="196"/>
      <c r="BC47" s="13" t="str">
        <f ca="1">+INDEX(T_Equipos[Grupo],MATCH(WORLDCUP!BD47,T_Equipos[NombreEquipo],0))</f>
        <v>K</v>
      </c>
      <c r="BD47" s="13" t="str">
        <f ca="1">+Equipos!B43</f>
        <v>RD Congo</v>
      </c>
      <c r="BE47" s="13">
        <f t="shared" ca="1" si="16"/>
        <v>0</v>
      </c>
      <c r="BF47" s="13">
        <f t="shared" ca="1" si="41"/>
        <v>3</v>
      </c>
      <c r="BG47" s="13">
        <f t="shared" ca="1" si="17"/>
        <v>0</v>
      </c>
      <c r="BH47" s="13">
        <f t="shared" ca="1" si="18"/>
        <v>0</v>
      </c>
      <c r="BI47" s="13">
        <f t="shared" ca="1" si="19"/>
        <v>3</v>
      </c>
      <c r="BJ47" s="13">
        <f t="shared" ca="1" si="20"/>
        <v>3</v>
      </c>
      <c r="BK47" s="13">
        <f t="shared" ca="1" si="21"/>
        <v>8</v>
      </c>
      <c r="BL47" s="13">
        <f t="shared" ca="1" si="42"/>
        <v>-5</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Visitante</v>
      </c>
      <c r="E48" s="13" t="str">
        <f t="shared" ca="1" si="132"/>
        <v>-</v>
      </c>
      <c r="F48" s="13" t="str">
        <f t="shared" ca="1" si="133"/>
        <v>P.1 (2)</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54"/>
      <c r="X48" s="21">
        <f ca="1">Horarios!C48</f>
        <v>46198.791666666664</v>
      </c>
      <c r="Y48" s="22">
        <f ca="1">Horarios!C48</f>
        <v>46198.791666666664</v>
      </c>
      <c r="Z48" s="23" t="str">
        <f>$Z$8</f>
        <v>J3</v>
      </c>
      <c r="AA48" s="24" t="str">
        <f ca="1">A46</f>
        <v>Japón</v>
      </c>
      <c r="AB48" s="46" t="e" cm="1" vm="22">
        <f t="array" aca="1" ref="AB48" ca="1">Ver_flag_local</f>
        <v>#VALUE!</v>
      </c>
      <c r="AC48" s="47">
        <v>1</v>
      </c>
      <c r="AD48" s="48">
        <v>3</v>
      </c>
      <c r="AE48" s="582" t="e" cm="1" vm="23">
        <f t="array" aca="1" ref="AE48" ca="1">Ver_flag_visit</f>
        <v>#VALUE!</v>
      </c>
      <c r="AF48" s="29" t="str">
        <f ca="1">A47</f>
        <v>Suecia</v>
      </c>
      <c r="AG48" s="311">
        <f t="shared" si="144"/>
        <v>1</v>
      </c>
      <c r="AH48" s="188">
        <v>57</v>
      </c>
      <c r="AI48" s="177" t="str">
        <f t="shared" si="148"/>
        <v>3F</v>
      </c>
      <c r="AJ48" s="39">
        <v>3</v>
      </c>
      <c r="AK48" s="589" t="e" cm="1" vm="22">
        <f t="array" aca="1" ref="AK48" ca="1">Ver_flag_visit</f>
        <v>#VALUE!</v>
      </c>
      <c r="AL48" s="34" t="str">
        <f ca="1">IFERROR(INDEX($BD$6:$BD$53,MATCH(AI48,$BN$6:$BN$53,0)),"")</f>
        <v>Japón</v>
      </c>
      <c r="AM48" s="35">
        <f t="shared" ca="1" si="147"/>
        <v>4</v>
      </c>
      <c r="AN48" s="36">
        <f t="shared" ca="1" si="147"/>
        <v>3</v>
      </c>
      <c r="AO48" s="36">
        <f t="shared" ca="1" si="147"/>
        <v>1</v>
      </c>
      <c r="AP48" s="36">
        <f t="shared" ca="1" si="147"/>
        <v>1</v>
      </c>
      <c r="AQ48" s="36">
        <f t="shared" ca="1" si="147"/>
        <v>1</v>
      </c>
      <c r="AR48" s="36">
        <f t="shared" ca="1" si="147"/>
        <v>5</v>
      </c>
      <c r="AS48" s="36">
        <f t="shared" ca="1" si="147"/>
        <v>5</v>
      </c>
      <c r="AT48" s="40">
        <f t="shared" ca="1" si="147"/>
        <v>0</v>
      </c>
      <c r="AU48" s="318">
        <f ca="1">INDEX($DL$6:$DL$53,MATCH(AI48,$DP$6:$DP$53,0))</f>
        <v>1</v>
      </c>
      <c r="AV48" s="178" t="str">
        <f ca="1">INDEX($BD$6:$BD$53,MATCH(AI48,$BM$6:$BM$53,0))</f>
        <v>Japón</v>
      </c>
      <c r="AW48" s="202"/>
      <c r="AX48" s="167"/>
      <c r="AY48" s="193" t="str">
        <f ca="1">+A47</f>
        <v>Suecia</v>
      </c>
      <c r="AZ48" s="194"/>
      <c r="BC48" s="13" t="str">
        <f ca="1">+INDEX(T_Equipos[Grupo],MATCH(WORLDCUP!BD48,T_Equipos[NombreEquipo],0))</f>
        <v>K</v>
      </c>
      <c r="BD48" s="13" t="str">
        <f ca="1">+Equipos!B44</f>
        <v>Uzbekistán</v>
      </c>
      <c r="BE48" s="13">
        <f t="shared" ca="1" si="16"/>
        <v>3</v>
      </c>
      <c r="BF48" s="13">
        <f t="shared" ca="1" si="41"/>
        <v>3</v>
      </c>
      <c r="BG48" s="13">
        <f t="shared" ca="1" si="17"/>
        <v>1</v>
      </c>
      <c r="BH48" s="13">
        <f t="shared" ca="1" si="18"/>
        <v>0</v>
      </c>
      <c r="BI48" s="13">
        <f t="shared" ca="1" si="19"/>
        <v>2</v>
      </c>
      <c r="BJ48" s="13">
        <f t="shared" ca="1" si="20"/>
        <v>2</v>
      </c>
      <c r="BK48" s="13">
        <f t="shared" ca="1" si="21"/>
        <v>6</v>
      </c>
      <c r="BL48" s="13">
        <f t="shared" ca="1" si="42"/>
        <v>-4</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3</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P.1 (2)</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55"/>
      <c r="X49" s="25">
        <f ca="1">Horarios!C49</f>
        <v>46198.791666666664</v>
      </c>
      <c r="Y49" s="26">
        <f ca="1">Horarios!C49</f>
        <v>46198.791666666664</v>
      </c>
      <c r="Z49" s="27" t="str">
        <f>$Z$8</f>
        <v>J3</v>
      </c>
      <c r="AA49" s="28" t="str">
        <f ca="1">A48</f>
        <v>Túnez</v>
      </c>
      <c r="AB49" s="49" t="e" cm="1" vm="24">
        <f t="array" aca="1" ref="AB49" ca="1">Ver_flag_local</f>
        <v>#VALUE!</v>
      </c>
      <c r="AC49" s="50">
        <v>1</v>
      </c>
      <c r="AD49" s="51">
        <v>2</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3</v>
      </c>
      <c r="AS49" s="44">
        <f t="shared" ca="1" si="147"/>
        <v>5</v>
      </c>
      <c r="AT49" s="45">
        <f t="shared" ca="1" si="147"/>
        <v>-2</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7</v>
      </c>
      <c r="BK49" s="13">
        <f t="shared" ca="1" si="21"/>
        <v>3</v>
      </c>
      <c r="BL49" s="13">
        <f t="shared" ca="1" si="42"/>
        <v>4</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2</v>
      </c>
      <c r="CB49" s="13">
        <f t="shared" ca="1" si="28"/>
        <v>2</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2</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2</v>
      </c>
      <c r="CP49" s="13">
        <f t="shared" ca="1" si="34"/>
        <v>2</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2</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4</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6</v>
      </c>
      <c r="BF50" s="13">
        <f t="shared" ca="1" si="41"/>
        <v>3</v>
      </c>
      <c r="BG50" s="13">
        <f t="shared" ca="1" si="17"/>
        <v>2</v>
      </c>
      <c r="BH50" s="13">
        <f t="shared" ca="1" si="18"/>
        <v>0</v>
      </c>
      <c r="BI50" s="13">
        <f t="shared" ca="1" si="19"/>
        <v>1</v>
      </c>
      <c r="BJ50" s="13">
        <f t="shared" ca="1" si="20"/>
        <v>7</v>
      </c>
      <c r="BK50" s="13">
        <f t="shared" ca="1" si="21"/>
        <v>5</v>
      </c>
      <c r="BL50" s="13">
        <f t="shared" ca="1" si="42"/>
        <v>2</v>
      </c>
      <c r="BM50" s="13" t="str">
        <f t="shared" ca="1" si="22"/>
        <v>2L</v>
      </c>
      <c r="BN50" s="13" t="str">
        <f t="shared" ca="1" si="23"/>
        <v>2L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6</v>
      </c>
      <c r="BS50" s="13">
        <f ca="1">BP50+COUNTIFS($BQ$6:$BQ$53,BQ50,$BR$6:BR$53,"&gt;"&amp;BR50,$BC$6:$BC$53,INDEX(T_Equipos[Grupo],MATCH(BD50,T_Equipos[NombreEquipo],0)))</f>
        <v>2</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2</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2</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2</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2</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2</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2</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2</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2</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2</v>
      </c>
      <c r="DE50" s="13"/>
      <c r="DF50" s="13">
        <f t="shared" ca="1" si="52"/>
        <v>2</v>
      </c>
      <c r="DG50" s="13" t="str">
        <f ca="1">IF(DB50="-","-",COUNTIFS(DF$6:DF$53,"&lt;"&amp;DF50,$BC$6:$BC$53,INDEX(T_Equipos[Grupo],MATCH(BD50,T_Equipos[NombreEquipo],0))))</f>
        <v>-</v>
      </c>
      <c r="DH50" s="13">
        <f ca="1">DA50+COUNTIFS(DB$6:DB$53,DB50,DG$6:DG$53,"&lt;"&amp;DG50,$BC$6:$BC$53,INDEX(T_Equipos[Grupo],MATCH(BD50,T_Equipos[NombreEquipo],0)))</f>
        <v>2</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Croacia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9</v>
      </c>
      <c r="BF51" s="13">
        <f t="shared" ca="1" si="41"/>
        <v>3</v>
      </c>
      <c r="BG51" s="13">
        <f t="shared" ca="1" si="17"/>
        <v>3</v>
      </c>
      <c r="BH51" s="13">
        <f t="shared" ca="1" si="18"/>
        <v>0</v>
      </c>
      <c r="BI51" s="13">
        <f t="shared" ca="1" si="19"/>
        <v>0</v>
      </c>
      <c r="BJ51" s="13">
        <f t="shared" ca="1" si="20"/>
        <v>7</v>
      </c>
      <c r="BK51" s="13">
        <f t="shared" ca="1" si="21"/>
        <v>3</v>
      </c>
      <c r="BL51" s="13">
        <f t="shared" ca="1" si="42"/>
        <v>4</v>
      </c>
      <c r="BM51" s="13" t="str">
        <f t="shared" ca="1" si="22"/>
        <v>1L</v>
      </c>
      <c r="BN51" s="13" t="str">
        <f t="shared" ca="1" si="23"/>
        <v>1L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9</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1</v>
      </c>
      <c r="DE51" s="13"/>
      <c r="DF51" s="13">
        <f t="shared" ca="1" si="52"/>
        <v>1</v>
      </c>
      <c r="DG51" s="13" t="str">
        <f ca="1">IF(DB51="-","-",COUNTIFS(DF$6:DF$53,"&lt;"&amp;DF51,$BC$6:$BC$53,INDEX(T_Equipos[Grupo],MATCH(BD51,T_Equipos[NombreEquipo],0))))</f>
        <v>-</v>
      </c>
      <c r="DH51" s="13">
        <f ca="1">DA51+COUNTIFS(DB$6:DB$53,DB51,DG$6:DG$53,"&lt;"&amp;DG51,$BC$6:$BC$53,INDEX(T_Equipos[Grupo],MATCH(BD51,T_Equipos[NombreEquipo],0)))</f>
        <v>1</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Inglaterra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74" t="s">
        <v>6</v>
      </c>
      <c r="X52" s="21">
        <f ca="1">Horarios!C52</f>
        <v>46188.625</v>
      </c>
      <c r="Y52" s="22">
        <f ca="1">Horarios!C52</f>
        <v>46188.625</v>
      </c>
      <c r="Z52" s="23" t="str">
        <f>$Z$4</f>
        <v>J1</v>
      </c>
      <c r="AA52" s="24" t="str">
        <f ca="1">A53</f>
        <v>Bélgica</v>
      </c>
      <c r="AB52" s="46" t="e" cm="1" vm="25">
        <f t="array" aca="1" ref="AB52" ca="1">Ver_flag_local</f>
        <v>#VALUE!</v>
      </c>
      <c r="AC52" s="47">
        <v>2</v>
      </c>
      <c r="AD52" s="48">
        <v>0</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1</v>
      </c>
      <c r="BF52" s="13">
        <f t="shared" ca="1" si="41"/>
        <v>3</v>
      </c>
      <c r="BG52" s="13">
        <f t="shared" ca="1" si="17"/>
        <v>0</v>
      </c>
      <c r="BH52" s="13">
        <f t="shared" ca="1" si="18"/>
        <v>1</v>
      </c>
      <c r="BI52" s="13">
        <f t="shared" ca="1" si="19"/>
        <v>2</v>
      </c>
      <c r="BJ52" s="13">
        <f t="shared" ca="1" si="20"/>
        <v>5</v>
      </c>
      <c r="BK52" s="13">
        <f t="shared" ca="1" si="21"/>
        <v>7</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1</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P.3 (2)</v>
      </c>
      <c r="BU52" s="13">
        <f t="shared" ca="1" si="24"/>
        <v>0</v>
      </c>
      <c r="BV52" s="13">
        <f t="shared" ca="1" si="25"/>
        <v>1</v>
      </c>
      <c r="BW52" s="13">
        <f t="shared" ca="1" si="26"/>
        <v>0</v>
      </c>
      <c r="BX52" s="13">
        <f t="shared" ca="1" si="48"/>
        <v>1</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P.3 (2)</v>
      </c>
      <c r="CA52" s="13">
        <f t="shared" ca="1" si="27"/>
        <v>2</v>
      </c>
      <c r="CB52" s="13">
        <f t="shared" ca="1" si="28"/>
        <v>2</v>
      </c>
      <c r="CC52" s="13">
        <f t="shared" ca="1" si="49"/>
        <v>0</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P.3 (2)</v>
      </c>
      <c r="CF52" s="13">
        <f t="shared" ca="1" si="29"/>
        <v>2</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P.3 (2)</v>
      </c>
      <c r="CI52" s="13">
        <f t="shared" ca="1" si="30"/>
        <v>0</v>
      </c>
      <c r="CJ52" s="13">
        <f t="shared" ca="1" si="31"/>
        <v>1</v>
      </c>
      <c r="CK52" s="13">
        <f t="shared" ca="1" si="32"/>
        <v>0</v>
      </c>
      <c r="CL52" s="13">
        <f t="shared" ca="1" si="50"/>
        <v>1</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P.3 (2)</v>
      </c>
      <c r="CO52" s="13">
        <f t="shared" ca="1" si="33"/>
        <v>2</v>
      </c>
      <c r="CP52" s="13">
        <f t="shared" ca="1" si="34"/>
        <v>2</v>
      </c>
      <c r="CQ52" s="13">
        <f t="shared" ca="1" si="51"/>
        <v>0</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P.3 (2)</v>
      </c>
      <c r="CT52" s="13">
        <f t="shared" ca="1" si="35"/>
        <v>2</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P.3 (2)</v>
      </c>
      <c r="CW52" s="13">
        <f t="shared" ca="1" si="36"/>
        <v>-2</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Empate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674"/>
      <c r="X53" s="21">
        <f ca="1">Horarios!C53</f>
        <v>46188.875</v>
      </c>
      <c r="Y53" s="22">
        <f ca="1">Horarios!C53</f>
        <v>46188.875</v>
      </c>
      <c r="Z53" s="23" t="str">
        <f>$Z$4</f>
        <v>J1</v>
      </c>
      <c r="AA53" s="24" t="str">
        <f ca="1">A55</f>
        <v>Irán</v>
      </c>
      <c r="AB53" s="46" t="e" cm="1" vm="27">
        <f t="array" aca="1" ref="AB53" ca="1">Ver_flag_local</f>
        <v>#VALUE!</v>
      </c>
      <c r="AC53" s="47">
        <v>0</v>
      </c>
      <c r="AD53" s="48">
        <v>0</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1</v>
      </c>
      <c r="BF53" s="13">
        <f t="shared" ca="1" si="41"/>
        <v>3</v>
      </c>
      <c r="BG53" s="13">
        <f t="shared" ca="1" si="17"/>
        <v>0</v>
      </c>
      <c r="BH53" s="13">
        <f t="shared" ca="1" si="18"/>
        <v>1</v>
      </c>
      <c r="BI53" s="13">
        <f t="shared" ca="1" si="19"/>
        <v>2</v>
      </c>
      <c r="BJ53" s="13">
        <f t="shared" ca="1" si="20"/>
        <v>4</v>
      </c>
      <c r="BK53" s="13">
        <f t="shared" ca="1" si="21"/>
        <v>8</v>
      </c>
      <c r="BL53" s="13">
        <f t="shared" ca="1" si="42"/>
        <v>-4</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1</v>
      </c>
      <c r="BS53" s="13">
        <f ca="1">BP53+COUNTIFS($BQ$6:$BQ$53,BQ53,$BR$6:BR$53,"&gt;"&amp;BR53,$BC$6:$BC$53,INDEX(T_Equipos[Grupo],MATCH(BD53,T_Equipos[NombreEquipo],0)))</f>
        <v>3</v>
      </c>
      <c r="BT53" s="13" t="str">
        <f ca="1">IF(COUNTIFS($BS$6:$BS$53,BS53,$BC$6:$BC$53,INDEX(T_Equipos[Grupo],MATCH(BD53,T_Equipos[NombreEquipo],0)))=1,"-","P."&amp;BS53&amp;" ("&amp;COUNTIFS($BS$6:$BS$53,BS53,$BC$6:$BC$53,INDEX(T_Equipos[Grupo],MATCH(BD53,T_Equipos[NombreEquipo],0)))&amp;")")</f>
        <v>P.3 (2)</v>
      </c>
      <c r="BU53" s="13">
        <f t="shared" ca="1" si="24"/>
        <v>0</v>
      </c>
      <c r="BV53" s="13">
        <f t="shared" ca="1" si="25"/>
        <v>1</v>
      </c>
      <c r="BW53" s="13">
        <f t="shared" ca="1" si="26"/>
        <v>0</v>
      </c>
      <c r="BX53" s="13">
        <f t="shared" ca="1" si="48"/>
        <v>1</v>
      </c>
      <c r="BY53" s="13">
        <f ca="1">BS53+COUNTIFS($BT$6:$BT$53,BT53,$BX$6:BX$53,"&gt;"&amp;BX53,$BC$6:$BC$53,INDEX(T_Equipos[Grupo],MATCH(BD53,T_Equipos[NombreEquipo],0)))</f>
        <v>3</v>
      </c>
      <c r="BZ53" s="13" t="str">
        <f ca="1">IF(COUNTIFS($BY$6:$BY$53,BY53,$BC$6:$BC$53,INDEX(T_Equipos[Grupo],MATCH(BD53,T_Equipos[NombreEquipo],0)))=1,"-","P."&amp;BY53&amp;" ("&amp;COUNTIFS($BY$6:$BY$53,BY53,$BC$6:$BC$53,INDEX(T_Equipos[Grupo],MATCH(BD53,T_Equipos[NombreEquipo],0)))&amp;")")</f>
        <v>P.3 (2)</v>
      </c>
      <c r="CA53" s="13">
        <f t="shared" ca="1" si="27"/>
        <v>2</v>
      </c>
      <c r="CB53" s="13">
        <f t="shared" ca="1" si="28"/>
        <v>2</v>
      </c>
      <c r="CC53" s="13">
        <f t="shared" ca="1" si="49"/>
        <v>0</v>
      </c>
      <c r="CD53" s="13">
        <f ca="1">BY53+COUNTIFS($BZ$6:$BZ$53,BZ53,$CC$6:CC$53,"&gt;"&amp;CC53,$BC$6:$BC$53,INDEX(T_Equipos[Grupo],MATCH(BD53,T_Equipos[NombreEquipo],0)))</f>
        <v>3</v>
      </c>
      <c r="CE53" s="13" t="str">
        <f ca="1">IF(COUNTIFS($CD$6:$CD$53,CD53,$BC$6:$BC$53,INDEX(T_Equipos[Grupo],MATCH(BD53,T_Equipos[NombreEquipo],0)))=1,"-","P."&amp;CD53&amp;" ("&amp;COUNTIFS($CD$6:$CD$53,CD53,$BC$6:$BC$53,INDEX(T_Equipos[Grupo],MATCH(BD53,T_Equipos[NombreEquipo],0)))&amp;")")</f>
        <v>P.3 (2)</v>
      </c>
      <c r="CF53" s="13">
        <f t="shared" ca="1" si="29"/>
        <v>2</v>
      </c>
      <c r="CG53" s="13">
        <f ca="1">CD53+COUNTIFS($CE$6:$CE$53,CE53,$CF$6:CF$53,"&gt;"&amp;CF53,$BC$6:$BC$53,INDEX(T_Equipos[Grupo],MATCH(BD53,T_Equipos[NombreEquipo],0)))</f>
        <v>3</v>
      </c>
      <c r="CH53" s="13" t="str">
        <f ca="1">IF(COUNTIFS($CG$6:$CG$53,CG53,$BC$6:$BC$53,INDEX(T_Equipos[Grupo],MATCH(BD53,T_Equipos[NombreEquipo],0)))=1,"-","P."&amp;CG53&amp;" ("&amp;COUNTIFS($CG$6:$CG$53,CG53,$BC$6:$BC$53,INDEX(T_Equipos[Grupo],MATCH(BD53,T_Equipos[NombreEquipo],0)))&amp;")")</f>
        <v>P.3 (2)</v>
      </c>
      <c r="CI53" s="13">
        <f t="shared" ca="1" si="30"/>
        <v>0</v>
      </c>
      <c r="CJ53" s="13">
        <f t="shared" ca="1" si="31"/>
        <v>1</v>
      </c>
      <c r="CK53" s="13">
        <f t="shared" ca="1" si="32"/>
        <v>0</v>
      </c>
      <c r="CL53" s="13">
        <f t="shared" ca="1" si="50"/>
        <v>1</v>
      </c>
      <c r="CM53" s="13">
        <f ca="1">CG53+COUNTIFS($CH$6:$CH$53,CH53,$CL$6:CL$53,"&gt;"&amp;CL53,$BC$6:$BC$53,INDEX(T_Equipos[Grupo],MATCH(BD53,T_Equipos[NombreEquipo],0)))</f>
        <v>3</v>
      </c>
      <c r="CN53" s="13" t="str">
        <f ca="1">IF(COUNTIFS($CM$6:$CM$53,CM53,$BC$6:$BC$53,INDEX(T_Equipos[Grupo],MATCH(BD53,T_Equipos[NombreEquipo],0)))=1,"-","P."&amp;CM53&amp;" ("&amp;COUNTIFS($CM$6:$CM$53,CM53,$BC$6:$BC$53,INDEX(T_Equipos[Grupo],MATCH(BD53,T_Equipos[NombreEquipo],0)))&amp;")")</f>
        <v>P.3 (2)</v>
      </c>
      <c r="CO53" s="13">
        <f t="shared" ca="1" si="33"/>
        <v>2</v>
      </c>
      <c r="CP53" s="13">
        <f t="shared" ca="1" si="34"/>
        <v>2</v>
      </c>
      <c r="CQ53" s="13">
        <f t="shared" ca="1" si="51"/>
        <v>0</v>
      </c>
      <c r="CR53" s="13">
        <f ca="1">CM53+COUNTIFS($CN$6:$CN$53,CN53,$CQ$6:CQ$53,"&gt;"&amp;CQ53,$BC$6:$BC$53,INDEX(T_Equipos[Grupo],MATCH(BD53,T_Equipos[NombreEquipo],0)))</f>
        <v>3</v>
      </c>
      <c r="CS53" s="13" t="str">
        <f ca="1">IF(COUNTIFS($CR$6:$CR$53,CR53,$BC$6:$BC$53,INDEX(T_Equipos[Grupo],MATCH(BD53,T_Equipos[NombreEquipo],0)))=1,"-","P."&amp;CR53&amp;" ("&amp;COUNTIFS($CR$6:$CR$53,CR53,$BC$6:$BC$53,INDEX(T_Equipos[Grupo],MATCH(BD53,T_Equipos[NombreEquipo],0)))&amp;")")</f>
        <v>P.3 (2)</v>
      </c>
      <c r="CT53" s="13">
        <f t="shared" ca="1" si="35"/>
        <v>2</v>
      </c>
      <c r="CU53" s="13">
        <f ca="1">CR53+COUNTIFS($CS$6:$CS$53,CS53,$CT$6:CT$53,"&gt;"&amp;CT53,$BC$6:$BC$53,INDEX(T_Equipos[Grupo],MATCH(BD53,T_Equipos[NombreEquipo],0)))</f>
        <v>3</v>
      </c>
      <c r="CV53" s="13" t="str">
        <f ca="1">IF(COUNTIFS($CU$6:$CU$53,CU53,$BC$6:$BC$53,INDEX(T_Equipos[Grupo],MATCH(BD53,T_Equipos[NombreEquipo],0)))=1,"-","P."&amp;CU53&amp;" ("&amp;COUNTIFS($CU$6:$CU$53,CU53,$BC$6:$BC$53,INDEX(T_Equipos[Grupo],MATCH(BD53,T_Equipos[NombreEquipo],0)))&amp;")")</f>
        <v>P.3 (2)</v>
      </c>
      <c r="CW53" s="13">
        <f t="shared" ca="1" si="36"/>
        <v>-4</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674"/>
      <c r="X54" s="21">
        <f ca="1">Horarios!C54</f>
        <v>46194.625</v>
      </c>
      <c r="Y54" s="22">
        <f ca="1">Horarios!C54</f>
        <v>46194.625</v>
      </c>
      <c r="Z54" s="23" t="str">
        <f>$Z$6</f>
        <v>J2</v>
      </c>
      <c r="AA54" s="24" t="str">
        <f ca="1">A53</f>
        <v>Bélgica</v>
      </c>
      <c r="AB54" s="46" t="e" cm="1" vm="25">
        <f t="array" aca="1" ref="AB54" ca="1">Ver_flag_local</f>
        <v>#VALUE!</v>
      </c>
      <c r="AC54" s="47">
        <v>3</v>
      </c>
      <c r="AD54" s="48">
        <v>0</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7</v>
      </c>
      <c r="AS54" s="33">
        <f t="shared" ca="1" si="165"/>
        <v>1</v>
      </c>
      <c r="AT54" s="38">
        <f t="shared" ca="1" si="165"/>
        <v>6</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Local</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674"/>
      <c r="X55" s="21">
        <f ca="1">Horarios!C55</f>
        <v>46194.875</v>
      </c>
      <c r="Y55" s="22">
        <f ca="1">Horarios!C55</f>
        <v>46194.875</v>
      </c>
      <c r="Z55" s="23" t="str">
        <f>$Z$6</f>
        <v>J2</v>
      </c>
      <c r="AA55" s="24" t="str">
        <f ca="1">A56</f>
        <v>Nueva Zelanda</v>
      </c>
      <c r="AB55" s="46" t="e" cm="1" vm="28">
        <f t="array" aca="1" ref="AB55" ca="1">Ver_flag_local</f>
        <v>#VALUE!</v>
      </c>
      <c r="AC55" s="47">
        <v>2</v>
      </c>
      <c r="AD55" s="48">
        <v>1</v>
      </c>
      <c r="AE55" s="582" t="e" cm="1" vm="26">
        <f t="array" aca="1" ref="AE55" ca="1">Ver_flag_visit</f>
        <v>#VALUE!</v>
      </c>
      <c r="AF55" s="29" t="str">
        <f ca="1">A54</f>
        <v>Egipto</v>
      </c>
      <c r="AG55" s="311">
        <f t="shared" si="162"/>
        <v>1</v>
      </c>
      <c r="AH55" s="188">
        <v>40</v>
      </c>
      <c r="AI55" s="177" t="str">
        <f t="shared" ref="AI55:AI57" si="166">AJ55&amp;$B$52</f>
        <v>2G</v>
      </c>
      <c r="AJ55" s="39">
        <v>2</v>
      </c>
      <c r="AK55" s="589" t="e" cm="1" vm="28">
        <f t="array" aca="1" ref="AK55" ca="1">Ver_flag_visit</f>
        <v>#VALUE!</v>
      </c>
      <c r="AL55" s="34" t="str">
        <f ca="1">IFERROR(INDEX($BD$6:$BD$53,MATCH(AI55,$BN$6:$BN$53,0)),"")</f>
        <v>Nueva Zelanda</v>
      </c>
      <c r="AM55" s="35">
        <f t="shared" ca="1" si="165"/>
        <v>4</v>
      </c>
      <c r="AN55" s="36">
        <f t="shared" ca="1" si="165"/>
        <v>3</v>
      </c>
      <c r="AO55" s="36">
        <f t="shared" ca="1" si="165"/>
        <v>1</v>
      </c>
      <c r="AP55" s="36">
        <f t="shared" ca="1" si="165"/>
        <v>1</v>
      </c>
      <c r="AQ55" s="36">
        <f t="shared" ca="1" si="165"/>
        <v>1</v>
      </c>
      <c r="AR55" s="36">
        <f t="shared" ca="1" si="165"/>
        <v>3</v>
      </c>
      <c r="AS55" s="36">
        <f t="shared" ca="1" si="165"/>
        <v>3</v>
      </c>
      <c r="AT55" s="40">
        <f t="shared" ca="1" si="165"/>
        <v>0</v>
      </c>
      <c r="AU55" s="318">
        <f ca="1">INDEX($DL$6:$DL$53,MATCH(AI55,$DP$6:$DP$53,0))</f>
        <v>1</v>
      </c>
      <c r="AV55" s="178" t="str">
        <f ca="1">INDEX($BD$6:$BD$53,MATCH(AI55,$BM$6:$BM$53,0))</f>
        <v>Nueva Zelanda</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674"/>
      <c r="X56" s="21">
        <f ca="1">Horarios!C56</f>
        <v>46199.958333333336</v>
      </c>
      <c r="Y56" s="22">
        <f ca="1">Horarios!C56</f>
        <v>46199.958333333336</v>
      </c>
      <c r="Z56" s="23" t="str">
        <f>$Z$8</f>
        <v>J3</v>
      </c>
      <c r="AA56" s="24" t="str">
        <f ca="1">A54</f>
        <v>Egipto</v>
      </c>
      <c r="AB56" s="46" t="e" cm="1" vm="26">
        <f t="array" aca="1" ref="AB56" ca="1">Ver_flag_local</f>
        <v>#VALUE!</v>
      </c>
      <c r="AC56" s="47">
        <v>2</v>
      </c>
      <c r="AD56" s="48">
        <v>1</v>
      </c>
      <c r="AE56" s="582" t="e" cm="1" vm="27">
        <f t="array" aca="1" ref="AE56" ca="1">Ver_flag_visit</f>
        <v>#VALUE!</v>
      </c>
      <c r="AF56" s="29" t="str">
        <f ca="1">A55</f>
        <v>Irán</v>
      </c>
      <c r="AG56" s="311">
        <f t="shared" si="162"/>
        <v>1</v>
      </c>
      <c r="AH56" s="188">
        <v>63</v>
      </c>
      <c r="AI56" s="177" t="str">
        <f t="shared" si="166"/>
        <v>3G</v>
      </c>
      <c r="AJ56" s="39">
        <v>3</v>
      </c>
      <c r="AK56" s="589" t="e" cm="1" vm="26">
        <f t="array" aca="1" ref="AK56" ca="1">Ver_flag_visit</f>
        <v>#VALUE!</v>
      </c>
      <c r="AL56" s="34" t="str">
        <f ca="1">IFERROR(INDEX($BD$6:$BD$53,MATCH(AI56,$BN$6:$BN$53,0)),"")</f>
        <v>Egipto</v>
      </c>
      <c r="AM56" s="35">
        <f t="shared" ca="1" si="165"/>
        <v>3</v>
      </c>
      <c r="AN56" s="36">
        <f t="shared" ca="1" si="165"/>
        <v>3</v>
      </c>
      <c r="AO56" s="36">
        <f t="shared" ca="1" si="165"/>
        <v>1</v>
      </c>
      <c r="AP56" s="36">
        <f t="shared" ca="1" si="165"/>
        <v>0</v>
      </c>
      <c r="AQ56" s="36">
        <f t="shared" ca="1" si="165"/>
        <v>2</v>
      </c>
      <c r="AR56" s="36">
        <f t="shared" ca="1" si="165"/>
        <v>3</v>
      </c>
      <c r="AS56" s="36">
        <f t="shared" ca="1" si="165"/>
        <v>5</v>
      </c>
      <c r="AT56" s="40">
        <f t="shared" ca="1" si="165"/>
        <v>-2</v>
      </c>
      <c r="AU56" s="318">
        <f ca="1">INDEX($DL$6:$DL$53,MATCH(AI56,$DP$6:$DP$53,0))</f>
        <v>1</v>
      </c>
      <c r="AV56" s="178" t="str">
        <f ca="1">INDEX($BD$6:$BD$53,MATCH(AI56,$BM$6:$BM$53,0))</f>
        <v>Egipto</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675"/>
      <c r="X57" s="25">
        <f ca="1">Horarios!C57</f>
        <v>46199.958333333336</v>
      </c>
      <c r="Y57" s="26">
        <f ca="1">Horarios!C57</f>
        <v>46199.958333333336</v>
      </c>
      <c r="Z57" s="27" t="str">
        <f>$Z$8</f>
        <v>J3</v>
      </c>
      <c r="AA57" s="28" t="str">
        <f ca="1">A56</f>
        <v>Nueva Zelanda</v>
      </c>
      <c r="AB57" s="49" t="e" cm="1" vm="28">
        <f t="array" aca="1" ref="AB57" ca="1">Ver_flag_local</f>
        <v>#VALUE!</v>
      </c>
      <c r="AC57" s="50">
        <v>1</v>
      </c>
      <c r="AD57" s="51">
        <v>2</v>
      </c>
      <c r="AE57" s="583" t="e" cm="1" vm="25">
        <f t="array" aca="1" ref="AE57" ca="1">Ver_flag_visit</f>
        <v>#VALUE!</v>
      </c>
      <c r="AF57" s="30" t="str">
        <f ca="1">A53</f>
        <v>Bélgica</v>
      </c>
      <c r="AG57" s="311">
        <f t="shared" si="162"/>
        <v>1</v>
      </c>
      <c r="AH57" s="188">
        <v>64</v>
      </c>
      <c r="AI57" s="177" t="str">
        <f t="shared" si="166"/>
        <v>4G</v>
      </c>
      <c r="AJ57" s="41">
        <v>4</v>
      </c>
      <c r="AK57" s="591" t="e" cm="1" vm="27">
        <f t="array" aca="1" ref="AK57" ca="1">Ver_flag_visit</f>
        <v>#VALUE!</v>
      </c>
      <c r="AL57" s="42" t="str">
        <f ca="1">IFERROR(INDEX($BD$6:$BD$53,MATCH(AI57,$BN$6:$BN$53,0)),"")</f>
        <v>Irán</v>
      </c>
      <c r="AM57" s="43">
        <f t="shared" ca="1" si="165"/>
        <v>1</v>
      </c>
      <c r="AN57" s="44">
        <f t="shared" ca="1" si="165"/>
        <v>3</v>
      </c>
      <c r="AO57" s="44">
        <f t="shared" ca="1" si="165"/>
        <v>0</v>
      </c>
      <c r="AP57" s="44">
        <f t="shared" ca="1" si="165"/>
        <v>1</v>
      </c>
      <c r="AQ57" s="44">
        <f t="shared" ca="1" si="165"/>
        <v>2</v>
      </c>
      <c r="AR57" s="44">
        <f t="shared" ca="1" si="165"/>
        <v>1</v>
      </c>
      <c r="AS57" s="44">
        <f t="shared" ca="1" si="165"/>
        <v>5</v>
      </c>
      <c r="AT57" s="45">
        <f t="shared" ca="1" si="165"/>
        <v>-4</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Sudáfrica</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3">
        <f ca="1">+BJ58-BK58</f>
        <v>0</v>
      </c>
      <c r="BM58" s="13">
        <f ca="1">CB58</f>
        <v>2</v>
      </c>
      <c r="BN58" s="13">
        <f ca="1">CF58</f>
        <v>2</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(3)</v>
      </c>
      <c r="BU58" s="13">
        <f t="shared" ref="BU58:BU69" ca="1" si="176">IF(BT58="-","-",BL58)</f>
        <v>0</v>
      </c>
      <c r="BV58" s="13">
        <f t="shared" ref="BV58:BV69" ca="1" si="177">BS58+COUNTIFS(BT$58:BT$69,BT58,BU$58:BU$69,"&gt;"&amp;BU58)</f>
        <v>1</v>
      </c>
      <c r="BW58" s="13" t="str">
        <f t="shared" ref="BW58:BW69" ca="1" si="178">IF(COUNTIF(BV$58:BV$69,BV58)=1,"-","Pos. "&amp;BV58&amp;" ("&amp;COUNTIF(BV$58:BV$69,BV58)&amp;")")</f>
        <v>Pos. 1 (2)</v>
      </c>
      <c r="BX58" s="13">
        <f t="shared" ref="BX58:BX69" ca="1" si="179">IF(BW58="-","-",BJ58)</f>
        <v>3</v>
      </c>
      <c r="BY58" s="13">
        <f t="shared" ref="BY58:BY69" ca="1" si="180">BV58+COUNTIFS(BW$58:BW$69,BW58,BX$58:BX$69,"&gt;"&amp;BX58)</f>
        <v>2</v>
      </c>
      <c r="BZ58" s="13" t="str">
        <f t="shared" ref="BZ58:BZ69" ca="1" si="181">IF(COUNTIF(BY$58:BY$69,BY58)=1,"-","Pos. "&amp;BY58&amp;" ("&amp;COUNTIF(BY$58:BY$69,BY58)&amp;")")</f>
        <v>-</v>
      </c>
      <c r="CA58" s="13" t="str">
        <f t="shared" ref="CA58:CA69" ca="1" si="182">IF(BZ58="-","-",COUNTIF($BD$58:$BD$69,"&gt;"&amp;BD58))</f>
        <v>-</v>
      </c>
      <c r="CB58" s="13">
        <f ca="1">BY58+COUNTIFS(BZ$58:BZ$69,BZ58,CA$58:CA$69,"&gt;"&amp;CA58)</f>
        <v>2</v>
      </c>
      <c r="CC58" s="13"/>
      <c r="CD58" s="13">
        <f t="shared" ref="CD58:CD69" ca="1" si="183">IF(OR(INDEX($AW$102:$AW$113,MATCH($BD58,$AV$102:$AV$113,0))="",BZ58="-"),CB58,INDEX($AW$102:$AW$113,MATCH($BD58,$AV$102:$AV$113,0))+CB58/1000)</f>
        <v>2</v>
      </c>
      <c r="CE58" s="13" t="str">
        <f ca="1">IF(BZ58="-","-",COUNTIF(CD$58:CD$69,"&lt;"&amp;CD58))</f>
        <v>-</v>
      </c>
      <c r="CF58" s="13">
        <f ca="1">BY58+COUNTIFS(BZ$58:BZ$69,BZ58,CE$58:CE$69,"&lt;"&amp;CE58)</f>
        <v>2</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Japón</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Catar</v>
      </c>
      <c r="BE59" s="13">
        <f t="shared" ref="BE59:BE69" ca="1" si="188">CHOOSE($BB$57,
  (BG59*3 + BH59)+IF($AZ$3="No",0,INDEX($AZ$6:$AZ$97,MATCH(BD59,$AY$6:$AY$97,0))),
  (BG59*3 + BH59)+IF($AZ$3="No",0,INDEX($AZ$6:$AZ$97,MATCH(BD59,$AY$6:$AY$97,0))),
  IFERROR((BG59*3 + BH59+IF($AZ$3="No",0,INDEX($AZ$6:$AZ$97,MATCH(BD59,$AY$6:$AY$97,0)))) / BF59, 0)
)</f>
        <v>2</v>
      </c>
      <c r="BF59" s="13">
        <f t="shared" ref="BF59:BF69" ca="1" si="189">+BG59+BH59+BI59</f>
        <v>3</v>
      </c>
      <c r="BG59" s="13">
        <f t="shared" ca="1" si="169"/>
        <v>0</v>
      </c>
      <c r="BH59" s="13">
        <f t="shared" ca="1" si="170"/>
        <v>2</v>
      </c>
      <c r="BI59" s="13">
        <f t="shared" ca="1" si="171"/>
        <v>1</v>
      </c>
      <c r="BJ59" s="13">
        <f t="shared" ca="1" si="172"/>
        <v>3</v>
      </c>
      <c r="BK59" s="13">
        <f t="shared" ca="1" si="173"/>
        <v>4</v>
      </c>
      <c r="BL59" s="13">
        <f t="shared" ref="BL59:BL69" ca="1" si="190">+BJ59-BK59</f>
        <v>-1</v>
      </c>
      <c r="BM59" s="13">
        <f t="shared" ref="BM59:BM69" ca="1" si="191">CB59</f>
        <v>10</v>
      </c>
      <c r="BN59" s="13">
        <f t="shared" ref="BN59:BN69" ca="1" si="192">CF59</f>
        <v>10</v>
      </c>
      <c r="BO59" s="13" t="str">
        <f t="shared" si="174"/>
        <v>4B</v>
      </c>
      <c r="BP59" s="13"/>
      <c r="BQ59" s="13"/>
      <c r="BR59" s="13">
        <f t="shared" ca="1" si="175"/>
        <v>2</v>
      </c>
      <c r="BS59" s="13">
        <f t="shared" ref="BS59:BS69" ca="1" si="193">COUNTIFS(BR$58:BR$69,"&gt;"&amp;BR59)+1</f>
        <v>9</v>
      </c>
      <c r="BT59" s="13" t="str">
        <f t="shared" ref="BT59:BT69" ca="1" si="194">IF(COUNTIF(BS$58:BS$69,BS59)=1,"-","Pos. "&amp;BS59&amp;" ("&amp;COUNTIF(BS$58:BS$69,BS59)&amp;")")</f>
        <v>Pos. 9 (2)</v>
      </c>
      <c r="BU59" s="13">
        <f t="shared" ca="1" si="176"/>
        <v>-1</v>
      </c>
      <c r="BV59" s="13">
        <f t="shared" ca="1" si="177"/>
        <v>9</v>
      </c>
      <c r="BW59" s="13" t="str">
        <f t="shared" ca="1" si="178"/>
        <v>Pos. 9 (2)</v>
      </c>
      <c r="BX59" s="13">
        <f t="shared" ca="1" si="179"/>
        <v>3</v>
      </c>
      <c r="BY59" s="13">
        <f t="shared" ca="1" si="180"/>
        <v>10</v>
      </c>
      <c r="BZ59" s="13" t="str">
        <f t="shared" ca="1" si="181"/>
        <v>-</v>
      </c>
      <c r="CA59" s="13" t="str">
        <f t="shared" ca="1" si="182"/>
        <v>-</v>
      </c>
      <c r="CB59" s="13">
        <f t="shared" ref="CB59:CB68" ca="1" si="195">BY59+COUNTIFS(BZ$58:BZ$69,BZ59,CA$58:CA$69,"&gt;"&amp;CA59)</f>
        <v>10</v>
      </c>
      <c r="CC59" s="13"/>
      <c r="CD59" s="13">
        <f t="shared" ca="1" si="183"/>
        <v>10</v>
      </c>
      <c r="CE59" s="13" t="str">
        <f t="shared" ref="CE59:CE69" ca="1" si="196">IF(BZ59="-","-",COUNTIF(CD$58:CD$69,"&lt;"&amp;CD59))</f>
        <v>-</v>
      </c>
      <c r="CF59" s="13">
        <f t="shared" ref="CF59:CF69" ca="1" si="197">BY59+COUNTIFS(BZ$58:BZ$69,BZ59,CE$58:CE$69,"&lt;"&amp;CE59)</f>
        <v>10</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Sudáfrica</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56" t="s">
        <v>447</v>
      </c>
      <c r="X60" s="21">
        <f ca="1">Horarios!C60</f>
        <v>46188.5</v>
      </c>
      <c r="Y60" s="22">
        <f ca="1">Horarios!C60</f>
        <v>46188.5</v>
      </c>
      <c r="Z60" s="23" t="str">
        <f>$Z$4</f>
        <v>J1</v>
      </c>
      <c r="AA60" s="24" t="str">
        <f ca="1">A61</f>
        <v>España</v>
      </c>
      <c r="AB60" s="46" t="e" cm="1" vm="29">
        <f t="array" aca="1" ref="AB60" ca="1">Ver_flag_local</f>
        <v>#VALUE!</v>
      </c>
      <c r="AC60" s="47">
        <v>4</v>
      </c>
      <c r="AD60" s="48">
        <v>0</v>
      </c>
      <c r="AE60" s="582"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2</v>
      </c>
      <c r="BK60" s="13">
        <f t="shared" ca="1" si="173"/>
        <v>6</v>
      </c>
      <c r="BL60" s="13">
        <f t="shared" ca="1" si="190"/>
        <v>-4</v>
      </c>
      <c r="BM60" s="13">
        <f t="shared" ca="1" si="191"/>
        <v>7</v>
      </c>
      <c r="BN60" s="13">
        <f t="shared" ca="1" si="192"/>
        <v>7</v>
      </c>
      <c r="BO60" s="13" t="str">
        <f t="shared" si="174"/>
        <v>4C</v>
      </c>
      <c r="BP60" s="13"/>
      <c r="BQ60" s="13"/>
      <c r="BR60" s="13">
        <f t="shared" ca="1" si="175"/>
        <v>3</v>
      </c>
      <c r="BS60" s="13">
        <f t="shared" ca="1" si="193"/>
        <v>4</v>
      </c>
      <c r="BT60" s="13" t="str">
        <f t="shared" ca="1" si="194"/>
        <v>Pos. 4 (5)</v>
      </c>
      <c r="BU60" s="13">
        <f t="shared" ca="1" si="176"/>
        <v>-4</v>
      </c>
      <c r="BV60" s="13">
        <f t="shared" ca="1" si="177"/>
        <v>7</v>
      </c>
      <c r="BW60" s="13" t="str">
        <f t="shared" ca="1" si="178"/>
        <v>Pos. 7 (2)</v>
      </c>
      <c r="BX60" s="13">
        <f t="shared" ca="1" si="179"/>
        <v>2</v>
      </c>
      <c r="BY60" s="13">
        <f t="shared" ca="1" si="180"/>
        <v>7</v>
      </c>
      <c r="BZ60" s="13" t="str">
        <f t="shared" ca="1" si="181"/>
        <v>Pos. 7 (2)</v>
      </c>
      <c r="CA60" s="13">
        <f t="shared" ca="1" si="182"/>
        <v>7</v>
      </c>
      <c r="CB60" s="13">
        <f t="shared" ca="1" si="195"/>
        <v>7</v>
      </c>
      <c r="CC60" s="13"/>
      <c r="CD60" s="13">
        <f t="shared" ca="1" si="183"/>
        <v>7</v>
      </c>
      <c r="CE60" s="13">
        <f t="shared" ca="1" si="196"/>
        <v>6</v>
      </c>
      <c r="CF60" s="13">
        <f t="shared" ca="1" si="197"/>
        <v>7</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Senegal</v>
      </c>
    </row>
    <row r="61" spans="1:121" ht="16.05"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56"/>
      <c r="X61" s="21">
        <f ca="1">Horarios!C61</f>
        <v>46188.75</v>
      </c>
      <c r="Y61" s="22">
        <f ca="1">Horarios!C61</f>
        <v>46188.75</v>
      </c>
      <c r="Z61" s="23" t="str">
        <f>$Z$4</f>
        <v>J1</v>
      </c>
      <c r="AA61" s="24" t="str">
        <f ca="1">A63</f>
        <v>Arabia Saudita</v>
      </c>
      <c r="AB61" s="46" t="e" cm="1" vm="31">
        <f t="array" aca="1" ref="AB61" ca="1">Ver_flag_local</f>
        <v>#VALUE!</v>
      </c>
      <c r="AC61" s="47">
        <v>1</v>
      </c>
      <c r="AD61" s="48">
        <v>2</v>
      </c>
      <c r="AE61" s="582" t="e" cm="1" vm="32">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Turquía</v>
      </c>
      <c r="BE61" s="13">
        <f t="shared" ca="1" si="188"/>
        <v>2</v>
      </c>
      <c r="BF61" s="13">
        <f t="shared" ca="1" si="189"/>
        <v>3</v>
      </c>
      <c r="BG61" s="13">
        <f t="shared" ca="1" si="169"/>
        <v>0</v>
      </c>
      <c r="BH61" s="13">
        <f t="shared" ca="1" si="170"/>
        <v>2</v>
      </c>
      <c r="BI61" s="13">
        <f t="shared" ca="1" si="171"/>
        <v>1</v>
      </c>
      <c r="BJ61" s="13">
        <f t="shared" ca="1" si="172"/>
        <v>4</v>
      </c>
      <c r="BK61" s="13">
        <f t="shared" ca="1" si="173"/>
        <v>5</v>
      </c>
      <c r="BL61" s="13">
        <f t="shared" ca="1" si="190"/>
        <v>-1</v>
      </c>
      <c r="BM61" s="13">
        <f t="shared" ca="1" si="191"/>
        <v>9</v>
      </c>
      <c r="BN61" s="13">
        <f t="shared" ca="1" si="192"/>
        <v>9</v>
      </c>
      <c r="BO61" s="13" t="str">
        <f t="shared" si="174"/>
        <v>4D</v>
      </c>
      <c r="BP61" s="13"/>
      <c r="BQ61" s="13"/>
      <c r="BR61" s="13">
        <f t="shared" ca="1" si="175"/>
        <v>2</v>
      </c>
      <c r="BS61" s="13">
        <f t="shared" ca="1" si="193"/>
        <v>9</v>
      </c>
      <c r="BT61" s="13" t="str">
        <f t="shared" ca="1" si="194"/>
        <v>Pos. 9 (2)</v>
      </c>
      <c r="BU61" s="13">
        <f t="shared" ca="1" si="176"/>
        <v>-1</v>
      </c>
      <c r="BV61" s="13">
        <f t="shared" ca="1" si="177"/>
        <v>9</v>
      </c>
      <c r="BW61" s="13" t="str">
        <f t="shared" ca="1" si="178"/>
        <v>Pos. 9 (2)</v>
      </c>
      <c r="BX61" s="13">
        <f t="shared" ca="1" si="179"/>
        <v>4</v>
      </c>
      <c r="BY61" s="13">
        <f t="shared" ca="1" si="180"/>
        <v>9</v>
      </c>
      <c r="BZ61" s="13" t="str">
        <f t="shared" ca="1" si="181"/>
        <v>-</v>
      </c>
      <c r="CA61" s="13" t="str">
        <f t="shared" ca="1" si="182"/>
        <v>-</v>
      </c>
      <c r="CB61" s="13">
        <f t="shared" ca="1" si="195"/>
        <v>9</v>
      </c>
      <c r="CC61" s="13"/>
      <c r="CD61" s="13">
        <f t="shared" ca="1" si="183"/>
        <v>9</v>
      </c>
      <c r="CE61" s="13" t="str">
        <f t="shared" ca="1" si="196"/>
        <v>-</v>
      </c>
      <c r="CF61" s="13">
        <f t="shared" ca="1" si="197"/>
        <v>9</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Arabia Saudita</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56"/>
      <c r="X62" s="21">
        <f ca="1">Horarios!C62</f>
        <v>46194.5</v>
      </c>
      <c r="Y62" s="22">
        <f ca="1">Horarios!C62</f>
        <v>46194.5</v>
      </c>
      <c r="Z62" s="23" t="str">
        <f>$Z$6</f>
        <v>J2</v>
      </c>
      <c r="AA62" s="24" t="str">
        <f ca="1">A61</f>
        <v>España</v>
      </c>
      <c r="AB62" s="46" t="e" cm="1" vm="29">
        <f t="array" aca="1" ref="AB62" ca="1">Ver_flag_local</f>
        <v>#VALUE!</v>
      </c>
      <c r="AC62" s="47">
        <v>2</v>
      </c>
      <c r="AD62" s="48">
        <v>1</v>
      </c>
      <c r="AE62" s="582" t="e" cm="1" vm="31">
        <f t="array" aca="1" ref="AE62" ca="1">Ver_flag_visit</f>
        <v>#VALUE!</v>
      </c>
      <c r="AF62" s="29" t="str">
        <f ca="1">A63</f>
        <v>Arabia Saudita</v>
      </c>
      <c r="AG62" s="311">
        <f t="shared" si="212"/>
        <v>1</v>
      </c>
      <c r="AH62" s="188">
        <v>38</v>
      </c>
      <c r="AI62" s="177" t="str">
        <f>AJ62&amp;$B$60</f>
        <v>1H</v>
      </c>
      <c r="AJ62" s="37">
        <v>1</v>
      </c>
      <c r="AK62" s="588" t="e" cm="1" vm="29">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9</v>
      </c>
      <c r="AS62" s="33">
        <f t="shared" ca="1" si="215"/>
        <v>2</v>
      </c>
      <c r="AT62" s="38">
        <f t="shared" ca="1" si="215"/>
        <v>7</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5</v>
      </c>
      <c r="BK62" s="13">
        <f t="shared" ca="1" si="173"/>
        <v>7</v>
      </c>
      <c r="BL62" s="13">
        <f t="shared" ca="1" si="190"/>
        <v>-2</v>
      </c>
      <c r="BM62" s="13">
        <f t="shared" ca="1" si="191"/>
        <v>5</v>
      </c>
      <c r="BN62" s="13">
        <f t="shared" ca="1" si="192"/>
        <v>5</v>
      </c>
      <c r="BO62" s="13" t="str">
        <f t="shared" si="174"/>
        <v>4E</v>
      </c>
      <c r="BP62" s="13"/>
      <c r="BQ62" s="13"/>
      <c r="BR62" s="13">
        <f t="shared" ca="1" si="175"/>
        <v>3</v>
      </c>
      <c r="BS62" s="13">
        <f t="shared" ca="1" si="193"/>
        <v>4</v>
      </c>
      <c r="BT62" s="13" t="str">
        <f t="shared" ca="1" si="194"/>
        <v>Pos. 4 (5)</v>
      </c>
      <c r="BU62" s="13">
        <f t="shared" ca="1" si="176"/>
        <v>-2</v>
      </c>
      <c r="BV62" s="13">
        <f t="shared" ca="1" si="177"/>
        <v>5</v>
      </c>
      <c r="BW62" s="13" t="str">
        <f t="shared" ca="1" si="178"/>
        <v>Pos. 5 (2)</v>
      </c>
      <c r="BX62" s="13">
        <f t="shared" ca="1" si="179"/>
        <v>5</v>
      </c>
      <c r="BY62" s="13">
        <f t="shared" ca="1" si="180"/>
        <v>5</v>
      </c>
      <c r="BZ62" s="13" t="str">
        <f t="shared" ca="1" si="181"/>
        <v>-</v>
      </c>
      <c r="CA62" s="13" t="str">
        <f t="shared" ca="1" si="182"/>
        <v>-</v>
      </c>
      <c r="CB62" s="13">
        <f t="shared" ca="1" si="195"/>
        <v>5</v>
      </c>
      <c r="CC62" s="13"/>
      <c r="CD62" s="13">
        <f t="shared" ca="1" si="183"/>
        <v>5</v>
      </c>
      <c r="CE62" s="13" t="str">
        <f t="shared" ca="1" si="196"/>
        <v>-</v>
      </c>
      <c r="CF62" s="13">
        <f t="shared" ca="1" si="197"/>
        <v>5</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Costa de Marfil</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56"/>
      <c r="X63" s="21">
        <f ca="1">Horarios!C63</f>
        <v>46194.75</v>
      </c>
      <c r="Y63" s="22">
        <f ca="1">Horarios!C63</f>
        <v>46194.75</v>
      </c>
      <c r="Z63" s="23" t="str">
        <f>$Z$6</f>
        <v>J2</v>
      </c>
      <c r="AA63" s="24" t="str">
        <f ca="1">A64</f>
        <v>Uruguay</v>
      </c>
      <c r="AB63" s="46" t="e" cm="1" vm="32">
        <f t="array" aca="1" ref="AB63" ca="1">Ver_flag_local</f>
        <v>#VALUE!</v>
      </c>
      <c r="AC63" s="47">
        <v>3</v>
      </c>
      <c r="AD63" s="48">
        <v>0</v>
      </c>
      <c r="AE63" s="582" t="e" cm="1" vm="30">
        <f t="array" aca="1" ref="AE63" ca="1">Ver_flag_visit</f>
        <v>#VALUE!</v>
      </c>
      <c r="AF63" s="29" t="str">
        <f ca="1">A62</f>
        <v>Cabo Verde</v>
      </c>
      <c r="AG63" s="311">
        <f t="shared" si="212"/>
        <v>1</v>
      </c>
      <c r="AH63" s="188">
        <v>37</v>
      </c>
      <c r="AI63" s="177" t="str">
        <f t="shared" ref="AI63:AI65" si="216">AJ63&amp;$B$60</f>
        <v>2H</v>
      </c>
      <c r="AJ63" s="39">
        <v>2</v>
      </c>
      <c r="AK63" s="589" t="e" cm="1" vm="32">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6</v>
      </c>
      <c r="AS63" s="36">
        <f t="shared" ca="1" si="215"/>
        <v>4</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Japón</v>
      </c>
      <c r="BE63" s="13">
        <f t="shared" ca="1" si="188"/>
        <v>4</v>
      </c>
      <c r="BF63" s="13">
        <f t="shared" ca="1" si="189"/>
        <v>3</v>
      </c>
      <c r="BG63" s="13">
        <f t="shared" ca="1" si="169"/>
        <v>1</v>
      </c>
      <c r="BH63" s="13">
        <f t="shared" ca="1" si="170"/>
        <v>1</v>
      </c>
      <c r="BI63" s="13">
        <f t="shared" ca="1" si="171"/>
        <v>1</v>
      </c>
      <c r="BJ63" s="13">
        <f t="shared" ca="1" si="172"/>
        <v>5</v>
      </c>
      <c r="BK63" s="13">
        <f t="shared" ca="1" si="173"/>
        <v>5</v>
      </c>
      <c r="BL63" s="13">
        <f t="shared" ca="1" si="190"/>
        <v>0</v>
      </c>
      <c r="BM63" s="13">
        <f t="shared" ca="1" si="191"/>
        <v>1</v>
      </c>
      <c r="BN63" s="13">
        <f t="shared" ca="1" si="192"/>
        <v>1</v>
      </c>
      <c r="BO63" s="13" t="str">
        <f t="shared" si="174"/>
        <v>4F</v>
      </c>
      <c r="BP63" s="13"/>
      <c r="BQ63" s="13"/>
      <c r="BR63" s="13">
        <f t="shared" ca="1" si="175"/>
        <v>4</v>
      </c>
      <c r="BS63" s="13">
        <f t="shared" ca="1" si="193"/>
        <v>1</v>
      </c>
      <c r="BT63" s="13" t="str">
        <f t="shared" ca="1" si="194"/>
        <v>Pos. 1 (3)</v>
      </c>
      <c r="BU63" s="13">
        <f t="shared" ca="1" si="176"/>
        <v>0</v>
      </c>
      <c r="BV63" s="13">
        <f t="shared" ca="1" si="177"/>
        <v>1</v>
      </c>
      <c r="BW63" s="13" t="str">
        <f t="shared" ca="1" si="178"/>
        <v>Pos. 1 (2)</v>
      </c>
      <c r="BX63" s="13">
        <f t="shared" ca="1" si="179"/>
        <v>5</v>
      </c>
      <c r="BY63" s="13">
        <f t="shared" ca="1" si="180"/>
        <v>1</v>
      </c>
      <c r="BZ63" s="13" t="str">
        <f t="shared" ca="1" si="181"/>
        <v>-</v>
      </c>
      <c r="CA63" s="13" t="str">
        <f t="shared" ca="1" si="182"/>
        <v>-</v>
      </c>
      <c r="CB63" s="13">
        <f t="shared" ca="1" si="195"/>
        <v>1</v>
      </c>
      <c r="CC63" s="13"/>
      <c r="CD63" s="13">
        <f t="shared" ca="1" si="183"/>
        <v>1</v>
      </c>
      <c r="CE63" s="13" t="str">
        <f t="shared" ca="1" si="196"/>
        <v>-</v>
      </c>
      <c r="CF63" s="13">
        <f t="shared" ca="1" si="197"/>
        <v>1</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Egipto</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56"/>
      <c r="X64" s="21">
        <f ca="1">Horarios!C64</f>
        <v>46199.833333333336</v>
      </c>
      <c r="Y64" s="22">
        <f ca="1">Horarios!C64</f>
        <v>46199.833333333336</v>
      </c>
      <c r="Z64" s="23" t="str">
        <f>$Z$8</f>
        <v>J3</v>
      </c>
      <c r="AA64" s="24" t="str">
        <f ca="1">A62</f>
        <v>Cabo Verde</v>
      </c>
      <c r="AB64" s="46" t="e" cm="1" vm="30">
        <f t="array" aca="1" ref="AB64" ca="1">Ver_flag_local</f>
        <v>#VALUE!</v>
      </c>
      <c r="AC64" s="47">
        <v>0</v>
      </c>
      <c r="AD64" s="48">
        <v>2</v>
      </c>
      <c r="AE64" s="582" t="e" cm="1" vm="31">
        <f t="array" aca="1" ref="AE64" ca="1">Ver_flag_visit</f>
        <v>#VALUE!</v>
      </c>
      <c r="AF64" s="29" t="str">
        <f ca="1">A63</f>
        <v>Arabia Saudita</v>
      </c>
      <c r="AG64" s="311">
        <f t="shared" si="212"/>
        <v>1</v>
      </c>
      <c r="AH64" s="188">
        <v>65</v>
      </c>
      <c r="AI64" s="177" t="str">
        <f t="shared" si="216"/>
        <v>3H</v>
      </c>
      <c r="AJ64" s="39">
        <v>3</v>
      </c>
      <c r="AK64" s="589" t="e" cm="1" vm="31">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4</v>
      </c>
      <c r="AS64" s="36">
        <f t="shared" ca="1" si="215"/>
        <v>4</v>
      </c>
      <c r="AT64" s="40">
        <f t="shared" ca="1" si="215"/>
        <v>0</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Egipto</v>
      </c>
      <c r="BE64" s="13">
        <f t="shared" ca="1" si="188"/>
        <v>3</v>
      </c>
      <c r="BF64" s="13">
        <f t="shared" ca="1" si="189"/>
        <v>3</v>
      </c>
      <c r="BG64" s="13">
        <f t="shared" ca="1" si="169"/>
        <v>1</v>
      </c>
      <c r="BH64" s="13">
        <f t="shared" ca="1" si="170"/>
        <v>0</v>
      </c>
      <c r="BI64" s="13">
        <f t="shared" ca="1" si="171"/>
        <v>2</v>
      </c>
      <c r="BJ64" s="13">
        <f t="shared" ca="1" si="172"/>
        <v>3</v>
      </c>
      <c r="BK64" s="13">
        <f t="shared" ca="1" si="173"/>
        <v>5</v>
      </c>
      <c r="BL64" s="13">
        <f t="shared" ca="1" si="190"/>
        <v>-2</v>
      </c>
      <c r="BM64" s="13">
        <f t="shared" ca="1" si="191"/>
        <v>6</v>
      </c>
      <c r="BN64" s="13">
        <f t="shared" ca="1" si="192"/>
        <v>6</v>
      </c>
      <c r="BO64" s="13" t="str">
        <f t="shared" si="174"/>
        <v>4G</v>
      </c>
      <c r="BP64" s="13"/>
      <c r="BQ64" s="13"/>
      <c r="BR64" s="13">
        <f t="shared" ca="1" si="175"/>
        <v>3</v>
      </c>
      <c r="BS64" s="13">
        <f t="shared" ca="1" si="193"/>
        <v>4</v>
      </c>
      <c r="BT64" s="13" t="str">
        <f t="shared" ca="1" si="194"/>
        <v>Pos. 4 (5)</v>
      </c>
      <c r="BU64" s="13">
        <f t="shared" ca="1" si="176"/>
        <v>-2</v>
      </c>
      <c r="BV64" s="13">
        <f t="shared" ca="1" si="177"/>
        <v>5</v>
      </c>
      <c r="BW64" s="13" t="str">
        <f t="shared" ca="1" si="178"/>
        <v>Pos. 5 (2)</v>
      </c>
      <c r="BX64" s="13">
        <f t="shared" ca="1" si="179"/>
        <v>3</v>
      </c>
      <c r="BY64" s="13">
        <f t="shared" ca="1" si="180"/>
        <v>6</v>
      </c>
      <c r="BZ64" s="13" t="str">
        <f t="shared" ca="1" si="181"/>
        <v>-</v>
      </c>
      <c r="CA64" s="13" t="str">
        <f t="shared" ca="1" si="182"/>
        <v>-</v>
      </c>
      <c r="CB64" s="13">
        <f t="shared" ca="1" si="195"/>
        <v>6</v>
      </c>
      <c r="CC64" s="13"/>
      <c r="CD64" s="13">
        <f t="shared" ca="1" si="183"/>
        <v>6</v>
      </c>
      <c r="CE64" s="13" t="str">
        <f t="shared" ca="1" si="196"/>
        <v>-</v>
      </c>
      <c r="CF64" s="13">
        <f t="shared" ca="1" si="197"/>
        <v>6</v>
      </c>
      <c r="DJ64" s="13">
        <f t="shared" ca="1" si="184"/>
        <v>7</v>
      </c>
      <c r="DK64" s="13"/>
      <c r="DL64" s="13">
        <f t="shared" ca="1" si="185"/>
        <v>2</v>
      </c>
      <c r="DM64" s="13" t="str">
        <f t="shared" ca="1" si="186"/>
        <v>7.2</v>
      </c>
      <c r="DN64" s="13" t="e" cm="1" vm="33">
        <f t="array" aca="1" ref="DN64" ca="1">OFFSET(Horarios!$P$3,DJ64-1,0,DL64,1)</f>
        <v>#VALUE!</v>
      </c>
      <c r="DO64" s="13"/>
      <c r="DP64" s="13">
        <v>7</v>
      </c>
      <c r="DQ64" s="13" t="str">
        <f t="shared" ca="1" si="198"/>
        <v>Escocia</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57"/>
      <c r="X65" s="25">
        <f ca="1">Horarios!C65</f>
        <v>46199.833333333336</v>
      </c>
      <c r="Y65" s="26">
        <f ca="1">Horarios!C65</f>
        <v>46199.833333333336</v>
      </c>
      <c r="Z65" s="27" t="str">
        <f>$Z$8</f>
        <v>J3</v>
      </c>
      <c r="AA65" s="28" t="str">
        <f ca="1">A64</f>
        <v>Uruguay</v>
      </c>
      <c r="AB65" s="49" t="e" cm="1" vm="32">
        <f t="array" aca="1" ref="AB65" ca="1">Ver_flag_local</f>
        <v>#VALUE!</v>
      </c>
      <c r="AC65" s="50">
        <v>1</v>
      </c>
      <c r="AD65" s="51">
        <v>3</v>
      </c>
      <c r="AE65" s="583" t="e" cm="1" vm="29">
        <f t="array" aca="1" ref="AE65" ca="1">Ver_flag_visit</f>
        <v>#VALUE!</v>
      </c>
      <c r="AF65" s="30" t="str">
        <f ca="1">A61</f>
        <v>España</v>
      </c>
      <c r="AG65" s="311">
        <f t="shared" si="212"/>
        <v>1</v>
      </c>
      <c r="AH65" s="188">
        <v>66</v>
      </c>
      <c r="AI65" s="177" t="str">
        <f t="shared" si="216"/>
        <v>4H</v>
      </c>
      <c r="AJ65" s="41">
        <v>4</v>
      </c>
      <c r="AK65" s="591" t="e" cm="1" vm="30">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9</v>
      </c>
      <c r="AT65" s="45">
        <f t="shared" ca="1" si="215"/>
        <v>-9</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4</v>
      </c>
      <c r="BK65" s="13">
        <f t="shared" ca="1" si="173"/>
        <v>4</v>
      </c>
      <c r="BL65" s="13">
        <f t="shared" ca="1" si="190"/>
        <v>0</v>
      </c>
      <c r="BM65" s="13">
        <f t="shared" ca="1" si="191"/>
        <v>4</v>
      </c>
      <c r="BN65" s="13">
        <f t="shared" ca="1" si="192"/>
        <v>4</v>
      </c>
      <c r="BO65" s="13" t="str">
        <f t="shared" si="174"/>
        <v>4H</v>
      </c>
      <c r="BP65" s="13"/>
      <c r="BQ65" s="13"/>
      <c r="BR65" s="13">
        <f t="shared" ca="1" si="175"/>
        <v>3</v>
      </c>
      <c r="BS65" s="13">
        <f t="shared" ca="1" si="193"/>
        <v>4</v>
      </c>
      <c r="BT65" s="13" t="str">
        <f t="shared" ca="1" si="194"/>
        <v>Pos. 4 (5)</v>
      </c>
      <c r="BU65" s="13">
        <f t="shared" ca="1" si="176"/>
        <v>0</v>
      </c>
      <c r="BV65" s="13">
        <f t="shared" ca="1" si="177"/>
        <v>4</v>
      </c>
      <c r="BW65" s="13" t="str">
        <f t="shared" ca="1" si="178"/>
        <v>-</v>
      </c>
      <c r="BX65" s="13" t="str">
        <f t="shared" ca="1" si="179"/>
        <v>-</v>
      </c>
      <c r="BY65" s="13">
        <f t="shared" ca="1" si="180"/>
        <v>4</v>
      </c>
      <c r="BZ65" s="13" t="str">
        <f t="shared" ca="1" si="181"/>
        <v>-</v>
      </c>
      <c r="CA65" s="13" t="str">
        <f t="shared" ca="1" si="182"/>
        <v>-</v>
      </c>
      <c r="CB65" s="13">
        <f t="shared" ca="1" si="195"/>
        <v>4</v>
      </c>
      <c r="CC65" s="13"/>
      <c r="CD65" s="13">
        <f t="shared" ca="1" si="183"/>
        <v>4</v>
      </c>
      <c r="CE65" s="13" t="str">
        <f t="shared" ca="1" si="196"/>
        <v>-</v>
      </c>
      <c r="CF65" s="13">
        <f t="shared" ca="1" si="197"/>
        <v>4</v>
      </c>
      <c r="DJ65" s="13">
        <f t="shared" ca="1" si="184"/>
        <v>7</v>
      </c>
      <c r="DK65" s="13"/>
      <c r="DL65" s="13">
        <f t="shared" ca="1" si="185"/>
        <v>2</v>
      </c>
      <c r="DM65" s="13" t="str">
        <f t="shared" ca="1" si="186"/>
        <v>7.2</v>
      </c>
      <c r="DN65" s="13" t="e" cm="1" vm="33">
        <f t="array" aca="1" ref="DN65" ca="1">OFFSET(Horarios!$P$3,DJ65-1,0,DL65,1)</f>
        <v>#VALUE!</v>
      </c>
      <c r="DO65" s="13"/>
      <c r="DP65" s="13">
        <v>8</v>
      </c>
      <c r="DQ65" s="13" t="str">
        <f t="shared" ca="1" si="198"/>
        <v>Uzbekistán</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5</v>
      </c>
      <c r="BK66" s="13">
        <f t="shared" ca="1" si="173"/>
        <v>6</v>
      </c>
      <c r="BL66" s="13">
        <f t="shared" ca="1" si="190"/>
        <v>-1</v>
      </c>
      <c r="BM66" s="13">
        <f t="shared" ca="1" si="191"/>
        <v>3</v>
      </c>
      <c r="BN66" s="13">
        <f t="shared" ca="1" si="192"/>
        <v>3</v>
      </c>
      <c r="BO66" s="13" t="str">
        <f t="shared" si="174"/>
        <v>4I</v>
      </c>
      <c r="BP66" s="13"/>
      <c r="BQ66" s="13"/>
      <c r="BR66" s="13">
        <f t="shared" ca="1" si="175"/>
        <v>4</v>
      </c>
      <c r="BS66" s="13">
        <f t="shared" ca="1" si="193"/>
        <v>1</v>
      </c>
      <c r="BT66" s="13" t="str">
        <f t="shared" ca="1" si="194"/>
        <v>Pos. 1 (3)</v>
      </c>
      <c r="BU66" s="13">
        <f t="shared" ca="1" si="176"/>
        <v>-1</v>
      </c>
      <c r="BV66" s="13">
        <f t="shared" ca="1" si="177"/>
        <v>3</v>
      </c>
      <c r="BW66" s="13" t="str">
        <f t="shared" ca="1" si="178"/>
        <v>-</v>
      </c>
      <c r="BX66" s="13" t="str">
        <f t="shared" ca="1" si="179"/>
        <v>-</v>
      </c>
      <c r="BY66" s="13">
        <f t="shared" ca="1" si="180"/>
        <v>3</v>
      </c>
      <c r="BZ66" s="13" t="str">
        <f t="shared" ca="1" si="181"/>
        <v>-</v>
      </c>
      <c r="CA66" s="13" t="str">
        <f t="shared" ca="1" si="182"/>
        <v>-</v>
      </c>
      <c r="CB66" s="13">
        <f t="shared" ca="1" si="195"/>
        <v>3</v>
      </c>
      <c r="CC66" s="13"/>
      <c r="CD66" s="13">
        <f t="shared" ca="1" si="183"/>
        <v>3</v>
      </c>
      <c r="CE66" s="13" t="str">
        <f t="shared" ca="1" si="196"/>
        <v>-</v>
      </c>
      <c r="CF66" s="13">
        <f t="shared" ca="1" si="197"/>
        <v>3</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Turquía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Jordania</v>
      </c>
      <c r="BE67" s="13">
        <f t="shared" ca="1" si="188"/>
        <v>1</v>
      </c>
      <c r="BF67" s="13">
        <f t="shared" ca="1" si="189"/>
        <v>3</v>
      </c>
      <c r="BG67" s="13">
        <f t="shared" ca="1" si="169"/>
        <v>0</v>
      </c>
      <c r="BH67" s="13">
        <f t="shared" ca="1" si="170"/>
        <v>1</v>
      </c>
      <c r="BI67" s="13">
        <f t="shared" ca="1" si="171"/>
        <v>2</v>
      </c>
      <c r="BJ67" s="13">
        <f t="shared" ca="1" si="172"/>
        <v>2</v>
      </c>
      <c r="BK67" s="13">
        <f t="shared" ca="1" si="173"/>
        <v>5</v>
      </c>
      <c r="BL67" s="13">
        <f t="shared" ca="1" si="190"/>
        <v>-3</v>
      </c>
      <c r="BM67" s="13">
        <f t="shared" ca="1" si="191"/>
        <v>12</v>
      </c>
      <c r="BN67" s="13">
        <f t="shared" ca="1" si="192"/>
        <v>12</v>
      </c>
      <c r="BO67" s="13" t="str">
        <f t="shared" si="174"/>
        <v>4J</v>
      </c>
      <c r="BP67" s="13"/>
      <c r="BQ67" s="13"/>
      <c r="BR67" s="13">
        <f t="shared" ca="1" si="175"/>
        <v>1</v>
      </c>
      <c r="BS67" s="13">
        <f t="shared" ca="1" si="193"/>
        <v>11</v>
      </c>
      <c r="BT67" s="13" t="str">
        <f t="shared" ca="1" si="194"/>
        <v>Pos. 11 (2)</v>
      </c>
      <c r="BU67" s="13">
        <f t="shared" ca="1" si="176"/>
        <v>-3</v>
      </c>
      <c r="BV67" s="13">
        <f t="shared" ca="1" si="177"/>
        <v>12</v>
      </c>
      <c r="BW67" s="13" t="str">
        <f t="shared" ca="1" si="178"/>
        <v>-</v>
      </c>
      <c r="BX67" s="13" t="str">
        <f t="shared" ca="1" si="179"/>
        <v>-</v>
      </c>
      <c r="BY67" s="13">
        <f t="shared" ca="1" si="180"/>
        <v>12</v>
      </c>
      <c r="BZ67" s="13" t="str">
        <f t="shared" ca="1" si="181"/>
        <v>-</v>
      </c>
      <c r="CA67" s="13" t="str">
        <f t="shared" ca="1" si="182"/>
        <v>-</v>
      </c>
      <c r="CB67" s="13">
        <f t="shared" ca="1" si="195"/>
        <v>12</v>
      </c>
      <c r="CC67" s="13"/>
      <c r="CD67" s="13">
        <f t="shared" ca="1" si="183"/>
        <v>12</v>
      </c>
      <c r="CE67" s="13" t="str">
        <f t="shared" ca="1" si="196"/>
        <v>-</v>
      </c>
      <c r="CF67" s="13">
        <f t="shared" ca="1" si="197"/>
        <v>12</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Catar</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P.2 (2)</v>
      </c>
      <c r="G68" s="13"/>
      <c r="H68" s="13" t="str">
        <f t="shared" ref="H68:H73" ca="1" si="220">IF(D68="Pendiente","-",INDEX($BZ$6:$BZ$53,MATCH($AA68,$BD$6:$BD$53,0)))</f>
        <v>-</v>
      </c>
      <c r="I68" s="13" t="str">
        <f t="shared" ref="I68:I73" ca="1" si="221">IF(D68="Pendiente","-",INDEX($BZ$6:$BZ$53,MATCH($AF68,$BD$6:$BD$53,0)))</f>
        <v>P.2 (2)</v>
      </c>
      <c r="J68" s="13"/>
      <c r="K68" s="13" t="str">
        <f t="shared" ref="K68:K73" ca="1" si="222">IF(D68="Pendiente","-",INDEX($CE$6:$CE$53,MATCH($AA68,$BD$6:$BD$53,0)))</f>
        <v>-</v>
      </c>
      <c r="L68" s="13" t="str">
        <f t="shared" ref="L68:L73" ca="1" si="223">IF(D68="Pendiente","-",INDEX($CE$6:$CE$53,MATCH($AF68,$BD$6:$BD$53,0)))</f>
        <v>P.2 (2)</v>
      </c>
      <c r="M68" s="13"/>
      <c r="N68" s="13" t="str">
        <f t="shared" ref="N68:N73" ca="1" si="224">IF(D68="Pendiente","-",INDEX($CH$6:$CH$53,MATCH($AA68,$BD$6:$BD$53,0)))</f>
        <v>-</v>
      </c>
      <c r="O68" s="13" t="str">
        <f t="shared" ref="O68:O73" ca="1" si="225">IF(D68="Pendiente","-",INDEX($CH$6:$CH$53,MATCH($AF68,$BD$6:$BD$53,0)))</f>
        <v>P.2 (2)</v>
      </c>
      <c r="P68" s="13"/>
      <c r="Q68" s="13" t="str">
        <f t="shared" ref="Q68:Q73" ca="1" si="226">IF(D68="Pendiente","-",INDEX($CN$6:$CN$53,MATCH($AA68,$BD$6:$BD$53,0)))</f>
        <v>-</v>
      </c>
      <c r="R68" s="13" t="str">
        <f t="shared" ref="R68:R73" ca="1" si="227">IF(D68="Pendiente","-",INDEX($CN$6:$CN$53,MATCH($AF68,$BD$6:$BD$53,0)))</f>
        <v>P.2 (2)</v>
      </c>
      <c r="S68" s="13"/>
      <c r="T68" s="13" t="str">
        <f t="shared" ref="T68:T73" ca="1" si="228">IF(D68="Pendiente","-",INDEX($CS$6:$CS$53,MATCH($AA68,$BD$6:$BD$53,0)))</f>
        <v>-</v>
      </c>
      <c r="U68" s="13" t="str">
        <f t="shared" ref="U68:U73" ca="1" si="229">IF(D68="Pendiente","-",INDEX($CS$6:$CS$53,MATCH($AF68,$BD$6:$BD$53,0)))</f>
        <v>P.2 (2)</v>
      </c>
      <c r="V68" s="14"/>
      <c r="W68" s="662" t="s">
        <v>448</v>
      </c>
      <c r="X68" s="21">
        <f ca="1">Horarios!C68</f>
        <v>46189.625</v>
      </c>
      <c r="Y68" s="22">
        <f ca="1">Horarios!C68</f>
        <v>46189.625</v>
      </c>
      <c r="Z68" s="23" t="str">
        <f>$Z$4</f>
        <v>J1</v>
      </c>
      <c r="AA68" s="24" t="str">
        <f ca="1">A69</f>
        <v>Francia</v>
      </c>
      <c r="AB68" s="46" t="e" cm="1" vm="34">
        <f t="array" aca="1" ref="AB68" ca="1">Ver_flag_local</f>
        <v>#VALUE!</v>
      </c>
      <c r="AC68" s="47">
        <v>4</v>
      </c>
      <c r="AD68" s="48">
        <v>1</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3</v>
      </c>
      <c r="BF68" s="13">
        <f t="shared" ca="1" si="189"/>
        <v>3</v>
      </c>
      <c r="BG68" s="13">
        <f t="shared" ca="1" si="169"/>
        <v>1</v>
      </c>
      <c r="BH68" s="13">
        <f t="shared" ca="1" si="170"/>
        <v>0</v>
      </c>
      <c r="BI68" s="13">
        <f t="shared" ca="1" si="171"/>
        <v>2</v>
      </c>
      <c r="BJ68" s="13">
        <f t="shared" ca="1" si="172"/>
        <v>2</v>
      </c>
      <c r="BK68" s="13">
        <f t="shared" ca="1" si="173"/>
        <v>6</v>
      </c>
      <c r="BL68" s="13">
        <f t="shared" ca="1" si="190"/>
        <v>-4</v>
      </c>
      <c r="BM68" s="13">
        <f t="shared" ca="1" si="191"/>
        <v>8</v>
      </c>
      <c r="BN68" s="13">
        <f t="shared" ca="1" si="192"/>
        <v>8</v>
      </c>
      <c r="BO68" s="13" t="str">
        <f t="shared" si="174"/>
        <v>4K</v>
      </c>
      <c r="BP68" s="13"/>
      <c r="BQ68" s="13"/>
      <c r="BR68" s="13">
        <f t="shared" ca="1" si="175"/>
        <v>3</v>
      </c>
      <c r="BS68" s="13">
        <f t="shared" ca="1" si="193"/>
        <v>4</v>
      </c>
      <c r="BT68" s="13" t="str">
        <f t="shared" ca="1" si="194"/>
        <v>Pos. 4 (5)</v>
      </c>
      <c r="BU68" s="13">
        <f t="shared" ca="1" si="176"/>
        <v>-4</v>
      </c>
      <c r="BV68" s="13">
        <f t="shared" ca="1" si="177"/>
        <v>7</v>
      </c>
      <c r="BW68" s="13" t="str">
        <f t="shared" ca="1" si="178"/>
        <v>Pos. 7 (2)</v>
      </c>
      <c r="BX68" s="13">
        <f t="shared" ca="1" si="179"/>
        <v>2</v>
      </c>
      <c r="BY68" s="13">
        <f t="shared" ca="1" si="180"/>
        <v>7</v>
      </c>
      <c r="BZ68" s="13" t="str">
        <f t="shared" ca="1" si="181"/>
        <v>Pos. 7 (2)</v>
      </c>
      <c r="CA68" s="13">
        <f t="shared" ca="1" si="182"/>
        <v>0</v>
      </c>
      <c r="CB68" s="13">
        <f t="shared" ca="1" si="195"/>
        <v>8</v>
      </c>
      <c r="CC68" s="13"/>
      <c r="CD68" s="13">
        <f t="shared" ca="1" si="183"/>
        <v>8</v>
      </c>
      <c r="CE68" s="13">
        <f t="shared" ca="1" si="196"/>
        <v>7</v>
      </c>
      <c r="CF68" s="13">
        <f t="shared" ca="1" si="197"/>
        <v>8</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Ghana</v>
      </c>
    </row>
    <row r="69" spans="1:121" ht="16.05" customHeight="1">
      <c r="A69" s="13" t="str">
        <f ca="1">+Equipos!B34</f>
        <v>Francia</v>
      </c>
      <c r="B69" s="13"/>
      <c r="C69" s="13"/>
      <c r="D69" s="13" t="str">
        <f t="shared" si="217"/>
        <v>Visitante</v>
      </c>
      <c r="E69" s="13" t="str">
        <f t="shared" ca="1" si="218"/>
        <v>-</v>
      </c>
      <c r="F69" s="13" t="str">
        <f t="shared" ca="1" si="219"/>
        <v>P.2 (2)</v>
      </c>
      <c r="G69" s="13"/>
      <c r="H69" s="13" t="str">
        <f t="shared" ca="1" si="220"/>
        <v>-</v>
      </c>
      <c r="I69" s="13" t="str">
        <f t="shared" ca="1" si="221"/>
        <v>P.2 (2)</v>
      </c>
      <c r="J69" s="13"/>
      <c r="K69" s="13" t="str">
        <f t="shared" ca="1" si="222"/>
        <v>-</v>
      </c>
      <c r="L69" s="13" t="str">
        <f t="shared" ca="1" si="223"/>
        <v>P.2 (2)</v>
      </c>
      <c r="M69" s="13"/>
      <c r="N69" s="13" t="str">
        <f t="shared" ca="1" si="224"/>
        <v>-</v>
      </c>
      <c r="O69" s="13" t="str">
        <f t="shared" ca="1" si="225"/>
        <v>P.2 (2)</v>
      </c>
      <c r="P69" s="13"/>
      <c r="Q69" s="13" t="str">
        <f t="shared" ca="1" si="226"/>
        <v>-</v>
      </c>
      <c r="R69" s="13" t="str">
        <f t="shared" ca="1" si="227"/>
        <v>P.2 (2)</v>
      </c>
      <c r="S69" s="13"/>
      <c r="T69" s="13" t="str">
        <f t="shared" ca="1" si="228"/>
        <v>-</v>
      </c>
      <c r="U69" s="13" t="str">
        <f t="shared" ca="1" si="229"/>
        <v>P.2 (2)</v>
      </c>
      <c r="V69" s="14"/>
      <c r="W69" s="662"/>
      <c r="X69" s="21">
        <f ca="1">Horarios!C69</f>
        <v>46189.75</v>
      </c>
      <c r="Y69" s="22">
        <f ca="1">Horarios!C69</f>
        <v>46189.75</v>
      </c>
      <c r="Z69" s="23" t="str">
        <f>$Z$4</f>
        <v>J1</v>
      </c>
      <c r="AA69" s="24" t="str">
        <f ca="1">A71</f>
        <v>Irak</v>
      </c>
      <c r="AB69" s="46" t="e" cm="1" vm="36">
        <f t="array" aca="1" ref="AB69" ca="1">Ver_flag_local</f>
        <v>#VALUE!</v>
      </c>
      <c r="AC69" s="47">
        <v>1</v>
      </c>
      <c r="AD69" s="48">
        <v>4</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1</v>
      </c>
      <c r="BF69" s="13">
        <f t="shared" ca="1" si="189"/>
        <v>3</v>
      </c>
      <c r="BG69" s="13">
        <f t="shared" ca="1" si="169"/>
        <v>0</v>
      </c>
      <c r="BH69" s="13">
        <f t="shared" ca="1" si="170"/>
        <v>1</v>
      </c>
      <c r="BI69" s="13">
        <f t="shared" ca="1" si="171"/>
        <v>2</v>
      </c>
      <c r="BJ69" s="13">
        <f t="shared" ca="1" si="172"/>
        <v>5</v>
      </c>
      <c r="BK69" s="13">
        <f t="shared" ca="1" si="173"/>
        <v>7</v>
      </c>
      <c r="BL69" s="13">
        <f t="shared" ca="1" si="190"/>
        <v>-2</v>
      </c>
      <c r="BM69" s="13">
        <f t="shared" ca="1" si="191"/>
        <v>11</v>
      </c>
      <c r="BN69" s="13">
        <f t="shared" ca="1" si="192"/>
        <v>11</v>
      </c>
      <c r="BO69" s="13" t="str">
        <f t="shared" si="174"/>
        <v>4L</v>
      </c>
      <c r="BP69" s="13"/>
      <c r="BQ69" s="13"/>
      <c r="BR69" s="13">
        <f t="shared" ca="1" si="175"/>
        <v>1</v>
      </c>
      <c r="BS69" s="13">
        <f t="shared" ca="1" si="193"/>
        <v>11</v>
      </c>
      <c r="BT69" s="13" t="str">
        <f t="shared" ca="1" si="194"/>
        <v>Pos. 11 (2)</v>
      </c>
      <c r="BU69" s="13">
        <f t="shared" ca="1" si="176"/>
        <v>-2</v>
      </c>
      <c r="BV69" s="13">
        <f t="shared" ca="1" si="177"/>
        <v>11</v>
      </c>
      <c r="BW69" s="13" t="str">
        <f t="shared" ca="1" si="178"/>
        <v>-</v>
      </c>
      <c r="BX69" s="13" t="str">
        <f t="shared" ca="1" si="179"/>
        <v>-</v>
      </c>
      <c r="BY69" s="13">
        <f t="shared" ca="1" si="180"/>
        <v>11</v>
      </c>
      <c r="BZ69" s="13" t="str">
        <f t="shared" ca="1" si="181"/>
        <v>-</v>
      </c>
      <c r="CA69" s="13" t="str">
        <f t="shared" ca="1" si="182"/>
        <v>-</v>
      </c>
      <c r="CB69" s="13">
        <f ca="1">BY69+COUNTIFS(BZ$58:BZ$69,BZ69,CA$58:CA$69,"&gt;"&amp;CA69)</f>
        <v>11</v>
      </c>
      <c r="CC69" s="13"/>
      <c r="CD69" s="13">
        <f t="shared" ca="1" si="183"/>
        <v>11</v>
      </c>
      <c r="CE69" s="13" t="str">
        <f t="shared" ca="1" si="196"/>
        <v>-</v>
      </c>
      <c r="CF69" s="13">
        <f t="shared" ca="1" si="197"/>
        <v>11</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Jordania</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62"/>
      <c r="X70" s="21">
        <f ca="1">Horarios!C70</f>
        <v>46195.708333333336</v>
      </c>
      <c r="Y70" s="22">
        <f ca="1">Horarios!C70</f>
        <v>46195.708333333336</v>
      </c>
      <c r="Z70" s="23" t="str">
        <f>$Z$6</f>
        <v>J2</v>
      </c>
      <c r="AA70" s="24" t="str">
        <f ca="1">A69</f>
        <v>Francia</v>
      </c>
      <c r="AB70" s="46" t="e" cm="1" vm="34">
        <f t="array" aca="1" ref="AB70" ca="1">Ver_flag_local</f>
        <v>#VALUE!</v>
      </c>
      <c r="AC70" s="47">
        <v>3</v>
      </c>
      <c r="AD70" s="48">
        <v>1</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10</v>
      </c>
      <c r="AS70" s="33">
        <f t="shared" ca="1" si="233"/>
        <v>3</v>
      </c>
      <c r="AT70" s="38">
        <f t="shared" ca="1" si="233"/>
        <v>7</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Empate</v>
      </c>
      <c r="E71" s="13" t="str">
        <f t="shared" ca="1" si="218"/>
        <v>P.2 (2)</v>
      </c>
      <c r="F71" s="13" t="str">
        <f t="shared" ca="1" si="219"/>
        <v>P.2 (2)</v>
      </c>
      <c r="G71" s="13"/>
      <c r="H71" s="13" t="str">
        <f t="shared" ca="1" si="220"/>
        <v>P.2 (2)</v>
      </c>
      <c r="I71" s="13" t="str">
        <f t="shared" ca="1" si="221"/>
        <v>P.2 (2)</v>
      </c>
      <c r="J71" s="13"/>
      <c r="K71" s="13" t="str">
        <f t="shared" ca="1" si="222"/>
        <v>P.2 (2)</v>
      </c>
      <c r="L71" s="13" t="str">
        <f t="shared" ca="1" si="223"/>
        <v>P.2 (2)</v>
      </c>
      <c r="M71" s="13"/>
      <c r="N71" s="13" t="str">
        <f t="shared" ca="1" si="224"/>
        <v>P.2 (2)</v>
      </c>
      <c r="O71" s="13" t="str">
        <f t="shared" ca="1" si="225"/>
        <v>P.2 (2)</v>
      </c>
      <c r="P71" s="13"/>
      <c r="Q71" s="13" t="str">
        <f t="shared" ca="1" si="226"/>
        <v>P.2 (2)</v>
      </c>
      <c r="R71" s="13" t="str">
        <f t="shared" ca="1" si="227"/>
        <v>P.2 (2)</v>
      </c>
      <c r="S71" s="13"/>
      <c r="T71" s="13" t="str">
        <f t="shared" ca="1" si="228"/>
        <v>P.2 (2)</v>
      </c>
      <c r="U71" s="13" t="str">
        <f t="shared" ca="1" si="229"/>
        <v>P.2 (2)</v>
      </c>
      <c r="V71" s="14"/>
      <c r="W71" s="662"/>
      <c r="X71" s="21">
        <f ca="1">Horarios!C71</f>
        <v>46195.833333333336</v>
      </c>
      <c r="Y71" s="22">
        <f ca="1">Horarios!C71</f>
        <v>46195.833333333336</v>
      </c>
      <c r="Z71" s="23" t="str">
        <f>$Z$6</f>
        <v>J2</v>
      </c>
      <c r="AA71" s="24" t="str">
        <f ca="1">A72</f>
        <v>Noruega</v>
      </c>
      <c r="AB71" s="46" t="e" cm="1" vm="37">
        <f t="array" aca="1" ref="AB71" ca="1">Ver_flag_local</f>
        <v>#VALUE!</v>
      </c>
      <c r="AC71" s="47">
        <v>2</v>
      </c>
      <c r="AD71" s="48">
        <v>2</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4</v>
      </c>
      <c r="AN71" s="36">
        <f t="shared" ca="1" si="233"/>
        <v>3</v>
      </c>
      <c r="AO71" s="36">
        <f t="shared" ca="1" si="233"/>
        <v>1</v>
      </c>
      <c r="AP71" s="36">
        <f t="shared" ca="1" si="233"/>
        <v>1</v>
      </c>
      <c r="AQ71" s="36">
        <f t="shared" ca="1" si="233"/>
        <v>1</v>
      </c>
      <c r="AR71" s="36">
        <f t="shared" ca="1" si="233"/>
        <v>7</v>
      </c>
      <c r="AS71" s="36">
        <f t="shared" ca="1" si="233"/>
        <v>6</v>
      </c>
      <c r="AT71" s="40">
        <f t="shared" ca="1" si="233"/>
        <v>1</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P.2 (2)</v>
      </c>
      <c r="F72" s="13" t="str">
        <f t="shared" ca="1" si="219"/>
        <v>-</v>
      </c>
      <c r="G72" s="13"/>
      <c r="H72" s="13" t="str">
        <f t="shared" ca="1" si="220"/>
        <v>P.2 (2)</v>
      </c>
      <c r="I72" s="13" t="str">
        <f t="shared" ca="1" si="221"/>
        <v>-</v>
      </c>
      <c r="J72" s="13"/>
      <c r="K72" s="13" t="str">
        <f t="shared" ca="1" si="222"/>
        <v>P.2 (2)</v>
      </c>
      <c r="L72" s="13" t="str">
        <f t="shared" ca="1" si="223"/>
        <v>-</v>
      </c>
      <c r="M72" s="13"/>
      <c r="N72" s="13" t="str">
        <f t="shared" ca="1" si="224"/>
        <v>P.2 (2)</v>
      </c>
      <c r="O72" s="13" t="str">
        <f t="shared" ca="1" si="225"/>
        <v>-</v>
      </c>
      <c r="P72" s="13"/>
      <c r="Q72" s="13" t="str">
        <f t="shared" ca="1" si="226"/>
        <v>P.2 (2)</v>
      </c>
      <c r="R72" s="13" t="str">
        <f t="shared" ca="1" si="227"/>
        <v>-</v>
      </c>
      <c r="S72" s="13"/>
      <c r="T72" s="13" t="str">
        <f t="shared" ca="1" si="228"/>
        <v>P.2 (2)</v>
      </c>
      <c r="U72" s="13" t="str">
        <f t="shared" ca="1" si="229"/>
        <v>-</v>
      </c>
      <c r="V72" s="14"/>
      <c r="W72" s="662"/>
      <c r="X72" s="21">
        <f ca="1">Horarios!C72</f>
        <v>46199.625</v>
      </c>
      <c r="Y72" s="22">
        <f ca="1">Horarios!C72</f>
        <v>46199.625</v>
      </c>
      <c r="Z72" s="23" t="str">
        <f>$Z$8</f>
        <v>J3</v>
      </c>
      <c r="AA72" s="24" t="str">
        <f ca="1">A72</f>
        <v>Noruega</v>
      </c>
      <c r="AB72" s="46" t="e" cm="1" vm="37">
        <f t="array" aca="1" ref="AB72" ca="1">Ver_flag_local</f>
        <v>#VALUE!</v>
      </c>
      <c r="AC72" s="47">
        <v>1</v>
      </c>
      <c r="AD72" s="48">
        <v>3</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5</v>
      </c>
      <c r="AS72" s="36">
        <f t="shared" ca="1" si="233"/>
        <v>6</v>
      </c>
      <c r="AT72" s="40">
        <f t="shared" ca="1" si="233"/>
        <v>-1</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663"/>
      <c r="X73" s="25">
        <f ca="1">Horarios!C73</f>
        <v>46199.625</v>
      </c>
      <c r="Y73" s="26">
        <f ca="1">Horarios!C73</f>
        <v>46199.625</v>
      </c>
      <c r="Z73" s="27" t="str">
        <f>$Z$8</f>
        <v>J3</v>
      </c>
      <c r="AA73" s="28" t="str">
        <f ca="1">A70</f>
        <v>Senegal</v>
      </c>
      <c r="AB73" s="49" t="e" cm="1" vm="35">
        <f t="array" aca="1" ref="AB73" ca="1">Ver_flag_local</f>
        <v>#VALUE!</v>
      </c>
      <c r="AC73" s="50">
        <v>2</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2</v>
      </c>
      <c r="AS73" s="44">
        <f t="shared" ca="1" si="233"/>
        <v>9</v>
      </c>
      <c r="AT73" s="45">
        <f t="shared" ca="1" si="233"/>
        <v>-7</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58" t="s">
        <v>5</v>
      </c>
      <c r="X76" s="21">
        <f ca="1">Horarios!C76</f>
        <v>46189.875</v>
      </c>
      <c r="Y76" s="22">
        <f ca="1">Horarios!C76</f>
        <v>46189.875</v>
      </c>
      <c r="Z76" s="23" t="str">
        <f>$Z$4</f>
        <v>J1</v>
      </c>
      <c r="AA76" s="24" t="str">
        <f ca="1">A77</f>
        <v>Argentina</v>
      </c>
      <c r="AB76" s="46" t="e" cm="1" vm="38">
        <f t="array" aca="1" ref="AB76" ca="1">Ver_flag_local</f>
        <v>#VALUE!</v>
      </c>
      <c r="AC76" s="47">
        <v>2</v>
      </c>
      <c r="AD76" s="48">
        <v>0</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Empate</v>
      </c>
      <c r="E77" s="13" t="str">
        <f t="shared" ca="1" si="236"/>
        <v>P.3 (2)</v>
      </c>
      <c r="F77" s="13" t="str">
        <f t="shared" ca="1" si="237"/>
        <v>P.3 (2)</v>
      </c>
      <c r="G77" s="13"/>
      <c r="H77" s="13" t="str">
        <f t="shared" ca="1" si="238"/>
        <v>P.3 (2)</v>
      </c>
      <c r="I77" s="13" t="str">
        <f t="shared" ca="1" si="239"/>
        <v>P.3 (2)</v>
      </c>
      <c r="J77" s="13"/>
      <c r="K77" s="13" t="str">
        <f t="shared" ca="1" si="240"/>
        <v>P.3 (2)</v>
      </c>
      <c r="L77" s="13" t="str">
        <f t="shared" ca="1" si="241"/>
        <v>P.3 (2)</v>
      </c>
      <c r="M77" s="13"/>
      <c r="N77" s="13" t="str">
        <f t="shared" ca="1" si="242"/>
        <v>P.3 (2)</v>
      </c>
      <c r="O77" s="13" t="str">
        <f t="shared" ca="1" si="243"/>
        <v>P.3 (2)</v>
      </c>
      <c r="P77" s="13"/>
      <c r="Q77" s="13" t="str">
        <f t="shared" ca="1" si="244"/>
        <v>P.3 (2)</v>
      </c>
      <c r="R77" s="13" t="str">
        <f t="shared" ca="1" si="245"/>
        <v>P.3 (2)</v>
      </c>
      <c r="S77" s="13"/>
      <c r="T77" s="13" t="str">
        <f t="shared" ca="1" si="246"/>
        <v>P.3 (2)</v>
      </c>
      <c r="U77" s="13" t="str">
        <f t="shared" ca="1" si="247"/>
        <v>P.3 (2)</v>
      </c>
      <c r="V77" s="14"/>
      <c r="W77" s="658"/>
      <c r="X77" s="21">
        <f ca="1">Horarios!C77</f>
        <v>46190</v>
      </c>
      <c r="Y77" s="22">
        <f ca="1">Horarios!C77</f>
        <v>46190</v>
      </c>
      <c r="Z77" s="23" t="str">
        <f>$Z$4</f>
        <v>J1</v>
      </c>
      <c r="AA77" s="24" t="str">
        <f ca="1">A79</f>
        <v>Austria</v>
      </c>
      <c r="AB77" s="46" t="e" cm="1" vm="40">
        <f t="array" aca="1" ref="AB77" ca="1">Ver_flag_local</f>
        <v>#VALUE!</v>
      </c>
      <c r="AC77" s="47">
        <v>1</v>
      </c>
      <c r="AD77" s="48">
        <v>1</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P.3 (2)</v>
      </c>
      <c r="G78" s="13"/>
      <c r="H78" s="13" t="str">
        <f t="shared" ca="1" si="238"/>
        <v>-</v>
      </c>
      <c r="I78" s="13" t="str">
        <f t="shared" ca="1" si="239"/>
        <v>P.3 (2)</v>
      </c>
      <c r="J78" s="13"/>
      <c r="K78" s="13" t="str">
        <f t="shared" ca="1" si="240"/>
        <v>-</v>
      </c>
      <c r="L78" s="13" t="str">
        <f t="shared" ca="1" si="241"/>
        <v>P.3 (2)</v>
      </c>
      <c r="M78" s="13"/>
      <c r="N78" s="13" t="str">
        <f t="shared" ca="1" si="242"/>
        <v>-</v>
      </c>
      <c r="O78" s="13" t="str">
        <f t="shared" ca="1" si="243"/>
        <v>P.3 (2)</v>
      </c>
      <c r="P78" s="13"/>
      <c r="Q78" s="13" t="str">
        <f t="shared" ca="1" si="244"/>
        <v>-</v>
      </c>
      <c r="R78" s="13" t="str">
        <f t="shared" ca="1" si="245"/>
        <v>P.3 (2)</v>
      </c>
      <c r="S78" s="13"/>
      <c r="T78" s="13" t="str">
        <f t="shared" ca="1" si="246"/>
        <v>-</v>
      </c>
      <c r="U78" s="13" t="str">
        <f t="shared" ca="1" si="247"/>
        <v>P.3 (2)</v>
      </c>
      <c r="V78" s="14"/>
      <c r="W78" s="658"/>
      <c r="X78" s="21">
        <f ca="1">Horarios!C78</f>
        <v>46195.541666666664</v>
      </c>
      <c r="Y78" s="22">
        <f ca="1">Horarios!C78</f>
        <v>46195.541666666664</v>
      </c>
      <c r="Z78" s="23" t="str">
        <f>$Z$6</f>
        <v>J2</v>
      </c>
      <c r="AA78" s="24" t="str">
        <f ca="1">A77</f>
        <v>Argentina</v>
      </c>
      <c r="AB78" s="46" t="e" cm="1" vm="38">
        <f t="array" aca="1" ref="AB78" ca="1">Ver_flag_local</f>
        <v>#VALUE!</v>
      </c>
      <c r="AC78" s="47">
        <v>3</v>
      </c>
      <c r="AD78" s="48">
        <v>0</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6</v>
      </c>
      <c r="AS78" s="33">
        <f t="shared" ca="1" si="251"/>
        <v>0</v>
      </c>
      <c r="AT78" s="38">
        <f t="shared" ca="1" si="251"/>
        <v>6</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P.3 (2)</v>
      </c>
      <c r="F79" s="13" t="str">
        <f t="shared" ca="1" si="237"/>
        <v>-</v>
      </c>
      <c r="G79" s="13"/>
      <c r="H79" s="13" t="str">
        <f t="shared" ca="1" si="238"/>
        <v>P.3 (2)</v>
      </c>
      <c r="I79" s="13" t="str">
        <f t="shared" ca="1" si="239"/>
        <v>-</v>
      </c>
      <c r="J79" s="13"/>
      <c r="K79" s="13" t="str">
        <f t="shared" ca="1" si="240"/>
        <v>P.3 (2)</v>
      </c>
      <c r="L79" s="13" t="str">
        <f t="shared" ca="1" si="241"/>
        <v>-</v>
      </c>
      <c r="M79" s="13"/>
      <c r="N79" s="13" t="str">
        <f t="shared" ca="1" si="242"/>
        <v>P.3 (2)</v>
      </c>
      <c r="O79" s="13" t="str">
        <f t="shared" ca="1" si="243"/>
        <v>-</v>
      </c>
      <c r="P79" s="13"/>
      <c r="Q79" s="13" t="str">
        <f t="shared" ca="1" si="244"/>
        <v>P.3 (2)</v>
      </c>
      <c r="R79" s="13" t="str">
        <f t="shared" ca="1" si="245"/>
        <v>-</v>
      </c>
      <c r="S79" s="13"/>
      <c r="T79" s="13" t="str">
        <f t="shared" ca="1" si="246"/>
        <v>P.3 (2)</v>
      </c>
      <c r="U79" s="13" t="str">
        <f t="shared" ca="1" si="247"/>
        <v>-</v>
      </c>
      <c r="V79" s="14"/>
      <c r="W79" s="658"/>
      <c r="X79" s="21">
        <f ca="1">Horarios!C79</f>
        <v>46195.958333333336</v>
      </c>
      <c r="Y79" s="22">
        <f ca="1">Horarios!C79</f>
        <v>46195.958333333336</v>
      </c>
      <c r="Z79" s="23" t="str">
        <f>$Z$6</f>
        <v>J2</v>
      </c>
      <c r="AA79" s="24" t="str">
        <f ca="1">A80</f>
        <v>Jordania</v>
      </c>
      <c r="AB79" s="46" t="e" cm="1" vm="41">
        <f t="array" aca="1" ref="AB79" ca="1">Ver_flag_local</f>
        <v>#VALUE!</v>
      </c>
      <c r="AC79" s="47">
        <v>1</v>
      </c>
      <c r="AD79" s="48">
        <v>3</v>
      </c>
      <c r="AE79" s="582" t="e" cm="1" vm="39">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Argelia</v>
      </c>
      <c r="AM79" s="35">
        <f t="shared" ca="1" si="251"/>
        <v>6</v>
      </c>
      <c r="AN79" s="36">
        <f t="shared" ca="1" si="251"/>
        <v>3</v>
      </c>
      <c r="AO79" s="36">
        <f t="shared" ca="1" si="251"/>
        <v>2</v>
      </c>
      <c r="AP79" s="36">
        <f t="shared" ca="1" si="251"/>
        <v>0</v>
      </c>
      <c r="AQ79" s="36">
        <f t="shared" ca="1" si="251"/>
        <v>1</v>
      </c>
      <c r="AR79" s="36">
        <f t="shared" ca="1" si="251"/>
        <v>5</v>
      </c>
      <c r="AS79" s="36">
        <f t="shared" ca="1" si="251"/>
        <v>3</v>
      </c>
      <c r="AT79" s="40">
        <f t="shared" ca="1" si="251"/>
        <v>2</v>
      </c>
      <c r="AU79" s="318">
        <f ca="1">INDEX($DL$6:$DL$53,MATCH(AI79,$DP$6:$DP$53,0))</f>
        <v>1</v>
      </c>
      <c r="AV79" s="178" t="str">
        <f ca="1">INDEX($BD$6:$BD$53,MATCH(AI79,$BM$6:$BM$53,0))</f>
        <v>Argelia</v>
      </c>
      <c r="AW79" s="202"/>
      <c r="AX79" s="167"/>
      <c r="AY79" s="195" t="str">
        <f ca="1">+A78</f>
        <v>Argelia</v>
      </c>
      <c r="AZ79" s="196"/>
      <c r="DN79" s="13"/>
    </row>
    <row r="80" spans="1:121" ht="16.05" customHeight="1">
      <c r="A80" s="13" t="str">
        <f ca="1">+Equipos!B41</f>
        <v>Jordania</v>
      </c>
      <c r="B80" s="13"/>
      <c r="C80" s="13"/>
      <c r="D80" s="13" t="str">
        <f t="shared" si="235"/>
        <v>Local</v>
      </c>
      <c r="E80" s="13" t="str">
        <f t="shared" ca="1" si="236"/>
        <v>-</v>
      </c>
      <c r="F80" s="13" t="str">
        <f t="shared" ca="1" si="237"/>
        <v>P.3 (2)</v>
      </c>
      <c r="G80" s="13"/>
      <c r="H80" s="13" t="str">
        <f t="shared" ca="1" si="238"/>
        <v>-</v>
      </c>
      <c r="I80" s="13" t="str">
        <f t="shared" ca="1" si="239"/>
        <v>P.3 (2)</v>
      </c>
      <c r="J80" s="13"/>
      <c r="K80" s="13" t="str">
        <f t="shared" ca="1" si="240"/>
        <v>-</v>
      </c>
      <c r="L80" s="13" t="str">
        <f t="shared" ca="1" si="241"/>
        <v>P.3 (2)</v>
      </c>
      <c r="M80" s="13"/>
      <c r="N80" s="13" t="str">
        <f t="shared" ca="1" si="242"/>
        <v>-</v>
      </c>
      <c r="O80" s="13" t="str">
        <f t="shared" ca="1" si="243"/>
        <v>P.3 (2)</v>
      </c>
      <c r="P80" s="13"/>
      <c r="Q80" s="13" t="str">
        <f t="shared" ca="1" si="244"/>
        <v>-</v>
      </c>
      <c r="R80" s="13" t="str">
        <f t="shared" ca="1" si="245"/>
        <v>P.3 (2)</v>
      </c>
      <c r="S80" s="13"/>
      <c r="T80" s="13" t="str">
        <f t="shared" ca="1" si="246"/>
        <v>-</v>
      </c>
      <c r="U80" s="13" t="str">
        <f t="shared" ca="1" si="247"/>
        <v>P.3 (2)</v>
      </c>
      <c r="V80" s="14"/>
      <c r="W80" s="658"/>
      <c r="X80" s="21">
        <f ca="1">Horarios!C80</f>
        <v>46200.916666666664</v>
      </c>
      <c r="Y80" s="22">
        <f ca="1">Horarios!C80</f>
        <v>46200.916666666664</v>
      </c>
      <c r="Z80" s="23" t="str">
        <f>$Z$8</f>
        <v>J3</v>
      </c>
      <c r="AA80" s="24" t="str">
        <f ca="1">A78</f>
        <v>Argelia</v>
      </c>
      <c r="AB80" s="46" t="e" cm="1" vm="39">
        <f t="array" aca="1" ref="AB80" ca="1">Ver_flag_local</f>
        <v>#VALUE!</v>
      </c>
      <c r="AC80" s="47">
        <v>2</v>
      </c>
      <c r="AD80" s="48">
        <v>0</v>
      </c>
      <c r="AE80" s="582" t="e" cm="1" vm="40">
        <f t="array" aca="1" ref="AE80" ca="1">Ver_flag_visit</f>
        <v>#VALUE!</v>
      </c>
      <c r="AF80" s="29" t="str">
        <f ca="1">A79</f>
        <v>Austria</v>
      </c>
      <c r="AG80" s="311">
        <f t="shared" si="248"/>
        <v>1</v>
      </c>
      <c r="AH80" s="188">
        <v>69</v>
      </c>
      <c r="AI80" s="177" t="str">
        <f t="shared" si="252"/>
        <v>3J</v>
      </c>
      <c r="AJ80" s="39">
        <v>3</v>
      </c>
      <c r="AK80" s="589" t="e" cm="1" vm="41">
        <f t="array" aca="1" ref="AK80" ca="1">Ver_flag_visit</f>
        <v>#VALUE!</v>
      </c>
      <c r="AL80" s="34" t="str">
        <f ca="1">IFERROR(INDEX($BD$6:$BD$53,MATCH(AI80,$BN$6:$BN$53,0)),"")</f>
        <v>Jordania</v>
      </c>
      <c r="AM80" s="35">
        <f t="shared" ca="1" si="251"/>
        <v>1</v>
      </c>
      <c r="AN80" s="36">
        <f t="shared" ca="1" si="251"/>
        <v>3</v>
      </c>
      <c r="AO80" s="36">
        <f t="shared" ca="1" si="251"/>
        <v>0</v>
      </c>
      <c r="AP80" s="36">
        <f t="shared" ca="1" si="251"/>
        <v>1</v>
      </c>
      <c r="AQ80" s="36">
        <f t="shared" ca="1" si="251"/>
        <v>2</v>
      </c>
      <c r="AR80" s="36">
        <f t="shared" ca="1" si="251"/>
        <v>2</v>
      </c>
      <c r="AS80" s="36">
        <f t="shared" ca="1" si="251"/>
        <v>5</v>
      </c>
      <c r="AT80" s="40">
        <f t="shared" ca="1" si="251"/>
        <v>-3</v>
      </c>
      <c r="AU80" s="318">
        <f ca="1">INDEX($DL$6:$DL$53,MATCH(AI80,$DP$6:$DP$53,0))</f>
        <v>1</v>
      </c>
      <c r="AV80" s="178" t="str">
        <f ca="1">INDEX($BD$6:$BD$53,MATCH(AI80,$BM$6:$BM$53,0))</f>
        <v>Jordania</v>
      </c>
      <c r="AW80" s="202"/>
      <c r="AX80" s="167"/>
      <c r="AY80" s="193" t="str">
        <f ca="1">+A79</f>
        <v>Austria</v>
      </c>
      <c r="AZ80" s="194"/>
      <c r="DN80" s="13"/>
    </row>
    <row r="81" spans="1:118" ht="16.05" customHeight="1" thickBot="1">
      <c r="A81" s="13"/>
      <c r="B81" s="13"/>
      <c r="C81" s="13"/>
      <c r="D81" s="13" t="str">
        <f t="shared" si="235"/>
        <v>Visitante</v>
      </c>
      <c r="E81" s="13" t="str">
        <f t="shared" ca="1" si="236"/>
        <v>P.3 (2)</v>
      </c>
      <c r="F81" s="13" t="str">
        <f t="shared" ca="1" si="237"/>
        <v>-</v>
      </c>
      <c r="G81" s="13"/>
      <c r="H81" s="13" t="str">
        <f t="shared" ca="1" si="238"/>
        <v>P.3 (2)</v>
      </c>
      <c r="I81" s="13" t="str">
        <f t="shared" ca="1" si="239"/>
        <v>-</v>
      </c>
      <c r="J81" s="13"/>
      <c r="K81" s="13" t="str">
        <f t="shared" ca="1" si="240"/>
        <v>P.3 (2)</v>
      </c>
      <c r="L81" s="13" t="str">
        <f t="shared" ca="1" si="241"/>
        <v>-</v>
      </c>
      <c r="M81" s="13"/>
      <c r="N81" s="13" t="str">
        <f t="shared" ca="1" si="242"/>
        <v>P.3 (2)</v>
      </c>
      <c r="O81" s="13" t="str">
        <f t="shared" ca="1" si="243"/>
        <v>-</v>
      </c>
      <c r="P81" s="13"/>
      <c r="Q81" s="13" t="str">
        <f t="shared" ca="1" si="244"/>
        <v>P.3 (2)</v>
      </c>
      <c r="R81" s="13" t="str">
        <f t="shared" ca="1" si="245"/>
        <v>-</v>
      </c>
      <c r="S81" s="13"/>
      <c r="T81" s="13" t="str">
        <f t="shared" ca="1" si="246"/>
        <v>P.3 (2)</v>
      </c>
      <c r="U81" s="13" t="str">
        <f t="shared" ca="1" si="247"/>
        <v>-</v>
      </c>
      <c r="V81" s="14"/>
      <c r="W81" s="659"/>
      <c r="X81" s="25">
        <f ca="1">Horarios!C81</f>
        <v>46200.916666666664</v>
      </c>
      <c r="Y81" s="26">
        <f ca="1">Horarios!C81</f>
        <v>46200.916666666664</v>
      </c>
      <c r="Z81" s="27" t="str">
        <f>$Z$8</f>
        <v>J3</v>
      </c>
      <c r="AA81" s="28" t="str">
        <f ca="1">A80</f>
        <v>Jordania</v>
      </c>
      <c r="AB81" s="49" t="e" cm="1" vm="41">
        <f t="array" aca="1" ref="AB81" ca="1">Ver_flag_local</f>
        <v>#VALUE!</v>
      </c>
      <c r="AC81" s="50">
        <v>0</v>
      </c>
      <c r="AD81" s="51">
        <v>1</v>
      </c>
      <c r="AE81" s="583" t="e" cm="1" vm="38">
        <f t="array" aca="1" ref="AE81" ca="1">Ver_flag_visit</f>
        <v>#VALUE!</v>
      </c>
      <c r="AF81" s="30" t="str">
        <f ca="1">A77</f>
        <v>Argentina</v>
      </c>
      <c r="AG81" s="311">
        <f t="shared" si="248"/>
        <v>1</v>
      </c>
      <c r="AH81" s="188">
        <v>70</v>
      </c>
      <c r="AI81" s="177" t="str">
        <f t="shared" si="252"/>
        <v>4J</v>
      </c>
      <c r="AJ81" s="41">
        <v>4</v>
      </c>
      <c r="AK81" s="591" t="e" cm="1" vm="40">
        <f t="array" aca="1" ref="AK81" ca="1">Ver_flag_visit</f>
        <v>#VALUE!</v>
      </c>
      <c r="AL81" s="42" t="str">
        <f ca="1">IFERROR(INDEX($BD$6:$BD$53,MATCH(AI81,$BN$6:$BN$53,0)),"")</f>
        <v>Austria</v>
      </c>
      <c r="AM81" s="43">
        <f t="shared" ca="1" si="251"/>
        <v>1</v>
      </c>
      <c r="AN81" s="44">
        <f t="shared" ca="1" si="251"/>
        <v>3</v>
      </c>
      <c r="AO81" s="44">
        <f t="shared" ca="1" si="251"/>
        <v>0</v>
      </c>
      <c r="AP81" s="44">
        <f t="shared" ca="1" si="251"/>
        <v>1</v>
      </c>
      <c r="AQ81" s="44">
        <f t="shared" ca="1" si="251"/>
        <v>2</v>
      </c>
      <c r="AR81" s="44">
        <f t="shared" ca="1" si="251"/>
        <v>1</v>
      </c>
      <c r="AS81" s="44">
        <f t="shared" ca="1" si="251"/>
        <v>6</v>
      </c>
      <c r="AT81" s="45">
        <f t="shared" ca="1" si="251"/>
        <v>-5</v>
      </c>
      <c r="AU81" s="318">
        <f ca="1">INDEX($DL$6:$DL$53,MATCH(AI81,$DP$6:$DP$53,0))</f>
        <v>1</v>
      </c>
      <c r="AV81" s="178" t="str">
        <f ca="1">INDEX($BD$6:$BD$53,MATCH(AI81,$BM$6:$BM$53,0))</f>
        <v>Austria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v>
      </c>
      <c r="G84" s="13"/>
      <c r="H84" s="13" t="str">
        <f t="shared" ref="H84:H89" ca="1" si="256">IF(D84="Pendiente","-",INDEX($BZ$6:$BZ$53,MATCH($AA84,$BD$6:$BD$53,0)))</f>
        <v>P.1 (2)</v>
      </c>
      <c r="I84" s="13" t="str">
        <f t="shared" ref="I84:I89" ca="1" si="257">IF(D84="Pendiente","-",INDEX($BZ$6:$BZ$53,MATCH($AF84,$BD$6:$BD$53,0)))</f>
        <v>-</v>
      </c>
      <c r="J84" s="13"/>
      <c r="K84" s="13" t="str">
        <f t="shared" ref="K84:K89" ca="1" si="258">IF(D84="Pendiente","-",INDEX($CE$6:$CE$53,MATCH($AA84,$BD$6:$BD$53,0)))</f>
        <v>P.1 (2)</v>
      </c>
      <c r="L84" s="13" t="str">
        <f t="shared" ref="L84:L89" ca="1" si="259">IF(D84="Pendiente","-",INDEX($CE$6:$CE$53,MATCH($AF84,$BD$6:$BD$53,0)))</f>
        <v>-</v>
      </c>
      <c r="M84" s="13"/>
      <c r="N84" s="13" t="str">
        <f t="shared" ref="N84:N89" ca="1" si="260">IF(D84="Pendiente","-",INDEX($CH$6:$CH$53,MATCH($AA84,$BD$6:$BD$53,0)))</f>
        <v>P.1 (2)</v>
      </c>
      <c r="O84" s="13" t="str">
        <f t="shared" ref="O84:O89" ca="1" si="261">IF(D84="Pendiente","-",INDEX($CH$6:$CH$53,MATCH($AF84,$BD$6:$BD$53,0)))</f>
        <v>-</v>
      </c>
      <c r="P84" s="13"/>
      <c r="Q84" s="13" t="str">
        <f t="shared" ref="Q84:Q89" ca="1" si="262">IF(D84="Pendiente","-",INDEX($CN$6:$CN$53,MATCH($AA84,$BD$6:$BD$53,0)))</f>
        <v>P.1 (2)</v>
      </c>
      <c r="R84" s="13" t="str">
        <f t="shared" ref="R84:R89" ca="1" si="263">IF(D84="Pendiente","-",INDEX($CN$6:$CN$53,MATCH($AF84,$BD$6:$BD$53,0)))</f>
        <v>-</v>
      </c>
      <c r="S84" s="13"/>
      <c r="T84" s="13" t="str">
        <f t="shared" ref="T84:T89" ca="1" si="264">IF(D84="Pendiente","-",INDEX($CS$6:$CS$53,MATCH($AA84,$BD$6:$BD$53,0)))</f>
        <v>P.1 (2)</v>
      </c>
      <c r="U84" s="13" t="str">
        <f t="shared" ref="U84:U89" ca="1" si="265">IF(D84="Pendiente","-",INDEX($CS$6:$CS$53,MATCH($AF84,$BD$6:$BD$53,0)))</f>
        <v>-</v>
      </c>
      <c r="V84" s="14"/>
      <c r="W84" s="664" t="s">
        <v>449</v>
      </c>
      <c r="X84" s="21">
        <f ca="1">Horarios!C84</f>
        <v>46190.541666666664</v>
      </c>
      <c r="Y84" s="22">
        <f ca="1">Horarios!C84</f>
        <v>46190.541666666664</v>
      </c>
      <c r="Z84" s="23" t="str">
        <f>$Z$4</f>
        <v>J1</v>
      </c>
      <c r="AA84" s="24" t="str">
        <f ca="1">A85</f>
        <v>Portugal</v>
      </c>
      <c r="AB84" s="46" t="e" cm="1" vm="42">
        <f t="array" aca="1" ref="AB84" ca="1">Ver_flag_local</f>
        <v>#VALUE!</v>
      </c>
      <c r="AC84" s="47">
        <v>3</v>
      </c>
      <c r="AD84" s="48">
        <v>1</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v>
      </c>
      <c r="F85" s="13" t="str">
        <f t="shared" ca="1" si="255"/>
        <v>P.1 (2)</v>
      </c>
      <c r="G85" s="13"/>
      <c r="H85" s="13" t="str">
        <f t="shared" ca="1" si="256"/>
        <v>-</v>
      </c>
      <c r="I85" s="13" t="str">
        <f t="shared" ca="1" si="257"/>
        <v>P.1 (2)</v>
      </c>
      <c r="J85" s="13"/>
      <c r="K85" s="13" t="str">
        <f t="shared" ca="1" si="258"/>
        <v>-</v>
      </c>
      <c r="L85" s="13" t="str">
        <f t="shared" ca="1" si="259"/>
        <v>P.1 (2)</v>
      </c>
      <c r="M85" s="13"/>
      <c r="N85" s="13" t="str">
        <f t="shared" ca="1" si="260"/>
        <v>-</v>
      </c>
      <c r="O85" s="13" t="str">
        <f t="shared" ca="1" si="261"/>
        <v>P.1 (2)</v>
      </c>
      <c r="P85" s="13"/>
      <c r="Q85" s="13" t="str">
        <f t="shared" ca="1" si="262"/>
        <v>-</v>
      </c>
      <c r="R85" s="13" t="str">
        <f t="shared" ca="1" si="263"/>
        <v>P.1 (2)</v>
      </c>
      <c r="S85" s="13"/>
      <c r="T85" s="13" t="str">
        <f t="shared" ca="1" si="264"/>
        <v>-</v>
      </c>
      <c r="U85" s="13" t="str">
        <f t="shared" ca="1" si="265"/>
        <v>P.1 (2)</v>
      </c>
      <c r="V85" s="14"/>
      <c r="W85" s="664"/>
      <c r="X85" s="21">
        <f ca="1">Horarios!C85</f>
        <v>46190.916666666664</v>
      </c>
      <c r="Y85" s="22">
        <f ca="1">Horarios!C85</f>
        <v>46190.916666666664</v>
      </c>
      <c r="Z85" s="23" t="str">
        <f>$Z$4</f>
        <v>J1</v>
      </c>
      <c r="AA85" s="24" t="str">
        <f ca="1">A87</f>
        <v>Uzbekistán</v>
      </c>
      <c r="AB85" s="46" t="e" cm="1" vm="44">
        <f t="array" aca="1" ref="AB85" ca="1">Ver_flag_local</f>
        <v>#VALUE!</v>
      </c>
      <c r="AC85" s="47">
        <v>0</v>
      </c>
      <c r="AD85" s="48">
        <v>2</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P.1 (2)</v>
      </c>
      <c r="F86" s="13" t="str">
        <f t="shared" ca="1" si="255"/>
        <v>-</v>
      </c>
      <c r="G86" s="13"/>
      <c r="H86" s="13" t="str">
        <f t="shared" ca="1" si="256"/>
        <v>P.1 (2)</v>
      </c>
      <c r="I86" s="13" t="str">
        <f t="shared" ca="1" si="257"/>
        <v>-</v>
      </c>
      <c r="J86" s="13"/>
      <c r="K86" s="13" t="str">
        <f t="shared" ca="1" si="258"/>
        <v>P.1 (2)</v>
      </c>
      <c r="L86" s="13" t="str">
        <f t="shared" ca="1" si="259"/>
        <v>-</v>
      </c>
      <c r="M86" s="13"/>
      <c r="N86" s="13" t="str">
        <f t="shared" ca="1" si="260"/>
        <v>P.1 (2)</v>
      </c>
      <c r="O86" s="13" t="str">
        <f t="shared" ca="1" si="261"/>
        <v>-</v>
      </c>
      <c r="P86" s="13"/>
      <c r="Q86" s="13" t="str">
        <f t="shared" ca="1" si="262"/>
        <v>P.1 (2)</v>
      </c>
      <c r="R86" s="13" t="str">
        <f t="shared" ca="1" si="263"/>
        <v>-</v>
      </c>
      <c r="S86" s="13"/>
      <c r="T86" s="13" t="str">
        <f t="shared" ca="1" si="264"/>
        <v>P.1 (2)</v>
      </c>
      <c r="U86" s="13" t="str">
        <f t="shared" ca="1" si="265"/>
        <v>-</v>
      </c>
      <c r="V86" s="14"/>
      <c r="W86" s="664"/>
      <c r="X86" s="21">
        <f ca="1">Horarios!C86</f>
        <v>46196.541666666664</v>
      </c>
      <c r="Y86" s="22">
        <f ca="1">Horarios!C86</f>
        <v>46196.541666666664</v>
      </c>
      <c r="Z86" s="23" t="str">
        <f>$Z$6</f>
        <v>J2</v>
      </c>
      <c r="AA86" s="24" t="str">
        <f ca="1">A85</f>
        <v>Portugal</v>
      </c>
      <c r="AB86" s="46" t="e" cm="1" vm="42">
        <f t="array" aca="1" ref="AB86" ca="1">Ver_flag_local</f>
        <v>#VALUE!</v>
      </c>
      <c r="AC86" s="47">
        <v>3</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8</v>
      </c>
      <c r="AS86" s="33">
        <f t="shared" ca="1" si="269"/>
        <v>3</v>
      </c>
      <c r="AT86" s="38">
        <f t="shared" ca="1" si="269"/>
        <v>5</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P.1 (2)</v>
      </c>
      <c r="F87" s="13" t="str">
        <f t="shared" ca="1" si="255"/>
        <v>-</v>
      </c>
      <c r="G87" s="13"/>
      <c r="H87" s="13" t="str">
        <f t="shared" ca="1" si="256"/>
        <v>P.1 (2)</v>
      </c>
      <c r="I87" s="13" t="str">
        <f t="shared" ca="1" si="257"/>
        <v>-</v>
      </c>
      <c r="J87" s="13"/>
      <c r="K87" s="13" t="str">
        <f t="shared" ca="1" si="258"/>
        <v>P.1 (2)</v>
      </c>
      <c r="L87" s="13" t="str">
        <f t="shared" ca="1" si="259"/>
        <v>-</v>
      </c>
      <c r="M87" s="13"/>
      <c r="N87" s="13" t="str">
        <f t="shared" ca="1" si="260"/>
        <v>P.1 (2)</v>
      </c>
      <c r="O87" s="13" t="str">
        <f t="shared" ca="1" si="261"/>
        <v>-</v>
      </c>
      <c r="P87" s="13"/>
      <c r="Q87" s="13" t="str">
        <f t="shared" ca="1" si="262"/>
        <v>P.1 (2)</v>
      </c>
      <c r="R87" s="13" t="str">
        <f t="shared" ca="1" si="263"/>
        <v>-</v>
      </c>
      <c r="S87" s="13"/>
      <c r="T87" s="13" t="str">
        <f t="shared" ca="1" si="264"/>
        <v>P.1 (2)</v>
      </c>
      <c r="U87" s="13" t="str">
        <f t="shared" ca="1" si="265"/>
        <v>-</v>
      </c>
      <c r="V87" s="14"/>
      <c r="W87" s="664"/>
      <c r="X87" s="21">
        <f ca="1">Horarios!C87</f>
        <v>46196.916666666664</v>
      </c>
      <c r="Y87" s="22">
        <f ca="1">Horarios!C87</f>
        <v>46196.916666666664</v>
      </c>
      <c r="Z87" s="23" t="str">
        <f>$Z$6</f>
        <v>J2</v>
      </c>
      <c r="AA87" s="24" t="str">
        <f ca="1">A88</f>
        <v>Colombia</v>
      </c>
      <c r="AB87" s="46" t="e" cm="1" vm="45">
        <f t="array" aca="1" ref="AB87" ca="1">Ver_flag_local</f>
        <v>#VALUE!</v>
      </c>
      <c r="AC87" s="47">
        <v>3</v>
      </c>
      <c r="AD87" s="48">
        <v>1</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7</v>
      </c>
      <c r="AS87" s="36">
        <f t="shared" ca="1" si="269"/>
        <v>3</v>
      </c>
      <c r="AT87" s="40">
        <f t="shared" ca="1" si="269"/>
        <v>4</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64"/>
      <c r="X88" s="21">
        <f ca="1">Horarios!C88</f>
        <v>46200.8125</v>
      </c>
      <c r="Y88" s="22">
        <f ca="1">Horarios!C88</f>
        <v>46200.8125</v>
      </c>
      <c r="Z88" s="23" t="str">
        <f>$Z$8</f>
        <v>J3</v>
      </c>
      <c r="AA88" s="24" t="str">
        <f ca="1">A88</f>
        <v>Colombia</v>
      </c>
      <c r="AB88" s="46" t="e" cm="1" vm="45">
        <f t="array" aca="1" ref="AB88" ca="1">Ver_flag_local</f>
        <v>#VALUE!</v>
      </c>
      <c r="AC88" s="47">
        <v>2</v>
      </c>
      <c r="AD88" s="48">
        <v>2</v>
      </c>
      <c r="AE88" s="582" t="e" cm="1" vm="42">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Uzbekistán</v>
      </c>
      <c r="AM88" s="35">
        <f t="shared" ca="1" si="269"/>
        <v>3</v>
      </c>
      <c r="AN88" s="36">
        <f t="shared" ca="1" si="269"/>
        <v>3</v>
      </c>
      <c r="AO88" s="36">
        <f t="shared" ca="1" si="269"/>
        <v>1</v>
      </c>
      <c r="AP88" s="36">
        <f t="shared" ca="1" si="269"/>
        <v>0</v>
      </c>
      <c r="AQ88" s="36">
        <f t="shared" ca="1" si="269"/>
        <v>2</v>
      </c>
      <c r="AR88" s="36">
        <f t="shared" ca="1" si="269"/>
        <v>2</v>
      </c>
      <c r="AS88" s="36">
        <f t="shared" ca="1" si="269"/>
        <v>6</v>
      </c>
      <c r="AT88" s="40">
        <f t="shared" ca="1" si="269"/>
        <v>-4</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65"/>
      <c r="X89" s="25">
        <f ca="1">Horarios!C89</f>
        <v>46200.8125</v>
      </c>
      <c r="Y89" s="26">
        <f ca="1">Horarios!C89</f>
        <v>46200.8125</v>
      </c>
      <c r="Z89" s="27" t="str">
        <f>$Z$8</f>
        <v>J3</v>
      </c>
      <c r="AA89" s="28" t="str">
        <f ca="1">A86</f>
        <v>RD Congo</v>
      </c>
      <c r="AB89" s="49" t="e" cm="1" vm="43">
        <f t="array" aca="1" ref="AB89" ca="1">Ver_flag_local</f>
        <v>#VALUE!</v>
      </c>
      <c r="AC89" s="50">
        <v>1</v>
      </c>
      <c r="AD89" s="51">
        <v>2</v>
      </c>
      <c r="AE89" s="583" t="e" cm="1" vm="44">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RD Congo</v>
      </c>
      <c r="AM89" s="43">
        <f t="shared" ca="1" si="269"/>
        <v>0</v>
      </c>
      <c r="AN89" s="44">
        <f t="shared" ca="1" si="269"/>
        <v>3</v>
      </c>
      <c r="AO89" s="44">
        <f t="shared" ca="1" si="269"/>
        <v>0</v>
      </c>
      <c r="AP89" s="44">
        <f t="shared" ca="1" si="269"/>
        <v>0</v>
      </c>
      <c r="AQ89" s="44">
        <f t="shared" ca="1" si="269"/>
        <v>3</v>
      </c>
      <c r="AR89" s="44">
        <f t="shared" ca="1" si="269"/>
        <v>3</v>
      </c>
      <c r="AS89" s="44">
        <f t="shared" ca="1" si="269"/>
        <v>8</v>
      </c>
      <c r="AT89" s="45">
        <f t="shared" ca="1" si="269"/>
        <v>-5</v>
      </c>
      <c r="AU89" s="318">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Visitante</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60" t="s">
        <v>247</v>
      </c>
      <c r="X92" s="21">
        <f ca="1">Horarios!C92</f>
        <v>46190.666666666664</v>
      </c>
      <c r="Y92" s="22">
        <f ca="1">Horarios!C92</f>
        <v>46190.666666666664</v>
      </c>
      <c r="Z92" s="23" t="str">
        <f>$Z$4</f>
        <v>J1</v>
      </c>
      <c r="AA92" s="24" t="str">
        <f ca="1">A93</f>
        <v>Inglaterra</v>
      </c>
      <c r="AB92" s="46" t="e" cm="1" vm="46">
        <f t="array" aca="1" ref="AB92" ca="1">Ver_flag_local</f>
        <v>#VALUE!</v>
      </c>
      <c r="AC92" s="47">
        <v>1</v>
      </c>
      <c r="AD92" s="48">
        <v>2</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Empate</v>
      </c>
      <c r="E93" s="13" t="str">
        <f t="shared" ca="1" si="272"/>
        <v>P.3 (2)</v>
      </c>
      <c r="F93" s="13" t="str">
        <f t="shared" ca="1" si="273"/>
        <v>P.3 (2)</v>
      </c>
      <c r="G93" s="13"/>
      <c r="H93" s="13" t="str">
        <f t="shared" ca="1" si="274"/>
        <v>P.3 (2)</v>
      </c>
      <c r="I93" s="13" t="str">
        <f t="shared" ca="1" si="275"/>
        <v>P.3 (2)</v>
      </c>
      <c r="J93" s="13"/>
      <c r="K93" s="13" t="str">
        <f t="shared" ca="1" si="276"/>
        <v>P.3 (2)</v>
      </c>
      <c r="L93" s="13" t="str">
        <f t="shared" ca="1" si="277"/>
        <v>P.3 (2)</v>
      </c>
      <c r="M93" s="13"/>
      <c r="N93" s="13" t="str">
        <f t="shared" ca="1" si="278"/>
        <v>P.3 (2)</v>
      </c>
      <c r="O93" s="13" t="str">
        <f t="shared" ca="1" si="279"/>
        <v>P.3 (2)</v>
      </c>
      <c r="P93" s="13"/>
      <c r="Q93" s="13" t="str">
        <f t="shared" ca="1" si="280"/>
        <v>P.3 (2)</v>
      </c>
      <c r="R93" s="13" t="str">
        <f t="shared" ca="1" si="281"/>
        <v>P.3 (2)</v>
      </c>
      <c r="S93" s="13"/>
      <c r="T93" s="13" t="str">
        <f t="shared" ca="1" si="282"/>
        <v>P.3 (2)</v>
      </c>
      <c r="U93" s="13" t="str">
        <f t="shared" ca="1" si="283"/>
        <v>P.3 (2)</v>
      </c>
      <c r="V93" s="14"/>
      <c r="W93" s="660"/>
      <c r="X93" s="21">
        <f ca="1">Horarios!C93</f>
        <v>46190.791666666664</v>
      </c>
      <c r="Y93" s="22">
        <f ca="1">Horarios!C93</f>
        <v>46190.791666666664</v>
      </c>
      <c r="Z93" s="23" t="str">
        <f>$Z$4</f>
        <v>J1</v>
      </c>
      <c r="AA93" s="24" t="str">
        <f ca="1">A95</f>
        <v>Ghana</v>
      </c>
      <c r="AB93" s="46" t="e" cm="1" vm="48">
        <f t="array" aca="1" ref="AB93" ca="1">Ver_flag_local</f>
        <v>#VALUE!</v>
      </c>
      <c r="AC93" s="47">
        <v>2</v>
      </c>
      <c r="AD93" s="48">
        <v>2</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P.3 (2)</v>
      </c>
      <c r="G94" s="13"/>
      <c r="H94" s="13" t="str">
        <f t="shared" ca="1" si="274"/>
        <v>-</v>
      </c>
      <c r="I94" s="13" t="str">
        <f t="shared" ca="1" si="275"/>
        <v>P.3 (2)</v>
      </c>
      <c r="J94" s="13"/>
      <c r="K94" s="13" t="str">
        <f t="shared" ca="1" si="276"/>
        <v>-</v>
      </c>
      <c r="L94" s="13" t="str">
        <f t="shared" ca="1" si="277"/>
        <v>P.3 (2)</v>
      </c>
      <c r="M94" s="13"/>
      <c r="N94" s="13" t="str">
        <f t="shared" ca="1" si="278"/>
        <v>-</v>
      </c>
      <c r="O94" s="13" t="str">
        <f t="shared" ca="1" si="279"/>
        <v>P.3 (2)</v>
      </c>
      <c r="P94" s="13"/>
      <c r="Q94" s="13" t="str">
        <f t="shared" ca="1" si="280"/>
        <v>-</v>
      </c>
      <c r="R94" s="13" t="str">
        <f t="shared" ca="1" si="281"/>
        <v>P.3 (2)</v>
      </c>
      <c r="S94" s="13"/>
      <c r="T94" s="13" t="str">
        <f t="shared" ca="1" si="282"/>
        <v>-</v>
      </c>
      <c r="U94" s="13" t="str">
        <f t="shared" ca="1" si="283"/>
        <v>P.3 (2)</v>
      </c>
      <c r="V94" s="14"/>
      <c r="W94" s="660"/>
      <c r="X94" s="21">
        <f ca="1">Horarios!C94</f>
        <v>46196.666666666664</v>
      </c>
      <c r="Y94" s="22">
        <f ca="1">Horarios!C94</f>
        <v>46196.666666666664</v>
      </c>
      <c r="Z94" s="23" t="str">
        <f>$Z$6</f>
        <v>J2</v>
      </c>
      <c r="AA94" s="24" t="str">
        <f ca="1">A93</f>
        <v>Inglaterra</v>
      </c>
      <c r="AB94" s="46" t="e" cm="1" vm="46">
        <f t="array" aca="1" ref="AB94" ca="1">Ver_flag_local</f>
        <v>#VALUE!</v>
      </c>
      <c r="AC94" s="47">
        <v>3</v>
      </c>
      <c r="AD94" s="48">
        <v>2</v>
      </c>
      <c r="AE94" s="582" t="e" cm="1" vm="48">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Croacia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7</v>
      </c>
      <c r="AS94" s="33">
        <f t="shared" ca="1" si="287"/>
        <v>3</v>
      </c>
      <c r="AT94" s="38">
        <f t="shared" ca="1" si="287"/>
        <v>4</v>
      </c>
      <c r="AU94" s="318">
        <f ca="1">INDEX($DL$6:$DL$53,MATCH(AI94,$DP$6:$DP$53,0))</f>
        <v>1</v>
      </c>
      <c r="AV94" s="178" t="str">
        <f ca="1">INDEX($BD$6:$BD$53,MATCH(AI94,$BM$6:$BM$53,0))</f>
        <v>Croacia</v>
      </c>
      <c r="AW94" s="202"/>
      <c r="AX94" s="167"/>
      <c r="AY94" s="193" t="str">
        <f ca="1">+A93</f>
        <v>Inglaterra</v>
      </c>
      <c r="AZ94" s="194"/>
    </row>
    <row r="95" spans="1:118" ht="16.05" customHeight="1">
      <c r="A95" s="13" t="str">
        <f ca="1">+Equipos!B48</f>
        <v>Ghana</v>
      </c>
      <c r="B95" s="13"/>
      <c r="C95" s="13"/>
      <c r="D95" s="13" t="str">
        <f t="shared" si="271"/>
        <v>Visitante</v>
      </c>
      <c r="E95" s="13" t="str">
        <f t="shared" ca="1" si="272"/>
        <v>P.3 (2)</v>
      </c>
      <c r="F95" s="13" t="str">
        <f t="shared" ca="1" si="273"/>
        <v>-</v>
      </c>
      <c r="G95" s="13"/>
      <c r="H95" s="13" t="str">
        <f t="shared" ca="1" si="274"/>
        <v>P.3 (2)</v>
      </c>
      <c r="I95" s="13" t="str">
        <f t="shared" ca="1" si="275"/>
        <v>-</v>
      </c>
      <c r="J95" s="13"/>
      <c r="K95" s="13" t="str">
        <f t="shared" ca="1" si="276"/>
        <v>P.3 (2)</v>
      </c>
      <c r="L95" s="13" t="str">
        <f t="shared" ca="1" si="277"/>
        <v>-</v>
      </c>
      <c r="M95" s="13"/>
      <c r="N95" s="13" t="str">
        <f t="shared" ca="1" si="278"/>
        <v>P.3 (2)</v>
      </c>
      <c r="O95" s="13" t="str">
        <f t="shared" ca="1" si="279"/>
        <v>-</v>
      </c>
      <c r="P95" s="13"/>
      <c r="Q95" s="13" t="str">
        <f t="shared" ca="1" si="280"/>
        <v>P.3 (2)</v>
      </c>
      <c r="R95" s="13" t="str">
        <f t="shared" ca="1" si="281"/>
        <v>-</v>
      </c>
      <c r="S95" s="13"/>
      <c r="T95" s="13" t="str">
        <f t="shared" ca="1" si="282"/>
        <v>P.3 (2)</v>
      </c>
      <c r="U95" s="13" t="str">
        <f t="shared" ca="1" si="283"/>
        <v>-</v>
      </c>
      <c r="V95" s="14"/>
      <c r="W95" s="660"/>
      <c r="X95" s="21">
        <f ca="1">Horarios!C95</f>
        <v>46196.791666666664</v>
      </c>
      <c r="Y95" s="22">
        <f ca="1">Horarios!C95</f>
        <v>46196.791666666664</v>
      </c>
      <c r="Z95" s="23" t="str">
        <f>$Z$6</f>
        <v>J2</v>
      </c>
      <c r="AA95" s="24" t="str">
        <f ca="1">A96</f>
        <v>Panamá</v>
      </c>
      <c r="AB95" s="46" t="e" cm="1" vm="49">
        <f t="array" aca="1" ref="AB95" ca="1">Ver_flag_local</f>
        <v>#VALUE!</v>
      </c>
      <c r="AC95" s="47">
        <v>1</v>
      </c>
      <c r="AD95" s="48">
        <v>3</v>
      </c>
      <c r="AE95" s="582" t="e" cm="1" vm="47">
        <f t="array" aca="1" ref="AE95" ca="1">Ver_flag_visit</f>
        <v>#VALUE!</v>
      </c>
      <c r="AF95" s="29" t="str">
        <f ca="1">A94</f>
        <v>Croacia</v>
      </c>
      <c r="AG95" s="311">
        <f t="shared" si="284"/>
        <v>1</v>
      </c>
      <c r="AH95" s="188">
        <v>46</v>
      </c>
      <c r="AI95" s="177" t="str">
        <f t="shared" ref="AI95:AI97" si="288">AJ95&amp;$B$92</f>
        <v>2L</v>
      </c>
      <c r="AJ95" s="39">
        <v>2</v>
      </c>
      <c r="AK95" s="589" t="e" cm="1" vm="46">
        <f t="array" aca="1" ref="AK95" ca="1">Ver_flag_visit</f>
        <v>#VALUE!</v>
      </c>
      <c r="AL95" s="34" t="str">
        <f ca="1">IFERROR(INDEX($BD$6:$BD$53,MATCH(AI95,$BN$6:$BN$53,0)),"")</f>
        <v>Inglaterra</v>
      </c>
      <c r="AM95" s="35">
        <f t="shared" ca="1" si="287"/>
        <v>6</v>
      </c>
      <c r="AN95" s="36">
        <f t="shared" ca="1" si="287"/>
        <v>3</v>
      </c>
      <c r="AO95" s="36">
        <f t="shared" ca="1" si="287"/>
        <v>2</v>
      </c>
      <c r="AP95" s="36">
        <f t="shared" ca="1" si="287"/>
        <v>0</v>
      </c>
      <c r="AQ95" s="36">
        <f t="shared" ca="1" si="287"/>
        <v>1</v>
      </c>
      <c r="AR95" s="36">
        <f t="shared" ca="1" si="287"/>
        <v>7</v>
      </c>
      <c r="AS95" s="36">
        <f t="shared" ca="1" si="287"/>
        <v>5</v>
      </c>
      <c r="AT95" s="40">
        <f t="shared" ca="1" si="287"/>
        <v>2</v>
      </c>
      <c r="AU95" s="318">
        <f ca="1">INDEX($DL$6:$DL$53,MATCH(AI95,$DP$6:$DP$53,0))</f>
        <v>1</v>
      </c>
      <c r="AV95" s="178" t="str">
        <f ca="1">INDEX($BD$6:$BD$53,MATCH(AI95,$BM$6:$BM$53,0))</f>
        <v>Inglaterra</v>
      </c>
      <c r="AW95" s="202"/>
      <c r="AX95" s="167"/>
      <c r="AY95" s="195" t="str">
        <f ca="1">+A94</f>
        <v>Croacia</v>
      </c>
      <c r="AZ95" s="196"/>
    </row>
    <row r="96" spans="1:118" ht="16.05" customHeight="1">
      <c r="A96" s="13" t="str">
        <f ca="1">+Equipos!B49</f>
        <v>Panamá</v>
      </c>
      <c r="B96" s="13"/>
      <c r="C96" s="13"/>
      <c r="D96" s="13" t="str">
        <f t="shared" si="271"/>
        <v>Visitante</v>
      </c>
      <c r="E96" s="13" t="str">
        <f t="shared" ca="1" si="272"/>
        <v>P.3 (2)</v>
      </c>
      <c r="F96" s="13" t="str">
        <f t="shared" ca="1" si="273"/>
        <v>-</v>
      </c>
      <c r="G96" s="13"/>
      <c r="H96" s="13" t="str">
        <f t="shared" ca="1" si="274"/>
        <v>P.3 (2)</v>
      </c>
      <c r="I96" s="13" t="str">
        <f t="shared" ca="1" si="275"/>
        <v>-</v>
      </c>
      <c r="J96" s="13"/>
      <c r="K96" s="13" t="str">
        <f t="shared" ca="1" si="276"/>
        <v>P.3 (2)</v>
      </c>
      <c r="L96" s="13" t="str">
        <f t="shared" ca="1" si="277"/>
        <v>-</v>
      </c>
      <c r="M96" s="13"/>
      <c r="N96" s="13" t="str">
        <f t="shared" ca="1" si="278"/>
        <v>P.3 (2)</v>
      </c>
      <c r="O96" s="13" t="str">
        <f t="shared" ca="1" si="279"/>
        <v>-</v>
      </c>
      <c r="P96" s="13"/>
      <c r="Q96" s="13" t="str">
        <f t="shared" ca="1" si="280"/>
        <v>P.3 (2)</v>
      </c>
      <c r="R96" s="13" t="str">
        <f t="shared" ca="1" si="281"/>
        <v>-</v>
      </c>
      <c r="S96" s="13"/>
      <c r="T96" s="13" t="str">
        <f t="shared" ca="1" si="282"/>
        <v>P.3 (2)</v>
      </c>
      <c r="U96" s="13" t="str">
        <f t="shared" ca="1" si="283"/>
        <v>-</v>
      </c>
      <c r="V96" s="14"/>
      <c r="W96" s="660"/>
      <c r="X96" s="21">
        <f ca="1">Horarios!C96</f>
        <v>46200.708333333336</v>
      </c>
      <c r="Y96" s="22">
        <f ca="1">Horarios!C96</f>
        <v>46200.708333333336</v>
      </c>
      <c r="Z96" s="23" t="str">
        <f>$Z$8</f>
        <v>J3</v>
      </c>
      <c r="AA96" s="24" t="str">
        <f ca="1">A96</f>
        <v>Panamá</v>
      </c>
      <c r="AB96" s="46" t="e" cm="1" vm="49">
        <f t="array" aca="1" ref="AB96" ca="1">Ver_flag_local</f>
        <v>#VALUE!</v>
      </c>
      <c r="AC96" s="47">
        <v>1</v>
      </c>
      <c r="AD96" s="48">
        <v>3</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1</v>
      </c>
      <c r="AN96" s="36">
        <f t="shared" ca="1" si="287"/>
        <v>3</v>
      </c>
      <c r="AO96" s="36">
        <f t="shared" ca="1" si="287"/>
        <v>0</v>
      </c>
      <c r="AP96" s="36">
        <f t="shared" ca="1" si="287"/>
        <v>1</v>
      </c>
      <c r="AQ96" s="36">
        <f t="shared" ca="1" si="287"/>
        <v>2</v>
      </c>
      <c r="AR96" s="36">
        <f t="shared" ca="1" si="287"/>
        <v>5</v>
      </c>
      <c r="AS96" s="36">
        <f t="shared" ca="1" si="287"/>
        <v>7</v>
      </c>
      <c r="AT96" s="40">
        <f t="shared" ca="1" si="287"/>
        <v>-2</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P.3 (2)</v>
      </c>
      <c r="G97" s="13"/>
      <c r="H97" s="13" t="str">
        <f t="shared" ca="1" si="274"/>
        <v>-</v>
      </c>
      <c r="I97" s="13" t="str">
        <f t="shared" ca="1" si="275"/>
        <v>P.3 (2)</v>
      </c>
      <c r="J97" s="13"/>
      <c r="K97" s="13" t="str">
        <f t="shared" ca="1" si="276"/>
        <v>-</v>
      </c>
      <c r="L97" s="13" t="str">
        <f t="shared" ca="1" si="277"/>
        <v>P.3 (2)</v>
      </c>
      <c r="M97" s="13"/>
      <c r="N97" s="13" t="str">
        <f t="shared" ca="1" si="278"/>
        <v>-</v>
      </c>
      <c r="O97" s="13" t="str">
        <f t="shared" ca="1" si="279"/>
        <v>P.3 (2)</v>
      </c>
      <c r="P97" s="13"/>
      <c r="Q97" s="13" t="str">
        <f t="shared" ca="1" si="280"/>
        <v>-</v>
      </c>
      <c r="R97" s="13" t="str">
        <f t="shared" ca="1" si="281"/>
        <v>P.3 (2)</v>
      </c>
      <c r="S97" s="13"/>
      <c r="T97" s="13" t="str">
        <f t="shared" ca="1" si="282"/>
        <v>-</v>
      </c>
      <c r="U97" s="13" t="str">
        <f t="shared" ca="1" si="283"/>
        <v>P.3 (2)</v>
      </c>
      <c r="V97" s="14"/>
      <c r="W97" s="661"/>
      <c r="X97" s="25">
        <f ca="1">Horarios!C97</f>
        <v>46200.708333333336</v>
      </c>
      <c r="Y97" s="26">
        <f ca="1">Horarios!C97</f>
        <v>46200.708333333336</v>
      </c>
      <c r="Z97" s="27" t="str">
        <f>$Z$8</f>
        <v>J3</v>
      </c>
      <c r="AA97" s="28" t="str">
        <f ca="1">A94</f>
        <v>Croacia</v>
      </c>
      <c r="AB97" s="49" t="e" cm="1" vm="47">
        <f t="array" aca="1" ref="AB97" ca="1">Ver_flag_local</f>
        <v>#VALUE!</v>
      </c>
      <c r="AC97" s="50">
        <v>2</v>
      </c>
      <c r="AD97" s="51">
        <v>1</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1</v>
      </c>
      <c r="AN97" s="44">
        <f t="shared" ca="1" si="287"/>
        <v>3</v>
      </c>
      <c r="AO97" s="44">
        <f t="shared" ca="1" si="287"/>
        <v>0</v>
      </c>
      <c r="AP97" s="44">
        <f t="shared" ca="1" si="287"/>
        <v>1</v>
      </c>
      <c r="AQ97" s="44">
        <f t="shared" ca="1" si="287"/>
        <v>2</v>
      </c>
      <c r="AR97" s="44">
        <f t="shared" ca="1" si="287"/>
        <v>4</v>
      </c>
      <c r="AS97" s="44">
        <f t="shared" ca="1" si="287"/>
        <v>8</v>
      </c>
      <c r="AT97" s="45">
        <f t="shared" ca="1" si="287"/>
        <v>-4</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666" t="s">
        <v>493</v>
      </c>
      <c r="X101" s="21">
        <f ca="1">Horarios!C101</f>
        <v>46201.625</v>
      </c>
      <c r="Y101" s="22">
        <f ca="1">Horarios!C101</f>
        <v>46201.625</v>
      </c>
      <c r="Z101" s="269">
        <f>AH101</f>
        <v>73</v>
      </c>
      <c r="AA101" s="85" t="str">
        <f t="shared" ref="AA101:AA116" ca="1" si="292">+INDEX($M$101:$M$147,MATCH(AH101,$J$101:$J$147,0))</f>
        <v>México</v>
      </c>
      <c r="AB101" s="86"/>
      <c r="AC101" s="48">
        <v>2</v>
      </c>
      <c r="AD101" s="48">
        <v>3</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ACEFGHIK</v>
      </c>
    </row>
    <row r="102" spans="1:62" ht="16.05" customHeight="1">
      <c r="A102" s="13" t="s">
        <v>673</v>
      </c>
      <c r="B102" s="13" t="s">
        <v>734</v>
      </c>
      <c r="C102" s="13"/>
      <c r="D102" s="13" t="str">
        <f t="shared" ca="1" si="289"/>
        <v>Marruecos</v>
      </c>
      <c r="E102" s="13" t="s">
        <v>3</v>
      </c>
      <c r="F102" s="13" t="s">
        <v>733</v>
      </c>
      <c r="G102" s="13" t="s">
        <v>1</v>
      </c>
      <c r="H102" s="13">
        <f t="shared" ca="1" si="290"/>
        <v>12</v>
      </c>
      <c r="I102" s="13"/>
      <c r="J102" s="13">
        <v>74</v>
      </c>
      <c r="K102" s="13">
        <v>46202.75</v>
      </c>
      <c r="L102" s="13" t="s">
        <v>698</v>
      </c>
      <c r="M102" s="13" t="str">
        <f t="shared" ca="1" si="291"/>
        <v>Ecuador</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66"/>
      <c r="X102" s="21">
        <f ca="1">Horarios!C102</f>
        <v>46202.541666666664</v>
      </c>
      <c r="Y102" s="22">
        <f ca="1">Horarios!C102</f>
        <v>46202.541666666664</v>
      </c>
      <c r="Z102" s="269">
        <f t="shared" ref="Z102:Z116" si="296">AH102</f>
        <v>76</v>
      </c>
      <c r="AA102" s="85" t="str">
        <f t="shared" ca="1" si="292"/>
        <v>Marruecos</v>
      </c>
      <c r="AB102" s="86"/>
      <c r="AC102" s="89">
        <v>2</v>
      </c>
      <c r="AD102" s="89">
        <v>0</v>
      </c>
      <c r="AE102" s="86"/>
      <c r="AF102" s="88" t="str">
        <f t="shared" ca="1" si="293"/>
        <v>Suecia</v>
      </c>
      <c r="AG102" s="315">
        <f t="shared" ca="1" si="294"/>
        <v>1</v>
      </c>
      <c r="AH102" s="188">
        <v>76</v>
      </c>
      <c r="AI102" s="178">
        <v>1</v>
      </c>
      <c r="AJ102" s="77">
        <v>1</v>
      </c>
      <c r="AK102" s="592" t="e" cm="1" vm="22">
        <f t="array" aca="1" ref="AK102" ca="1">Ver_flag_visit</f>
        <v>#VALUE!</v>
      </c>
      <c r="AL102" s="78" t="str">
        <f t="shared" ref="AL102:AL113" ca="1" si="297">+IF($H$113&gt;=48,INDEX($BD$58:$BD$69,MATCH(AI102,$BN$58:$BN$69,0)),BB58)</f>
        <v>Japón</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5</v>
      </c>
      <c r="AS102" s="80">
        <f t="shared" ca="1" si="298"/>
        <v>5</v>
      </c>
      <c r="AT102" s="81">
        <f t="shared" ca="1" si="298"/>
        <v>0</v>
      </c>
      <c r="AU102" s="318">
        <f t="shared" ref="AU102:AU113" ca="1" si="299">IF($H$113=144,INDEX($DL$58:$DL$69,MATCH(AI102,$DP$58:$DP$69,0)),"")</f>
        <v>1</v>
      </c>
      <c r="AV102" s="178" t="str">
        <f t="shared" ref="AV102:AV113" ca="1" si="300">INDEX($BD$58:$BD$69,MATCH(AI102,$BM$58:$BM$69,0))</f>
        <v>Japón</v>
      </c>
      <c r="AW102" s="207"/>
      <c r="AX102" s="166"/>
      <c r="AY102" s="150"/>
      <c r="AZ102" s="151"/>
      <c r="BE102" t="s">
        <v>454</v>
      </c>
      <c r="BF102" t="s">
        <v>731</v>
      </c>
      <c r="BG102" t="s">
        <v>776</v>
      </c>
      <c r="BI102" t="s">
        <v>86</v>
      </c>
    </row>
    <row r="103" spans="1:62" ht="16.05" customHeight="1">
      <c r="A103" s="13" t="s">
        <v>676</v>
      </c>
      <c r="B103" s="13" t="s">
        <v>668</v>
      </c>
      <c r="C103" s="13"/>
      <c r="D103" s="13" t="str">
        <f t="shared" ca="1" si="289"/>
        <v>Ecuador</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3"/>
      <c r="P103" s="13"/>
      <c r="Q103" s="13"/>
      <c r="R103" s="13"/>
      <c r="S103" s="13"/>
      <c r="T103" s="13"/>
      <c r="U103" s="13"/>
      <c r="V103" s="14"/>
      <c r="W103" s="666"/>
      <c r="X103" s="21">
        <f ca="1">Horarios!C103</f>
        <v>46202.6875</v>
      </c>
      <c r="Y103" s="22">
        <f ca="1">Horarios!C103</f>
        <v>46202.6875</v>
      </c>
      <c r="Z103" s="269">
        <f t="shared" si="296"/>
        <v>74</v>
      </c>
      <c r="AA103" s="85" t="str">
        <f t="shared" ca="1" si="292"/>
        <v>Ecuador</v>
      </c>
      <c r="AB103" s="86"/>
      <c r="AC103" s="89">
        <v>3</v>
      </c>
      <c r="AD103" s="89">
        <v>1</v>
      </c>
      <c r="AE103" s="86"/>
      <c r="AF103" s="88" t="str">
        <f t="shared" ca="1" si="293"/>
        <v>Escocia</v>
      </c>
      <c r="AG103" s="315">
        <f t="shared" ca="1" si="294"/>
        <v>1</v>
      </c>
      <c r="AH103" s="188">
        <v>74</v>
      </c>
      <c r="AI103" s="178">
        <v>2</v>
      </c>
      <c r="AJ103" s="39">
        <v>2</v>
      </c>
      <c r="AK103" s="589" t="e" cm="1" vm="2">
        <f t="array" aca="1" ref="AK103" ca="1">Ver_flag_visit</f>
        <v>#VALUE!</v>
      </c>
      <c r="AL103" s="82" t="str">
        <f t="shared" ca="1" si="297"/>
        <v>Sudáfrica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3</v>
      </c>
      <c r="AS103" s="83">
        <f t="shared" ca="1" si="302"/>
        <v>3</v>
      </c>
      <c r="AT103" s="84">
        <f t="shared" ca="1" si="302"/>
        <v>0</v>
      </c>
      <c r="AU103" s="318">
        <f t="shared" ca="1" si="299"/>
        <v>1</v>
      </c>
      <c r="AV103" s="178" t="str">
        <f t="shared" ca="1" si="300"/>
        <v>Sudáfrica</v>
      </c>
      <c r="AW103" s="207"/>
      <c r="AX103" s="166"/>
      <c r="AY103" s="265"/>
      <c r="AZ103" s="268" t="str">
        <f t="shared" ref="AZ103:AZ110" ca="1" si="303">+IF(OR($H$113&gt;=48,$AJ$99=144),BF117&amp;" - "&amp;BG117,"")</f>
        <v>1A - 3H</v>
      </c>
      <c r="BF103" t="str">
        <f t="shared" ref="BF103:BF110" ca="1" si="304">IFERROR(INDEX($BC$6:$BC$53,MATCH(AL102,$BD$6:$BD$53,0)),"")</f>
        <v>F</v>
      </c>
      <c r="BG103">
        <f t="shared" ref="BG103:BG110" ca="1" si="305">COUNTIF($BF$103:$BF$110,"&lt;="&amp;BF103)</f>
        <v>4</v>
      </c>
      <c r="BI103">
        <v>1</v>
      </c>
      <c r="BJ103" t="str">
        <f t="shared" ref="BJ103:BJ110" ca="1" si="306">IFERROR(INDEX($BF$103:$BF$110,MATCH(BI103,$BG$103:$BG$110,0)),"Grupo")</f>
        <v>A</v>
      </c>
    </row>
    <row r="104" spans="1:62" ht="16.05" customHeight="1">
      <c r="A104" s="13" t="s">
        <v>663</v>
      </c>
      <c r="B104" s="13" t="s">
        <v>677</v>
      </c>
      <c r="C104" s="13"/>
      <c r="D104" s="13" t="str">
        <f t="shared" ca="1" si="289"/>
        <v>Brasil</v>
      </c>
      <c r="E104" s="13" t="s">
        <v>2</v>
      </c>
      <c r="F104" s="13" t="s">
        <v>4</v>
      </c>
      <c r="G104" s="13" t="s">
        <v>74</v>
      </c>
      <c r="H104" s="13">
        <f t="shared" ca="1" si="290"/>
        <v>12</v>
      </c>
      <c r="I104" s="13"/>
      <c r="J104" s="13">
        <v>76</v>
      </c>
      <c r="K104" s="13">
        <v>46202.75</v>
      </c>
      <c r="L104" s="13" t="s">
        <v>700</v>
      </c>
      <c r="M104" s="13" t="str">
        <f t="shared" ca="1" si="291"/>
        <v>Marruecos</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3"/>
      <c r="P104" s="13"/>
      <c r="Q104" s="13"/>
      <c r="R104" s="13"/>
      <c r="S104" s="13"/>
      <c r="T104" s="13"/>
      <c r="U104" s="13"/>
      <c r="V104" s="14"/>
      <c r="W104" s="666"/>
      <c r="X104" s="21">
        <f ca="1">Horarios!C104</f>
        <v>46202.875</v>
      </c>
      <c r="Y104" s="22">
        <f ca="1">Horarios!C104</f>
        <v>46202.875</v>
      </c>
      <c r="Z104" s="269">
        <f t="shared" si="296"/>
        <v>75</v>
      </c>
      <c r="AA104" s="85" t="str">
        <f t="shared" ca="1" si="292"/>
        <v>Países Bajos</v>
      </c>
      <c r="AB104" s="86"/>
      <c r="AC104" s="89">
        <v>0</v>
      </c>
      <c r="AD104" s="89">
        <v>2</v>
      </c>
      <c r="AE104" s="86"/>
      <c r="AF104" s="88" t="str">
        <f t="shared" ca="1" si="293"/>
        <v>Brasil</v>
      </c>
      <c r="AG104" s="315">
        <f t="shared" ca="1" si="294"/>
        <v>1</v>
      </c>
      <c r="AH104" s="188">
        <v>75</v>
      </c>
      <c r="AI104" s="178">
        <v>3</v>
      </c>
      <c r="AJ104" s="39">
        <v>3</v>
      </c>
      <c r="AK104" s="589" t="e" cm="1" vm="35">
        <f t="array" aca="1" ref="AK104" ca="1">Ver_flag_visit</f>
        <v>#VALUE!</v>
      </c>
      <c r="AL104" s="82" t="str">
        <f t="shared" ca="1" si="297"/>
        <v>Senegal</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5</v>
      </c>
      <c r="AS104" s="83">
        <f t="shared" ca="1" si="307"/>
        <v>6</v>
      </c>
      <c r="AT104" s="84">
        <f t="shared" ca="1" si="307"/>
        <v>-1</v>
      </c>
      <c r="AU104" s="318">
        <f t="shared" ca="1" si="299"/>
        <v>1</v>
      </c>
      <c r="AV104" s="178" t="str">
        <f t="shared" ca="1" si="300"/>
        <v>Senegal</v>
      </c>
      <c r="AW104" s="207"/>
      <c r="AX104" s="166"/>
      <c r="AY104" s="265"/>
      <c r="AZ104" s="268" t="str">
        <f t="shared" ca="1" si="303"/>
        <v>1B - 3G</v>
      </c>
      <c r="BF104" t="str">
        <f t="shared" ca="1" si="304"/>
        <v>A</v>
      </c>
      <c r="BG104">
        <f t="shared" ca="1" si="305"/>
        <v>1</v>
      </c>
      <c r="BI104">
        <v>2</v>
      </c>
      <c r="BJ104" t="str">
        <f t="shared" ca="1" si="306"/>
        <v>C</v>
      </c>
    </row>
    <row r="105" spans="1:62" ht="16.05" customHeight="1">
      <c r="A105" s="13" t="s">
        <v>685</v>
      </c>
      <c r="B105" s="13" t="s">
        <v>735</v>
      </c>
      <c r="C105" s="13"/>
      <c r="D105" s="13" t="str">
        <f t="shared" ca="1" si="289"/>
        <v>Alemania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3"/>
      <c r="P105" s="13"/>
      <c r="Q105" s="13"/>
      <c r="R105" s="13"/>
      <c r="S105" s="13"/>
      <c r="T105" s="13"/>
      <c r="U105" s="13"/>
      <c r="V105" s="14"/>
      <c r="W105" s="666"/>
      <c r="X105" s="21">
        <f ca="1">Horarios!C105</f>
        <v>46203.541666666664</v>
      </c>
      <c r="Y105" s="22">
        <f ca="1">Horarios!C105</f>
        <v>46203.541666666664</v>
      </c>
      <c r="Z105" s="269">
        <f t="shared" si="296"/>
        <v>78</v>
      </c>
      <c r="AA105" s="85" t="str">
        <f t="shared" ca="1" si="292"/>
        <v>Alemania</v>
      </c>
      <c r="AB105" s="86">
        <v>5</v>
      </c>
      <c r="AC105" s="89">
        <v>2</v>
      </c>
      <c r="AD105" s="89">
        <v>2</v>
      </c>
      <c r="AE105" s="86">
        <v>3</v>
      </c>
      <c r="AF105" s="88" t="str">
        <f t="shared" ca="1" si="293"/>
        <v>Noruega</v>
      </c>
      <c r="AG105" s="315">
        <f t="shared" ca="1" si="294"/>
        <v>1</v>
      </c>
      <c r="AH105" s="188">
        <v>78</v>
      </c>
      <c r="AI105" s="178">
        <v>4</v>
      </c>
      <c r="AJ105" s="39">
        <v>4</v>
      </c>
      <c r="AK105" s="589" t="e" cm="1" vm="31">
        <f t="array" aca="1" ref="AK105" ca="1">Ver_flag_visit</f>
        <v>#VALUE!</v>
      </c>
      <c r="AL105" s="82" t="str">
        <f t="shared" ca="1" si="297"/>
        <v>Arabia Saudita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4</v>
      </c>
      <c r="AS105" s="83">
        <f t="shared" ca="1" si="308"/>
        <v>4</v>
      </c>
      <c r="AT105" s="84">
        <f t="shared" ca="1" si="308"/>
        <v>0</v>
      </c>
      <c r="AU105" s="318">
        <f t="shared" ca="1" si="299"/>
        <v>1</v>
      </c>
      <c r="AV105" s="178" t="str">
        <f t="shared" ca="1" si="300"/>
        <v>Arabia Saudita</v>
      </c>
      <c r="AW105" s="207"/>
      <c r="AX105" s="166"/>
      <c r="AY105" s="265"/>
      <c r="AZ105" s="268" t="str">
        <f t="shared" ca="1" si="303"/>
        <v>1D - 3E</v>
      </c>
      <c r="BF105" t="str">
        <f t="shared" ca="1" si="304"/>
        <v>I</v>
      </c>
      <c r="BG105">
        <f t="shared" ca="1" si="305"/>
        <v>7</v>
      </c>
      <c r="BI105">
        <v>3</v>
      </c>
      <c r="BJ105" t="str">
        <f t="shared" ca="1" si="306"/>
        <v>E</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Alemania</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66"/>
      <c r="X106" s="21">
        <f ca="1">Horarios!C106</f>
        <v>46203.708333333336</v>
      </c>
      <c r="Y106" s="22">
        <f ca="1">Horarios!C106</f>
        <v>46203.708333333336</v>
      </c>
      <c r="Z106" s="269">
        <f t="shared" si="296"/>
        <v>77</v>
      </c>
      <c r="AA106" s="85" t="str">
        <f t="shared" ca="1" si="292"/>
        <v>Francia</v>
      </c>
      <c r="AB106" s="86"/>
      <c r="AC106" s="89">
        <v>3</v>
      </c>
      <c r="AD106" s="89">
        <v>0</v>
      </c>
      <c r="AE106" s="86"/>
      <c r="AF106" s="88" t="str">
        <f t="shared" ca="1" si="293"/>
        <v>Japón</v>
      </c>
      <c r="AG106" s="315">
        <f t="shared" ca="1" si="294"/>
        <v>1</v>
      </c>
      <c r="AH106" s="188">
        <v>77</v>
      </c>
      <c r="AI106" s="178">
        <v>5</v>
      </c>
      <c r="AJ106" s="39">
        <v>5</v>
      </c>
      <c r="AK106" s="589" t="e" cm="1" vm="19">
        <f t="array" aca="1" ref="AK106" ca="1">Ver_flag_visit</f>
        <v>#VALUE!</v>
      </c>
      <c r="AL106" s="82" t="str">
        <f t="shared" ca="1" si="297"/>
        <v>Costa de Marfil</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5</v>
      </c>
      <c r="AS106" s="83">
        <f t="shared" ca="1" si="309"/>
        <v>7</v>
      </c>
      <c r="AT106" s="84">
        <f t="shared" ca="1" si="309"/>
        <v>-2</v>
      </c>
      <c r="AU106" s="318">
        <f t="shared" ca="1" si="299"/>
        <v>1</v>
      </c>
      <c r="AV106" s="178" t="str">
        <f t="shared" ca="1" si="300"/>
        <v>Costa de Marfil</v>
      </c>
      <c r="AW106" s="207"/>
      <c r="AX106" s="166"/>
      <c r="AY106" s="265"/>
      <c r="AZ106" s="268" t="str">
        <f t="shared" ca="1" si="303"/>
        <v>1E - 3C</v>
      </c>
      <c r="BF106" t="str">
        <f t="shared" ca="1" si="304"/>
        <v>H</v>
      </c>
      <c r="BG106">
        <f t="shared" ca="1" si="305"/>
        <v>6</v>
      </c>
      <c r="BI106">
        <v>4</v>
      </c>
      <c r="BJ106" t="str">
        <f t="shared" ca="1" si="306"/>
        <v>F</v>
      </c>
    </row>
    <row r="107" spans="1:62" ht="16.05"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3"/>
      <c r="P107" s="13"/>
      <c r="Q107" s="13"/>
      <c r="R107" s="13"/>
      <c r="S107" s="13"/>
      <c r="T107" s="13"/>
      <c r="U107" s="13"/>
      <c r="V107" s="14"/>
      <c r="W107" s="666"/>
      <c r="X107" s="21">
        <f ca="1">Horarios!C107</f>
        <v>46203.875</v>
      </c>
      <c r="Y107" s="22">
        <f ca="1">Horarios!C107</f>
        <v>46203.875</v>
      </c>
      <c r="Z107" s="269">
        <f t="shared" si="296"/>
        <v>79</v>
      </c>
      <c r="AA107" s="85" t="str">
        <f t="shared" ca="1" si="292"/>
        <v>Corea del Sur</v>
      </c>
      <c r="AB107" s="86"/>
      <c r="AC107" s="89">
        <v>2</v>
      </c>
      <c r="AD107" s="89">
        <v>0</v>
      </c>
      <c r="AE107" s="86"/>
      <c r="AF107" s="88" t="str">
        <f t="shared" ca="1" si="293"/>
        <v>Arabia Saudita</v>
      </c>
      <c r="AG107" s="315">
        <f t="shared" ca="1" si="294"/>
        <v>1</v>
      </c>
      <c r="AH107" s="188">
        <v>79</v>
      </c>
      <c r="AI107" s="178">
        <v>6</v>
      </c>
      <c r="AJ107" s="39">
        <v>6</v>
      </c>
      <c r="AK107" s="589" t="e" cm="1" vm="26">
        <f t="array" aca="1" ref="AK107" ca="1">Ver_flag_visit</f>
        <v>#VALUE!</v>
      </c>
      <c r="AL107" s="82" t="str">
        <f t="shared" ca="1" si="297"/>
        <v>Egipto</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3</v>
      </c>
      <c r="AS107" s="83">
        <f t="shared" ca="1" si="310"/>
        <v>5</v>
      </c>
      <c r="AT107" s="84">
        <f t="shared" ca="1" si="310"/>
        <v>-2</v>
      </c>
      <c r="AU107" s="318">
        <f t="shared" ca="1" si="299"/>
        <v>1</v>
      </c>
      <c r="AV107" s="178" t="str">
        <f ca="1">INDEX($BD$58:$BD$69,MATCH(AI107,$BM$58:$BM$69,0))</f>
        <v>Egipto</v>
      </c>
      <c r="AW107" s="207"/>
      <c r="AX107" s="166"/>
      <c r="AY107" s="265"/>
      <c r="AZ107" s="268" t="str">
        <f t="shared" ca="1" si="303"/>
        <v>1G - 3A</v>
      </c>
      <c r="BF107" t="str">
        <f t="shared" ca="1" si="304"/>
        <v>E</v>
      </c>
      <c r="BG107">
        <f t="shared" ca="1" si="305"/>
        <v>3</v>
      </c>
      <c r="BI107">
        <v>5</v>
      </c>
      <c r="BJ107" t="str">
        <f t="shared" ca="1" si="306"/>
        <v>G</v>
      </c>
    </row>
    <row r="108" spans="1:62" ht="16.05" customHeight="1">
      <c r="A108" s="13" t="s">
        <v>694</v>
      </c>
      <c r="B108" s="13" t="s">
        <v>737</v>
      </c>
      <c r="C108" s="13"/>
      <c r="D108" s="13" t="str">
        <f t="shared" ca="1" si="289"/>
        <v>Croacia</v>
      </c>
      <c r="E108" s="13" t="s">
        <v>247</v>
      </c>
      <c r="F108" s="13" t="s">
        <v>733</v>
      </c>
      <c r="G108" s="13" t="s">
        <v>447</v>
      </c>
      <c r="H108" s="13">
        <f t="shared" ca="1" si="290"/>
        <v>12</v>
      </c>
      <c r="I108" s="13"/>
      <c r="J108" s="13">
        <v>80</v>
      </c>
      <c r="K108" s="13">
        <v>46204.75</v>
      </c>
      <c r="L108" s="13" t="s">
        <v>704</v>
      </c>
      <c r="M108" s="13" t="str">
        <f t="shared" ca="1" si="291"/>
        <v>Croacia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3"/>
      <c r="P108" s="13"/>
      <c r="Q108" s="13"/>
      <c r="R108" s="13"/>
      <c r="S108" s="13"/>
      <c r="T108" s="13"/>
      <c r="U108" s="13"/>
      <c r="V108" s="14"/>
      <c r="W108" s="666"/>
      <c r="X108" s="21">
        <f ca="1">Horarios!C108</f>
        <v>46204.5</v>
      </c>
      <c r="Y108" s="22">
        <f ca="1">Horarios!C108</f>
        <v>46204.5</v>
      </c>
      <c r="Z108" s="269">
        <f t="shared" si="296"/>
        <v>80</v>
      </c>
      <c r="AA108" s="85" t="str">
        <f t="shared" ca="1" si="292"/>
        <v>Croacia</v>
      </c>
      <c r="AB108" s="86"/>
      <c r="AC108" s="89">
        <v>3</v>
      </c>
      <c r="AD108" s="89">
        <v>0</v>
      </c>
      <c r="AE108" s="86"/>
      <c r="AF108" s="88" t="str">
        <f t="shared" ca="1" si="293"/>
        <v>Uzbekistán</v>
      </c>
      <c r="AG108" s="315">
        <f t="shared" ca="1" si="294"/>
        <v>1</v>
      </c>
      <c r="AH108" s="188">
        <v>80</v>
      </c>
      <c r="AI108" s="178">
        <v>7</v>
      </c>
      <c r="AJ108" s="39">
        <v>7</v>
      </c>
      <c r="AK108" s="589" t="e" cm="1" vm="12">
        <f t="array" aca="1" ref="AK108" ca="1">Ver_flag_visit</f>
        <v>#VALUE!</v>
      </c>
      <c r="AL108" s="82" t="str">
        <f t="shared" ca="1" si="297"/>
        <v>Escocia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2</v>
      </c>
      <c r="AS108" s="83">
        <f t="shared" ca="1" si="311"/>
        <v>6</v>
      </c>
      <c r="AT108" s="84">
        <f t="shared" ca="1" si="311"/>
        <v>-4</v>
      </c>
      <c r="AU108" s="318">
        <f t="shared" ca="1" si="299"/>
        <v>2</v>
      </c>
      <c r="AV108" s="178" t="str">
        <f t="shared" ca="1" si="300"/>
        <v>Escocia</v>
      </c>
      <c r="AW108" s="207"/>
      <c r="AX108" s="166"/>
      <c r="AY108" s="265"/>
      <c r="AZ108" s="268" t="str">
        <f t="shared" ca="1" si="303"/>
        <v>1I - 3F</v>
      </c>
      <c r="BF108" t="str">
        <f t="shared" ca="1" si="304"/>
        <v>G</v>
      </c>
      <c r="BG108">
        <f t="shared" ca="1" si="305"/>
        <v>5</v>
      </c>
      <c r="BI108">
        <v>6</v>
      </c>
      <c r="BJ108" t="str">
        <f t="shared" ca="1" si="306"/>
        <v>H</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Paraguay</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3"/>
      <c r="P109" s="13"/>
      <c r="Q109" s="13"/>
      <c r="R109" s="13"/>
      <c r="S109" s="13"/>
      <c r="T109" s="13"/>
      <c r="U109" s="13"/>
      <c r="V109" s="14"/>
      <c r="W109" s="666"/>
      <c r="X109" s="21">
        <f ca="1">Horarios!C109</f>
        <v>46204.666666666664</v>
      </c>
      <c r="Y109" s="22">
        <f ca="1">Horarios!C109</f>
        <v>46204.666666666664</v>
      </c>
      <c r="Z109" s="269">
        <f t="shared" si="296"/>
        <v>82</v>
      </c>
      <c r="AA109" s="85" t="str">
        <f t="shared" ca="1" si="292"/>
        <v>Bélgica</v>
      </c>
      <c r="AB109" s="86"/>
      <c r="AC109" s="89">
        <v>3</v>
      </c>
      <c r="AD109" s="89">
        <v>1</v>
      </c>
      <c r="AE109" s="86"/>
      <c r="AF109" s="88" t="str">
        <f t="shared" ca="1" si="293"/>
        <v>Sudáfrica</v>
      </c>
      <c r="AG109" s="315">
        <f t="shared" ca="1" si="294"/>
        <v>1</v>
      </c>
      <c r="AH109" s="188">
        <v>82</v>
      </c>
      <c r="AI109" s="178">
        <v>8</v>
      </c>
      <c r="AJ109" s="39">
        <v>8</v>
      </c>
      <c r="AK109" s="589" t="e" cm="1" vm="44">
        <f t="array" aca="1" ref="AK109" ca="1">Ver_flag_visit</f>
        <v>#VALUE!</v>
      </c>
      <c r="AL109" s="82" t="str">
        <f t="shared" ca="1" si="297"/>
        <v>Uzbekistán</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2</v>
      </c>
      <c r="AS109" s="83">
        <f t="shared" ca="1" si="312"/>
        <v>6</v>
      </c>
      <c r="AT109" s="84">
        <f t="shared" ca="1" si="312"/>
        <v>-4</v>
      </c>
      <c r="AU109" s="318">
        <f t="shared" ca="1" si="299"/>
        <v>2</v>
      </c>
      <c r="AV109" s="178" t="str">
        <f t="shared" ca="1" si="300"/>
        <v>Uzbekistán</v>
      </c>
      <c r="AW109" s="207"/>
      <c r="AX109" s="166"/>
      <c r="AY109" s="265"/>
      <c r="AZ109" s="268" t="str">
        <f t="shared" ca="1" si="303"/>
        <v>1K - 3I</v>
      </c>
      <c r="BF109" t="str">
        <f t="shared" ca="1" si="304"/>
        <v>C</v>
      </c>
      <c r="BG109">
        <f t="shared" ca="1" si="305"/>
        <v>2</v>
      </c>
      <c r="BI109">
        <v>7</v>
      </c>
      <c r="BJ109" t="str">
        <f t="shared" ca="1" si="306"/>
        <v>I</v>
      </c>
    </row>
    <row r="110" spans="1:62" ht="16.05" customHeight="1">
      <c r="A110" s="13" t="s">
        <v>679</v>
      </c>
      <c r="B110" s="13" t="s">
        <v>739</v>
      </c>
      <c r="C110" s="13"/>
      <c r="D110" s="13" t="str">
        <f t="shared" ca="1" si="289"/>
        <v>Paraguay</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3"/>
      <c r="P110" s="13"/>
      <c r="Q110" s="13"/>
      <c r="R110" s="13"/>
      <c r="S110" s="13"/>
      <c r="T110" s="13"/>
      <c r="U110" s="13"/>
      <c r="V110" s="14"/>
      <c r="W110" s="666"/>
      <c r="X110" s="21">
        <f ca="1">Horarios!C110</f>
        <v>46204.833333333336</v>
      </c>
      <c r="Y110" s="22">
        <f ca="1">Horarios!C110</f>
        <v>46204.833333333336</v>
      </c>
      <c r="Z110" s="269">
        <f t="shared" si="296"/>
        <v>81</v>
      </c>
      <c r="AA110" s="85" t="str">
        <f t="shared" ca="1" si="292"/>
        <v>Paraguay</v>
      </c>
      <c r="AB110" s="86"/>
      <c r="AC110" s="89">
        <v>2</v>
      </c>
      <c r="AD110" s="89">
        <v>0</v>
      </c>
      <c r="AE110" s="86"/>
      <c r="AF110" s="88" t="str">
        <f t="shared" ca="1" si="293"/>
        <v>Costa de Marfil</v>
      </c>
      <c r="AG110" s="315">
        <f t="shared" ca="1" si="294"/>
        <v>1</v>
      </c>
      <c r="AH110" s="188">
        <v>81</v>
      </c>
      <c r="AI110" s="178">
        <v>9</v>
      </c>
      <c r="AJ110" s="39">
        <v>9</v>
      </c>
      <c r="AK110" s="589" t="e" cm="1" vm="16">
        <f t="array" aca="1" ref="AK110" ca="1">Ver_flag_visit</f>
        <v>#VALUE!</v>
      </c>
      <c r="AL110" s="82" t="str">
        <f t="shared" ca="1" si="297"/>
        <v>Turquía</v>
      </c>
      <c r="AM110" s="576">
        <f t="shared" ca="1" si="301"/>
        <v>2</v>
      </c>
      <c r="AN110" s="83">
        <f t="shared" ref="AN110:AT110" ca="1" si="313">+IF($H$113&gt;=48,INDEX($BE$58:$BN$69,MATCH($AL110,$BD$58:$BD$69,0),MATCH(AN$5,$BE$57:$BN$57,0)),$BB66)</f>
        <v>3</v>
      </c>
      <c r="AO110" s="83">
        <f t="shared" ca="1" si="313"/>
        <v>0</v>
      </c>
      <c r="AP110" s="83">
        <f t="shared" ca="1" si="313"/>
        <v>2</v>
      </c>
      <c r="AQ110" s="83">
        <f t="shared" ca="1" si="313"/>
        <v>1</v>
      </c>
      <c r="AR110" s="83">
        <f t="shared" ca="1" si="313"/>
        <v>4</v>
      </c>
      <c r="AS110" s="83">
        <f t="shared" ca="1" si="313"/>
        <v>5</v>
      </c>
      <c r="AT110" s="84">
        <f t="shared" ca="1" si="313"/>
        <v>-1</v>
      </c>
      <c r="AU110" s="318">
        <f t="shared" ca="1" si="299"/>
        <v>1</v>
      </c>
      <c r="AV110" s="178" t="str">
        <f t="shared" ca="1" si="300"/>
        <v>Turquía</v>
      </c>
      <c r="AW110" s="207"/>
      <c r="AX110" s="166"/>
      <c r="AY110" s="265"/>
      <c r="AZ110" s="268" t="str">
        <f t="shared" ca="1" si="303"/>
        <v>1L - 3K</v>
      </c>
      <c r="BF110" t="str">
        <f t="shared" ca="1" si="304"/>
        <v>K</v>
      </c>
      <c r="BG110">
        <f t="shared" ca="1" si="305"/>
        <v>8</v>
      </c>
      <c r="BI110">
        <v>8</v>
      </c>
      <c r="BJ110" t="str">
        <f t="shared" ca="1" si="306"/>
        <v>K</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3"/>
      <c r="P111" s="13"/>
      <c r="Q111" s="13"/>
      <c r="R111" s="13"/>
      <c r="S111" s="13"/>
      <c r="T111" s="13"/>
      <c r="U111" s="13"/>
      <c r="V111" s="14"/>
      <c r="W111" s="666"/>
      <c r="X111" s="21">
        <f ca="1">Horarios!C111</f>
        <v>46205.625</v>
      </c>
      <c r="Y111" s="22">
        <f ca="1">Horarios!C111</f>
        <v>46205.625</v>
      </c>
      <c r="Z111" s="269">
        <f t="shared" si="296"/>
        <v>84</v>
      </c>
      <c r="AA111" s="85" t="str">
        <f t="shared" ca="1" si="292"/>
        <v>España</v>
      </c>
      <c r="AB111" s="86"/>
      <c r="AC111" s="89">
        <v>2</v>
      </c>
      <c r="AD111" s="89">
        <v>1</v>
      </c>
      <c r="AE111" s="86"/>
      <c r="AF111" s="88" t="str">
        <f t="shared" ca="1" si="293"/>
        <v>Argelia</v>
      </c>
      <c r="AG111" s="315">
        <f t="shared" ca="1" si="294"/>
        <v>1</v>
      </c>
      <c r="AH111" s="188">
        <v>84</v>
      </c>
      <c r="AI111" s="178">
        <v>10</v>
      </c>
      <c r="AJ111" s="39">
        <v>10</v>
      </c>
      <c r="AK111" s="589" t="e" cm="1" vm="7">
        <f t="array" aca="1" ref="AK111" ca="1">Ver_flag_visit</f>
        <v>#VALUE!</v>
      </c>
      <c r="AL111" s="82" t="str">
        <f t="shared" ca="1" si="297"/>
        <v>Catar</v>
      </c>
      <c r="AM111" s="576">
        <f t="shared" ca="1" si="301"/>
        <v>2</v>
      </c>
      <c r="AN111" s="83">
        <f t="shared" ref="AN111:AT111" ca="1" si="314">+IF($H$113&gt;=48,INDEX($BE$58:$BN$69,MATCH($AL111,$BD$58:$BD$69,0),MATCH(AN$5,$BE$57:$BN$57,0)),$BB67)</f>
        <v>3</v>
      </c>
      <c r="AO111" s="83">
        <f t="shared" ca="1" si="314"/>
        <v>0</v>
      </c>
      <c r="AP111" s="83">
        <f t="shared" ca="1" si="314"/>
        <v>2</v>
      </c>
      <c r="AQ111" s="83">
        <f t="shared" ca="1" si="314"/>
        <v>1</v>
      </c>
      <c r="AR111" s="83">
        <f t="shared" ca="1" si="314"/>
        <v>3</v>
      </c>
      <c r="AS111" s="83">
        <f t="shared" ca="1" si="314"/>
        <v>4</v>
      </c>
      <c r="AT111" s="84">
        <f t="shared" ca="1" si="314"/>
        <v>-1</v>
      </c>
      <c r="AU111" s="318">
        <f t="shared" ca="1" si="299"/>
        <v>1</v>
      </c>
      <c r="AV111" s="178" t="str">
        <f t="shared" ca="1" si="300"/>
        <v>Catar</v>
      </c>
      <c r="AW111" s="207"/>
      <c r="AX111" s="166"/>
      <c r="AY111" s="264"/>
      <c r="AZ111" s="264"/>
      <c r="BI111" t="s">
        <v>87</v>
      </c>
    </row>
    <row r="112" spans="1:62" ht="16.05" customHeight="1">
      <c r="A112" s="13" t="s">
        <v>682</v>
      </c>
      <c r="B112" s="13" t="s">
        <v>689</v>
      </c>
      <c r="C112" s="13"/>
      <c r="D112" s="13" t="str">
        <f t="shared" ca="1" si="289"/>
        <v>Inglaterra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66"/>
      <c r="X112" s="21">
        <f ca="1">Horarios!C112</f>
        <v>46205.791666666664</v>
      </c>
      <c r="Y112" s="22">
        <f ca="1">Horarios!C112</f>
        <v>46205.791666666664</v>
      </c>
      <c r="Z112" s="269">
        <f t="shared" si="296"/>
        <v>83</v>
      </c>
      <c r="AA112" s="85" t="str">
        <f t="shared" ca="1" si="292"/>
        <v>Colombia</v>
      </c>
      <c r="AB112" s="86"/>
      <c r="AC112" s="89">
        <v>2</v>
      </c>
      <c r="AD112" s="89">
        <v>3</v>
      </c>
      <c r="AE112" s="86"/>
      <c r="AF112" s="88" t="str">
        <f t="shared" ca="1" si="293"/>
        <v>Inglaterra</v>
      </c>
      <c r="AG112" s="315">
        <f t="shared" ca="1" si="294"/>
        <v>1</v>
      </c>
      <c r="AH112" s="188">
        <v>83</v>
      </c>
      <c r="AI112" s="178">
        <v>11</v>
      </c>
      <c r="AJ112" s="39">
        <v>11</v>
      </c>
      <c r="AK112" s="589" t="e" cm="1" vm="48">
        <f t="array" aca="1" ref="AK112" ca="1">Ver_flag_visit</f>
        <v>#VALUE!</v>
      </c>
      <c r="AL112" s="82" t="str">
        <f t="shared" ca="1" si="297"/>
        <v>Ghana</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5</v>
      </c>
      <c r="AS112" s="83">
        <f t="shared" ca="1" si="315"/>
        <v>7</v>
      </c>
      <c r="AT112" s="84">
        <f t="shared" ca="1" si="315"/>
        <v>-2</v>
      </c>
      <c r="AU112" s="318">
        <f t="shared" ca="1" si="299"/>
        <v>1</v>
      </c>
      <c r="AV112" s="178" t="str">
        <f t="shared" ca="1" si="300"/>
        <v>Ghana</v>
      </c>
      <c r="AW112" s="207"/>
      <c r="AX112" s="166"/>
      <c r="AY112" s="264"/>
      <c r="AZ112" s="264"/>
      <c r="BI112" t="str">
        <f ca="1">IFERROR(CONCATENATE(BJ103,BJ104,BJ105,BJ106,BJ107,BJ108,BJ109,BJ110),"¿A/B/C/D/E/F/G/H/I/J/K/L?")</f>
        <v>ACEFGHIK</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3"/>
      <c r="P113" s="13"/>
      <c r="Q113" s="13"/>
      <c r="R113" s="13"/>
      <c r="S113" s="13"/>
      <c r="T113" s="13"/>
      <c r="U113" s="13"/>
      <c r="V113" s="14"/>
      <c r="W113" s="666"/>
      <c r="X113" s="21">
        <f ca="1">Horarios!C113</f>
        <v>46205.958333333336</v>
      </c>
      <c r="Y113" s="22">
        <f ca="1">Horarios!C113</f>
        <v>46205.958333333336</v>
      </c>
      <c r="Z113" s="269">
        <f t="shared" si="296"/>
        <v>85</v>
      </c>
      <c r="AA113" s="85" t="str">
        <f t="shared" ca="1" si="292"/>
        <v>Suiza</v>
      </c>
      <c r="AB113" s="86"/>
      <c r="AC113" s="89">
        <v>3</v>
      </c>
      <c r="AD113" s="89">
        <v>1</v>
      </c>
      <c r="AE113" s="87"/>
      <c r="AF113" s="88" t="str">
        <f t="shared" ca="1" si="293"/>
        <v>Egipto</v>
      </c>
      <c r="AG113" s="315">
        <f t="shared" ca="1" si="294"/>
        <v>1</v>
      </c>
      <c r="AH113" s="188">
        <v>85</v>
      </c>
      <c r="AI113" s="178">
        <v>12</v>
      </c>
      <c r="AJ113" s="41">
        <v>12</v>
      </c>
      <c r="AK113" s="591" t="e" cm="1" vm="41">
        <f t="array" aca="1" ref="AK113" ca="1">Ver_flag_visit</f>
        <v>#VALUE!</v>
      </c>
      <c r="AL113" s="42" t="str">
        <f t="shared" ca="1" si="297"/>
        <v>Jordania</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5</v>
      </c>
      <c r="AT113" s="45">
        <f t="shared" ca="1" si="316"/>
        <v>-3</v>
      </c>
      <c r="AU113" s="318">
        <f t="shared" ca="1" si="299"/>
        <v>1</v>
      </c>
      <c r="AV113" s="178" t="str">
        <f t="shared" ca="1" si="300"/>
        <v>Jordania</v>
      </c>
      <c r="AW113" s="207"/>
      <c r="AX113" s="166"/>
      <c r="AY113" s="150"/>
      <c r="AZ113" s="151"/>
    </row>
    <row r="114" spans="1:59" ht="16.05"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66"/>
      <c r="X114" s="21">
        <f ca="1">Horarios!C114</f>
        <v>46206.583333333336</v>
      </c>
      <c r="Y114" s="22">
        <f ca="1">Horarios!C114</f>
        <v>46206.583333333336</v>
      </c>
      <c r="Z114" s="269">
        <f t="shared" si="296"/>
        <v>88</v>
      </c>
      <c r="AA114" s="85" t="str">
        <f t="shared" ca="1" si="292"/>
        <v>Estados Unidos</v>
      </c>
      <c r="AB114" s="86"/>
      <c r="AC114" s="89">
        <v>2</v>
      </c>
      <c r="AD114" s="89">
        <v>0</v>
      </c>
      <c r="AE114" s="86"/>
      <c r="AF114" s="88" t="str">
        <f t="shared" ca="1" si="293"/>
        <v>Nueva Zelanda</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3"/>
      <c r="P115" s="13"/>
      <c r="Q115" s="13"/>
      <c r="R115" s="13"/>
      <c r="S115" s="13"/>
      <c r="T115" s="13"/>
      <c r="U115" s="13"/>
      <c r="V115" s="14"/>
      <c r="W115" s="666"/>
      <c r="X115" s="21">
        <f ca="1">Horarios!C115</f>
        <v>46206.75</v>
      </c>
      <c r="Y115" s="22">
        <f ca="1">Horarios!C115</f>
        <v>46206.75</v>
      </c>
      <c r="Z115" s="269">
        <f t="shared" si="296"/>
        <v>86</v>
      </c>
      <c r="AA115" s="85" t="str">
        <f t="shared" ca="1" si="292"/>
        <v>Argentina</v>
      </c>
      <c r="AB115" s="86"/>
      <c r="AC115" s="89">
        <v>2</v>
      </c>
      <c r="AD115" s="89">
        <v>0</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3"/>
      <c r="P116" s="13"/>
      <c r="Q116" s="13"/>
      <c r="R116" s="13"/>
      <c r="S116" s="13"/>
      <c r="T116" s="13"/>
      <c r="U116" s="13"/>
      <c r="V116" s="14"/>
      <c r="W116" s="667"/>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Senegal</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3H</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3E</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Brasil</v>
      </c>
      <c r="E120" s="13">
        <v>74</v>
      </c>
      <c r="F120" s="13">
        <v>77</v>
      </c>
      <c r="G120" s="13"/>
      <c r="H120" s="13"/>
      <c r="I120" s="13"/>
      <c r="J120" s="13">
        <v>89</v>
      </c>
      <c r="K120" s="13">
        <v>46207.75</v>
      </c>
      <c r="L120" s="13" t="s">
        <v>713</v>
      </c>
      <c r="M120" s="13" t="str">
        <f t="shared" ref="M120:N127" ca="1" si="318">+INDEX($D$101:$D$147,MATCH(E120,$AH$101:$AH$147,0))</f>
        <v>Ecuador</v>
      </c>
      <c r="N120" s="13" t="str">
        <f t="shared" ca="1" si="318"/>
        <v>Francia</v>
      </c>
      <c r="O120" s="13"/>
      <c r="P120" s="13"/>
      <c r="Q120" s="13"/>
      <c r="R120" s="13"/>
      <c r="S120" s="13"/>
      <c r="T120" s="13"/>
      <c r="U120" s="13"/>
      <c r="V120" s="14"/>
      <c r="W120" s="668"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v>3</v>
      </c>
      <c r="AC120" s="93">
        <v>2</v>
      </c>
      <c r="AD120" s="93">
        <v>2</v>
      </c>
      <c r="AE120" s="86">
        <v>4</v>
      </c>
      <c r="AF120" s="88" t="str">
        <f t="shared" ref="AF120:AF127" ca="1" si="321">+INDEX($N$101:$N$147,MATCH(AH120,$J$101:$J$147,0))</f>
        <v>Brasil</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Canadá</v>
      </c>
      <c r="N121" s="13" t="str">
        <f t="shared" ca="1" si="318"/>
        <v>Brasil</v>
      </c>
      <c r="O121" s="13"/>
      <c r="P121" s="13"/>
      <c r="Q121" s="13"/>
      <c r="R121" s="13"/>
      <c r="S121" s="13"/>
      <c r="T121" s="13"/>
      <c r="U121" s="13"/>
      <c r="V121" s="14"/>
      <c r="W121" s="668"/>
      <c r="X121" s="21">
        <f ca="1">Horarios!C121</f>
        <v>46207.708333333336</v>
      </c>
      <c r="Y121" s="22">
        <f ca="1">Horarios!C121</f>
        <v>46207.708333333336</v>
      </c>
      <c r="Z121" s="269">
        <f t="shared" si="319"/>
        <v>89</v>
      </c>
      <c r="AA121" s="85" t="str">
        <f t="shared" ca="1" si="320"/>
        <v>Ecuador</v>
      </c>
      <c r="AB121" s="86"/>
      <c r="AC121" s="94">
        <v>2</v>
      </c>
      <c r="AD121" s="94">
        <v>4</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Marruecos</v>
      </c>
      <c r="E122" s="13">
        <v>76</v>
      </c>
      <c r="F122" s="13">
        <v>78</v>
      </c>
      <c r="G122" s="13"/>
      <c r="H122" s="13"/>
      <c r="I122" s="13"/>
      <c r="J122" s="13">
        <v>91</v>
      </c>
      <c r="K122" s="13">
        <v>46208.75</v>
      </c>
      <c r="L122" s="13" t="s">
        <v>715</v>
      </c>
      <c r="M122" s="13" t="str">
        <f t="shared" ca="1" si="318"/>
        <v>Marruecos</v>
      </c>
      <c r="N122" s="13" t="str">
        <f t="shared" ca="1" si="318"/>
        <v>Alemania</v>
      </c>
      <c r="O122" s="13"/>
      <c r="P122" s="13"/>
      <c r="Q122" s="13"/>
      <c r="R122" s="13"/>
      <c r="S122" s="13"/>
      <c r="T122" s="13"/>
      <c r="U122" s="13"/>
      <c r="V122" s="14"/>
      <c r="W122" s="668"/>
      <c r="X122" s="21">
        <f ca="1">Horarios!C122</f>
        <v>46208.666666666664</v>
      </c>
      <c r="Y122" s="22">
        <f ca="1">Horarios!C122</f>
        <v>46208.666666666664</v>
      </c>
      <c r="Z122" s="269">
        <f t="shared" si="319"/>
        <v>91</v>
      </c>
      <c r="AA122" s="85" t="str">
        <f t="shared" ca="1" si="320"/>
        <v>Marruecos</v>
      </c>
      <c r="AB122" s="86"/>
      <c r="AC122" s="94">
        <v>2</v>
      </c>
      <c r="AD122" s="94">
        <v>1</v>
      </c>
      <c r="AE122" s="86"/>
      <c r="AF122" s="88" t="str">
        <f t="shared" ca="1" si="321"/>
        <v>Alemania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Croacia</v>
      </c>
      <c r="E123" s="13">
        <v>79</v>
      </c>
      <c r="F123" s="13">
        <v>80</v>
      </c>
      <c r="G123" s="13"/>
      <c r="H123" s="13"/>
      <c r="I123" s="13"/>
      <c r="J123" s="13">
        <v>92</v>
      </c>
      <c r="K123" s="13">
        <v>46208.875</v>
      </c>
      <c r="L123" s="13" t="s">
        <v>716</v>
      </c>
      <c r="M123" s="13" t="str">
        <f t="shared" ca="1" si="318"/>
        <v>Corea del Sur</v>
      </c>
      <c r="N123" s="13" t="str">
        <f t="shared" ca="1" si="318"/>
        <v>Croacia</v>
      </c>
      <c r="O123" s="13"/>
      <c r="P123" s="13"/>
      <c r="Q123" s="13"/>
      <c r="R123" s="13"/>
      <c r="S123" s="13"/>
      <c r="T123" s="13"/>
      <c r="U123" s="13"/>
      <c r="V123" s="14"/>
      <c r="W123" s="668"/>
      <c r="X123" s="21">
        <f ca="1">Horarios!C123</f>
        <v>46208.833333333336</v>
      </c>
      <c r="Y123" s="22">
        <f ca="1">Horarios!C123</f>
        <v>46208.833333333336</v>
      </c>
      <c r="Z123" s="269">
        <f t="shared" si="319"/>
        <v>92</v>
      </c>
      <c r="AA123" s="85" t="str">
        <f t="shared" ca="1" si="320"/>
        <v>Corea del Sur</v>
      </c>
      <c r="AB123" s="86"/>
      <c r="AC123" s="94">
        <v>1</v>
      </c>
      <c r="AD123" s="94">
        <v>2</v>
      </c>
      <c r="AE123" s="86"/>
      <c r="AF123" s="88" t="str">
        <f t="shared" ca="1" si="321"/>
        <v>Croacia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3I</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Inglaterra</v>
      </c>
      <c r="N124" s="13" t="str">
        <f t="shared" ca="1" si="318"/>
        <v>España</v>
      </c>
      <c r="O124" s="13"/>
      <c r="P124" s="13"/>
      <c r="Q124" s="13"/>
      <c r="R124" s="13"/>
      <c r="S124" s="13"/>
      <c r="T124" s="13"/>
      <c r="U124" s="13"/>
      <c r="V124" s="14"/>
      <c r="W124" s="668"/>
      <c r="X124" s="21">
        <f ca="1">Horarios!C124</f>
        <v>46209.625</v>
      </c>
      <c r="Y124" s="22">
        <f ca="1">Horarios!C124</f>
        <v>46209.625</v>
      </c>
      <c r="Z124" s="269">
        <f t="shared" si="319"/>
        <v>93</v>
      </c>
      <c r="AA124" s="85" t="str">
        <f t="shared" ca="1" si="320"/>
        <v>Inglaterra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3K</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Paraguay</v>
      </c>
      <c r="N125" s="13" t="str">
        <f t="shared" ca="1" si="318"/>
        <v>Bélgica</v>
      </c>
      <c r="O125" s="13"/>
      <c r="P125" s="13"/>
      <c r="Q125" s="13"/>
      <c r="R125" s="13"/>
      <c r="S125" s="13"/>
      <c r="T125" s="13"/>
      <c r="U125" s="13"/>
      <c r="V125" s="14"/>
      <c r="W125" s="668"/>
      <c r="X125" s="21">
        <f ca="1">Horarios!C125</f>
        <v>46209.833333333336</v>
      </c>
      <c r="Y125" s="22">
        <f ca="1">Horarios!C125</f>
        <v>46209.833333333336</v>
      </c>
      <c r="Z125" s="269">
        <f t="shared" si="319"/>
        <v>94</v>
      </c>
      <c r="AA125" s="85" t="str">
        <f t="shared" ca="1" si="320"/>
        <v>Paraguay</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68"/>
      <c r="X126" s="21">
        <f ca="1">Horarios!C126</f>
        <v>46210.5</v>
      </c>
      <c r="Y126" s="22">
        <f ca="1">Horarios!C126</f>
        <v>46210.5</v>
      </c>
      <c r="Z126" s="269">
        <f t="shared" si="319"/>
        <v>95</v>
      </c>
      <c r="AA126" s="85" t="str">
        <f t="shared" ca="1" si="320"/>
        <v>Argentina</v>
      </c>
      <c r="AB126" s="86"/>
      <c r="AC126" s="96">
        <v>3</v>
      </c>
      <c r="AD126" s="96">
        <v>1</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69"/>
      <c r="X127" s="25">
        <f ca="1">Horarios!C127</f>
        <v>46210.666666666664</v>
      </c>
      <c r="Y127" s="26">
        <f ca="1">Horarios!C127</f>
        <v>46210.666666666664</v>
      </c>
      <c r="Z127" s="270">
        <f t="shared" si="319"/>
        <v>96</v>
      </c>
      <c r="AA127" s="90" t="str">
        <f t="shared" ca="1" si="320"/>
        <v>Suiza</v>
      </c>
      <c r="AB127" s="91"/>
      <c r="AC127" s="97">
        <v>1</v>
      </c>
      <c r="AD127" s="97">
        <v>3</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v>0</v>
      </c>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Brasil</v>
      </c>
      <c r="O131" s="13"/>
      <c r="P131" s="13"/>
      <c r="Q131" s="13"/>
      <c r="R131" s="13"/>
      <c r="S131" s="13"/>
      <c r="T131" s="13"/>
      <c r="U131" s="13"/>
      <c r="V131" s="14"/>
      <c r="W131" s="67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3</v>
      </c>
      <c r="AD131" s="93">
        <v>1</v>
      </c>
      <c r="AE131" s="87"/>
      <c r="AF131" s="113" t="str">
        <f ca="1">+INDEX($N$101:$N$147,MATCH(AH131,$J$101:$J$147,0))</f>
        <v>Brasil</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Bélgica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0"/>
      <c r="X132" s="21">
        <f ca="1">Horarios!C132</f>
        <v>46213.625</v>
      </c>
      <c r="Y132" s="22">
        <f ca="1">Horarios!C132</f>
        <v>46213.625</v>
      </c>
      <c r="Z132" s="271">
        <f t="shared" si="324"/>
        <v>98</v>
      </c>
      <c r="AA132" s="85" t="str">
        <f t="shared" ca="1" si="325"/>
        <v>España</v>
      </c>
      <c r="AB132" s="86">
        <v>3</v>
      </c>
      <c r="AC132" s="96">
        <v>2</v>
      </c>
      <c r="AD132" s="96">
        <v>2</v>
      </c>
      <c r="AE132" s="86">
        <v>4</v>
      </c>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Marruecos</v>
      </c>
      <c r="E133" s="13">
        <v>91</v>
      </c>
      <c r="F133" s="13">
        <v>92</v>
      </c>
      <c r="G133" s="13"/>
      <c r="H133" s="13"/>
      <c r="I133" s="13"/>
      <c r="J133" s="13">
        <v>99</v>
      </c>
      <c r="K133" s="13">
        <v>46214.75</v>
      </c>
      <c r="L133" s="13" t="s">
        <v>723</v>
      </c>
      <c r="M133" s="13" t="str">
        <f t="shared" ca="1" si="323"/>
        <v>Marruecos</v>
      </c>
      <c r="N133" s="13" t="str">
        <f t="shared" ca="1" si="323"/>
        <v>Croacia</v>
      </c>
      <c r="O133" s="13"/>
      <c r="P133" s="13"/>
      <c r="Q133" s="13"/>
      <c r="R133" s="13"/>
      <c r="S133" s="13"/>
      <c r="T133" s="13"/>
      <c r="U133" s="13"/>
      <c r="V133" s="14"/>
      <c r="W133" s="670"/>
      <c r="X133" s="21">
        <f ca="1">Horarios!C133</f>
        <v>46214.708333333336</v>
      </c>
      <c r="Y133" s="22">
        <f ca="1">Horarios!C133</f>
        <v>46214.708333333336</v>
      </c>
      <c r="Z133" s="271">
        <f t="shared" si="324"/>
        <v>99</v>
      </c>
      <c r="AA133" s="85" t="str">
        <f t="shared" ca="1" si="325"/>
        <v>Marruecos</v>
      </c>
      <c r="AB133" s="86"/>
      <c r="AC133" s="96">
        <v>3</v>
      </c>
      <c r="AD133" s="96">
        <v>2</v>
      </c>
      <c r="AE133" s="86"/>
      <c r="AF133" s="113" t="str">
        <f ca="1">+INDEX($N$101:$N$147,MATCH(AH133,$J$101:$J$147,0))</f>
        <v>Croacia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1"/>
      <c r="X134" s="25">
        <f ca="1">Horarios!C134</f>
        <v>46214.875</v>
      </c>
      <c r="Y134" s="26">
        <f ca="1">Horarios!C134</f>
        <v>46214.875</v>
      </c>
      <c r="Z134" s="272">
        <f t="shared" si="324"/>
        <v>100</v>
      </c>
      <c r="AA134" s="90" t="str">
        <f t="shared" ca="1" si="325"/>
        <v>Argentina</v>
      </c>
      <c r="AB134" s="91">
        <v>4</v>
      </c>
      <c r="AC134" s="97">
        <v>2</v>
      </c>
      <c r="AD134" s="97">
        <v>2</v>
      </c>
      <c r="AE134" s="91">
        <v>2</v>
      </c>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Francia</v>
      </c>
      <c r="E138" s="13">
        <v>97</v>
      </c>
      <c r="F138" s="13">
        <v>98</v>
      </c>
      <c r="G138" s="13"/>
      <c r="H138" s="13" t="str">
        <f ca="1">IF(AND(OR(AC138="",AD138="")),"L101",IF(AC138&gt;AD138,AF138,IF(AC138&lt;AD138,AA138,IF(AND(AC138=AD138,AB138=AE138),"L101",IF(AND(AC138=AD138,OR(AB138="",AE138="")),"L101",IF(AND(AC138=AD138,AB138&gt;AE138),AF138,AA138))))))</f>
        <v>Bélgica</v>
      </c>
      <c r="I138" s="13"/>
      <c r="J138" s="13">
        <v>101</v>
      </c>
      <c r="K138" s="13">
        <v>46217.875</v>
      </c>
      <c r="L138" s="13" t="s">
        <v>725</v>
      </c>
      <c r="M138" s="13" t="str">
        <f ca="1">+INDEX($D$101:$D$147,MATCH(E138,$AH$101:$AH$147,0))</f>
        <v>Francia</v>
      </c>
      <c r="N138" s="13" t="str">
        <f ca="1">+INDEX($D$101:$D$147,MATCH(F138,$AH$101:$AH$147,0))</f>
        <v>Bélgica</v>
      </c>
      <c r="O138" s="13"/>
      <c r="P138" s="13"/>
      <c r="Q138" s="13"/>
      <c r="R138" s="13"/>
      <c r="S138" s="13"/>
      <c r="T138" s="13"/>
      <c r="U138" s="13"/>
      <c r="V138" s="14"/>
      <c r="W138" s="672" t="s">
        <v>37</v>
      </c>
      <c r="X138" s="21">
        <f ca="1">Horarios!C138</f>
        <v>46217.625</v>
      </c>
      <c r="Y138" s="22">
        <f ca="1">Horarios!C138</f>
        <v>46217.625</v>
      </c>
      <c r="Z138" s="271">
        <f t="shared" ref="Z138:Z139" si="326">AH138</f>
        <v>101</v>
      </c>
      <c r="AA138" s="85" t="str">
        <f t="shared" ref="AA138:AA139" ca="1" si="327">+INDEX($M$101:$M$147,MATCH(AH138,$J$101:$J$147,0))</f>
        <v>Francia</v>
      </c>
      <c r="AB138" s="86"/>
      <c r="AC138" s="98">
        <v>3</v>
      </c>
      <c r="AD138" s="98">
        <v>1</v>
      </c>
      <c r="AE138" s="86"/>
      <c r="AF138" s="113" t="str">
        <f ca="1">+INDEX($N$101:$N$147,MATCH(AH138,$J$101:$J$147,0))</f>
        <v>Bélgica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Marruecos</v>
      </c>
      <c r="I139" s="13"/>
      <c r="J139" s="13">
        <v>102</v>
      </c>
      <c r="K139" s="13">
        <v>46218.875</v>
      </c>
      <c r="L139" s="13" t="s">
        <v>726</v>
      </c>
      <c r="M139" s="13" t="str">
        <f ca="1">+INDEX($D$101:$D$147,MATCH(E139,$AH$101:$AH$147,0))</f>
        <v>Marruecos</v>
      </c>
      <c r="N139" s="13" t="str">
        <f ca="1">+INDEX($D$101:$D$147,MATCH(F139,$AH$101:$AH$147,0))</f>
        <v>Argentina</v>
      </c>
      <c r="O139" s="13"/>
      <c r="P139" s="13"/>
      <c r="Q139" s="13"/>
      <c r="R139" s="13"/>
      <c r="S139" s="13"/>
      <c r="T139" s="13"/>
      <c r="U139" s="13"/>
      <c r="V139" s="14"/>
      <c r="W139" s="673"/>
      <c r="X139" s="120">
        <f ca="1">Horarios!C139</f>
        <v>46218.625</v>
      </c>
      <c r="Y139" s="121">
        <f ca="1">Horarios!C139</f>
        <v>46218.625</v>
      </c>
      <c r="Z139" s="273">
        <f t="shared" si="326"/>
        <v>102</v>
      </c>
      <c r="AA139" s="136" t="str">
        <f t="shared" ca="1" si="327"/>
        <v>Marruecos</v>
      </c>
      <c r="AB139" s="137"/>
      <c r="AC139" s="97">
        <v>1</v>
      </c>
      <c r="AD139" s="97">
        <v>2</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Bélgica</v>
      </c>
      <c r="E143" s="13">
        <v>101</v>
      </c>
      <c r="F143" s="13">
        <v>102</v>
      </c>
      <c r="G143" s="13"/>
      <c r="H143" s="13"/>
      <c r="I143" s="13"/>
      <c r="J143" s="13">
        <v>103</v>
      </c>
      <c r="K143" s="13">
        <v>46221.875</v>
      </c>
      <c r="L143" s="13" t="s">
        <v>727</v>
      </c>
      <c r="M143" s="13" t="str">
        <f ca="1">+INDEX($D$101:$D$147,MATCH(E143,$AH$101:$AH$147,0))</f>
        <v>Francia</v>
      </c>
      <c r="N143" s="13" t="str">
        <f ca="1">+INDEX($D$101:$D$147,MATCH(F143,$AH$101:$AH$147,0))</f>
        <v>Argentina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Bélgica</v>
      </c>
      <c r="AB143" s="208"/>
      <c r="AC143" s="102">
        <v>3</v>
      </c>
      <c r="AD143" s="102">
        <v>2</v>
      </c>
      <c r="AE143" s="208"/>
      <c r="AF143" s="103" t="str">
        <f ca="1">IF(AND(OR(AC139="",AD139="")),"L102",IF(AC139&gt;AD139,AF139,IF(AC139&lt;AD139,AA139,IF(AND(AC139=AD139,AB139=AE139),"L102",IF(AND(AC139=AD139,OR(AB139="",AE139="")),"L102",IF(AND(AC139=AD139,AB139&gt;AE139),AF139,AA139))))))</f>
        <v>Marruecos</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Argentina</v>
      </c>
      <c r="E147" s="13">
        <v>101</v>
      </c>
      <c r="F147" s="13">
        <v>102</v>
      </c>
      <c r="G147" s="13"/>
      <c r="H147" s="13" t="str">
        <f ca="1">IF(AND(OR(AC147="",AD147="")),"LF",IF(AC147&gt;AD147,AF147,IF(AC147&lt;AD147,AA147,IF(AND(AC147=AD147,AB147=AE147),"LF",IF(AND(AC147=AD147,OR(AB147="",AE147="")),"LF",IF(AND(AC147=AD147,AB147&gt;AE147),AF147,AA147))))))</f>
        <v>Francia</v>
      </c>
      <c r="I147" s="13"/>
      <c r="J147" s="13">
        <v>104</v>
      </c>
      <c r="K147" s="13">
        <v>46222.875</v>
      </c>
      <c r="L147" s="13" t="s">
        <v>728</v>
      </c>
      <c r="M147" s="13" t="str">
        <f ca="1">+INDEX($D$101:$D$147,MATCH(E147,$AH$101:$AH$147,0))</f>
        <v>Francia</v>
      </c>
      <c r="N147" s="13" t="str">
        <f ca="1">+INDEX($D$101:$D$147,MATCH(F147,$AH$101:$AH$147,0))</f>
        <v>Argentina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Francia</v>
      </c>
      <c r="AB147" s="208">
        <v>3</v>
      </c>
      <c r="AC147" s="102">
        <v>2</v>
      </c>
      <c r="AD147" s="102">
        <v>2</v>
      </c>
      <c r="AE147" s="208">
        <v>4</v>
      </c>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Argentina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Francia</v>
      </c>
      <c r="AB151" s="108"/>
      <c r="AC151" s="108"/>
      <c r="AD151" s="108"/>
      <c r="AE151" s="108"/>
      <c r="AF151" s="104"/>
      <c r="AG151" s="315">
        <f ca="1">IF(AA151="LF",0,1)</f>
        <v>1</v>
      </c>
      <c r="AH151" s="180"/>
      <c r="AI151" s="180"/>
      <c r="AJ151" s="681" t="str">
        <f ca="1">IF(SUM(COUNTIF(AG4:AG97,0),COUNTIF(AG101:AG160,0)&gt;0),AL148,AL149)</f>
        <v>PORRA COMPLETA:</v>
      </c>
      <c r="AK151" s="682"/>
      <c r="AL151" s="682"/>
      <c r="AM151" s="682"/>
      <c r="AN151" s="682"/>
      <c r="AO151" s="682"/>
      <c r="AP151" s="682"/>
      <c r="AQ151" s="682"/>
      <c r="AR151" s="682"/>
      <c r="AS151" s="682"/>
      <c r="AT151" s="682"/>
      <c r="AU151" s="683"/>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Bélgica</v>
      </c>
      <c r="AB152" s="107"/>
      <c r="AC152" s="107"/>
      <c r="AD152" s="107"/>
      <c r="AE152" s="107"/>
      <c r="AF152" s="100"/>
      <c r="AG152" s="315">
        <f ca="1">IF(AA152="W34",0,1)</f>
        <v>1</v>
      </c>
      <c r="AH152" s="180"/>
      <c r="AI152" s="180"/>
      <c r="AJ152" s="684"/>
      <c r="AK152" s="685"/>
      <c r="AL152" s="685"/>
      <c r="AM152" s="685"/>
      <c r="AN152" s="685"/>
      <c r="AO152" s="685"/>
      <c r="AP152" s="685"/>
      <c r="AQ152" s="685"/>
      <c r="AR152" s="685"/>
      <c r="AS152" s="685"/>
      <c r="AT152" s="685"/>
      <c r="AU152" s="686"/>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84"/>
      <c r="AK153" s="685"/>
      <c r="AL153" s="685"/>
      <c r="AM153" s="685"/>
      <c r="AN153" s="685"/>
      <c r="AO153" s="685"/>
      <c r="AP153" s="685"/>
      <c r="AQ153" s="685"/>
      <c r="AR153" s="685"/>
      <c r="AS153" s="685"/>
      <c r="AT153" s="685"/>
      <c r="AU153" s="686"/>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1523</v>
      </c>
      <c r="AB154" s="386"/>
      <c r="AC154" s="386"/>
      <c r="AD154" s="386"/>
      <c r="AE154" s="386"/>
      <c r="AF154" s="387"/>
      <c r="AG154" s="315">
        <f>IF(AA154=$AH$154,0,IF(AA154="",0,1))</f>
        <v>1</v>
      </c>
      <c r="AH154" s="191" t="str">
        <f>Idiomas!D43</f>
        <v>Escribe un jugador</v>
      </c>
      <c r="AI154" s="180"/>
      <c r="AJ154" s="684"/>
      <c r="AK154" s="685"/>
      <c r="AL154" s="685"/>
      <c r="AM154" s="685"/>
      <c r="AN154" s="685"/>
      <c r="AO154" s="685"/>
      <c r="AP154" s="685"/>
      <c r="AQ154" s="685"/>
      <c r="AR154" s="685"/>
      <c r="AS154" s="685"/>
      <c r="AT154" s="685"/>
      <c r="AU154" s="686"/>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48" t="str">
        <f ca="1">IF(SUM(COUNTIF(AG4:AG97,0),COUNTIF(AG101:AG160,0)&gt;0),AM148,AM149)</f>
        <v>Guarda el archivo y envialo al administrador de tu porra</v>
      </c>
      <c r="AK155" s="649"/>
      <c r="AL155" s="649"/>
      <c r="AM155" s="649"/>
      <c r="AN155" s="649"/>
      <c r="AO155" s="649"/>
      <c r="AP155" s="649"/>
      <c r="AQ155" s="649"/>
      <c r="AR155" s="649"/>
      <c r="AS155" s="649"/>
      <c r="AT155" s="649"/>
      <c r="AU155" s="650"/>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1523</v>
      </c>
      <c r="AB156" s="390"/>
      <c r="AC156" s="390"/>
      <c r="AD156" s="390"/>
      <c r="AE156" s="390"/>
      <c r="AF156" s="391"/>
      <c r="AG156" s="315">
        <f>IF(AA156=$AH$154,0,IF(AA156="",0,1))</f>
        <v>1</v>
      </c>
      <c r="AH156" s="180"/>
      <c r="AI156" s="180"/>
      <c r="AJ156" s="648"/>
      <c r="AK156" s="649"/>
      <c r="AL156" s="649"/>
      <c r="AM156" s="649"/>
      <c r="AN156" s="649"/>
      <c r="AO156" s="649"/>
      <c r="AP156" s="649"/>
      <c r="AQ156" s="649"/>
      <c r="AR156" s="649"/>
      <c r="AS156" s="649"/>
      <c r="AT156" s="649"/>
      <c r="AU156" s="650"/>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1"/>
      <c r="AK157" s="652"/>
      <c r="AL157" s="652"/>
      <c r="AM157" s="652"/>
      <c r="AN157" s="652"/>
      <c r="AO157" s="652"/>
      <c r="AP157" s="652"/>
      <c r="AQ157" s="652"/>
      <c r="AR157" s="652"/>
      <c r="AS157" s="652"/>
      <c r="AT157" s="652"/>
      <c r="AU157" s="653"/>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1524</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1524</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1524</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98" t="s">
        <v>1521</v>
      </c>
      <c r="X162" s="699"/>
      <c r="Y162" s="699"/>
      <c r="Z162" s="699"/>
      <c r="AA162" s="693" t="s">
        <v>1517</v>
      </c>
      <c r="AB162" s="693"/>
      <c r="AC162" s="693"/>
      <c r="AD162" s="693"/>
      <c r="AE162" s="693"/>
      <c r="AF162" s="693"/>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04" t="s">
        <v>1516</v>
      </c>
      <c r="X163" s="705"/>
      <c r="Y163" s="705"/>
      <c r="Z163" s="705"/>
      <c r="AA163" s="702" t="s">
        <v>1517</v>
      </c>
      <c r="AB163" s="702"/>
      <c r="AC163" s="702"/>
      <c r="AD163" s="702"/>
      <c r="AE163" s="702"/>
      <c r="AF163" s="703"/>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96" t="s">
        <v>1518</v>
      </c>
      <c r="X164" s="697"/>
      <c r="Y164" s="697"/>
      <c r="Z164" s="697"/>
      <c r="AA164" s="694" t="s">
        <v>1517</v>
      </c>
      <c r="AB164" s="694"/>
      <c r="AC164" s="694"/>
      <c r="AD164" s="694"/>
      <c r="AE164" s="694"/>
      <c r="AF164" s="695"/>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98" t="s">
        <v>1519</v>
      </c>
      <c r="X166" s="699"/>
      <c r="Y166" s="699"/>
      <c r="Z166" s="699"/>
      <c r="AA166" s="693" t="s">
        <v>1517</v>
      </c>
      <c r="AB166" s="693"/>
      <c r="AC166" s="693"/>
      <c r="AD166" s="693"/>
      <c r="AE166" s="693"/>
      <c r="AF166" s="693"/>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0" t="s">
        <v>1520</v>
      </c>
      <c r="X167" s="701"/>
      <c r="Y167" s="701"/>
      <c r="Z167" s="701"/>
      <c r="AA167" s="694" t="s">
        <v>1517</v>
      </c>
      <c r="AB167" s="694"/>
      <c r="AC167" s="694"/>
      <c r="AD167" s="694"/>
      <c r="AE167" s="694"/>
      <c r="AF167" s="695"/>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95" customHeight="1" thickBot="1">
      <c r="A2" s="279"/>
      <c r="B2" s="280"/>
      <c r="C2" s="280"/>
      <c r="D2" s="356"/>
      <c r="E2" s="730"/>
      <c r="F2" s="730"/>
      <c r="G2" s="730"/>
      <c r="H2" s="730"/>
      <c r="I2" s="730"/>
      <c r="J2" s="730"/>
      <c r="K2" s="730"/>
      <c r="L2" s="730"/>
      <c r="M2" s="730"/>
      <c r="N2" s="730"/>
    </row>
    <row r="3" spans="1:14" ht="34.950000000000003"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05" customHeight="1">
      <c r="A5" s="341"/>
      <c r="B5" s="342" t="str">
        <f>Idiomas!D125</f>
        <v>FASE DE GRUPOS</v>
      </c>
      <c r="C5" s="334" t="str">
        <f>Home!C10</f>
        <v>Andres Velasquezs</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1|2-0</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1|3-1</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2|1-2</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2|0-2</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2|0-1</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2|1-2</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X|1-1</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1|2-0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2|1-3</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2|1-3</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1|2-1</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1|2-0</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X|0-0</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2|1-2</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1|4-1</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2|1-4</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1|2-0</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X|1-1</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1|3-1</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2|0-2</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2|1-2</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X|2-2</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X|1-1</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2|0-2</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1|2-0</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X|1-1</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2|1-3</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X|2-2</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1|3-2</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X|1-1</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1|3-0</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1|2-1</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1|2-1</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1|3-1</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X|2-2</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1|3-0</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2|1-3</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1|3-0</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1|3-1</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1|3-2</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2|1-3</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2|1-2</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1|1-0</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1|2-0</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X|1-1</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2|0-3</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1|2-0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2|1-2</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1|2-1</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2|1-2</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X|2-2</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2|1-3</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2|1-2</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1|2-1</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2|1-2</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2|0-2</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2|1-3</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2|1-3</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1|2-0</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1|2-0</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2|0-1</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X|2-2</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2|1-2</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2|1-3</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05"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Corea del Sur</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México</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Sudáfrica</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República Checa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Suiza</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Canadá</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Catar</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Bosnia y Herzegovina</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Marruecos</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Brasil</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Paraguay</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Estados Unidos</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Turquía</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Australia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Ecuador</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Alemania</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Costa de Marfil</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Países Bajos</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Suecia</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Japón</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Nueva Zelanda</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Egipto</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Irán</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Arabia Saudita</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Cabo Verde</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Francia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Noruega</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Senegal</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Argelia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Jordania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Austria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Portugal</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Colombia</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Uzbekistán</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RD Congo</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Croacia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Inglaterra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Ghana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Panamá</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05"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México</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Marruecos</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Ecuador</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Países Bajos</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Alemania</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Francia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Corea del Sur</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Croacia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Paraguay</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Colombia</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Suiza</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Estados Unidos</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Portugal</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Canadá</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Suecia</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Escocia</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Brasil</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Noruega</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Japón</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Arabia Saudita</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Uzbekistán</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Sudáfrica</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Costa de Marfil</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Argelia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Inglaterra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Egipto</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Nueva Zelanda</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Senegal</v>
      </c>
      <c r="D161" s="723"/>
      <c r="E161" s="360"/>
      <c r="F161" s="360"/>
      <c r="G161" s="360"/>
      <c r="H161" s="360"/>
      <c r="I161" s="370"/>
      <c r="J161" s="371"/>
      <c r="K161" s="360"/>
      <c r="L161" s="360"/>
      <c r="M161" s="372"/>
      <c r="N161" s="365"/>
    </row>
    <row r="162" spans="1:14" ht="19.95"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5"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México-Canadá</v>
      </c>
      <c r="C164" s="337" t="str">
        <f ca="1">CONCATENATE(WORLDCUP!AA101,"-",WORLDCUP!AF101,"·",IF(WORLDCUP!AC101&gt;WORLDCUP!AD101,1,IF(WORLDCUP!AC101&lt;WORLDCUP!AD101,2,IF(AND(WORLDCUP!AC101=WORLDCUP!AD101,WORLDCUP!AC101&lt;&gt;"",WORLDCUP!AD101&lt;&gt;""),"X",0))),"|",WORLDCUP!AC101,"-",WORLDCUP!AD101)</f>
        <v>México-Canadá·2|2-3</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Marruecos-Suecia</v>
      </c>
      <c r="C165" s="337" t="str">
        <f ca="1">CONCATENATE(WORLDCUP!AA102,"-",WORLDCUP!AF102,"·",IF(WORLDCUP!AC102&gt;WORLDCUP!AD102,1,IF(WORLDCUP!AC102&lt;WORLDCUP!AD102,2,IF(AND(WORLDCUP!AC102=WORLDCUP!AD102,WORLDCUP!AC102&lt;&gt;"",WORLDCUP!AD102&lt;&gt;""),"X",0))),"|",WORLDCUP!AC102,"-",WORLDCUP!AD102)</f>
        <v>Marruecos-Suecia·1|2-0</v>
      </c>
      <c r="D165" s="721"/>
      <c r="E165" s="740"/>
      <c r="F165" s="740"/>
      <c r="G165" s="740"/>
      <c r="H165" s="740"/>
      <c r="I165" s="340"/>
      <c r="J165" s="358"/>
      <c r="K165" s="358"/>
      <c r="L165" s="358"/>
      <c r="M165" s="374"/>
      <c r="N165" s="365"/>
    </row>
    <row r="166" spans="1:14" ht="15" customHeight="1">
      <c r="A166" s="719"/>
      <c r="B166" s="348" t="str">
        <f ca="1">CONCATENATE(WORLDCUP!AA103,"-",WORLDCUP!AF103)</f>
        <v>Ecuador-Escocia</v>
      </c>
      <c r="C166" s="337" t="str">
        <f ca="1">CONCATENATE(WORLDCUP!AA103,"-",WORLDCUP!AF103,"·",IF(WORLDCUP!AC103&gt;WORLDCUP!AD103,1,IF(WORLDCUP!AC103&lt;WORLDCUP!AD103,2,IF(AND(WORLDCUP!AC103=WORLDCUP!AD103,WORLDCUP!AC103&lt;&gt;"",WORLDCUP!AD103&lt;&gt;""),"X",0))),"|",WORLDCUP!AC103,"-",WORLDCUP!AD103)</f>
        <v>Ecuador-Escocia·1|3-1</v>
      </c>
      <c r="D166" s="721"/>
      <c r="E166" s="740"/>
      <c r="F166" s="740"/>
      <c r="G166" s="740"/>
      <c r="H166" s="740"/>
      <c r="I166" s="340"/>
      <c r="J166" s="358"/>
      <c r="K166" s="358"/>
      <c r="L166" s="358"/>
      <c r="M166" s="374"/>
      <c r="N166" s="365"/>
    </row>
    <row r="167" spans="1:14" ht="15" customHeight="1">
      <c r="A167" s="719"/>
      <c r="B167" s="348" t="str">
        <f ca="1">CONCATENATE(WORLDCUP!AA104,"-",WORLDCUP!AF104)</f>
        <v>Países Bajos-Brasil</v>
      </c>
      <c r="C167" s="337" t="str">
        <f ca="1">CONCATENATE(WORLDCUP!AA104,"-",WORLDCUP!AF104,"·",IF(WORLDCUP!AC104&gt;WORLDCUP!AD104,1,IF(WORLDCUP!AC104&lt;WORLDCUP!AD104,2,IF(AND(WORLDCUP!AC104=WORLDCUP!AD104,WORLDCUP!AC104&lt;&gt;"",WORLDCUP!AD104&lt;&gt;""),"X",0))),"|",WORLDCUP!AC104,"-",WORLDCUP!AD104)</f>
        <v>Países Bajos-Brasil·2|0-2</v>
      </c>
      <c r="D167" s="721"/>
      <c r="E167" s="740"/>
      <c r="F167" s="740"/>
      <c r="G167" s="740"/>
      <c r="H167" s="740"/>
      <c r="I167" s="340"/>
      <c r="J167" s="358"/>
      <c r="K167" s="358"/>
      <c r="L167" s="358"/>
      <c r="M167" s="374"/>
      <c r="N167" s="365"/>
    </row>
    <row r="168" spans="1:14" ht="15" customHeight="1">
      <c r="A168" s="719"/>
      <c r="B168" s="348" t="str">
        <f ca="1">CONCATENATE(WORLDCUP!AA105,"-",WORLDCUP!AF105)</f>
        <v>Alemania-Noruega</v>
      </c>
      <c r="C168" s="337" t="str">
        <f ca="1">CONCATENATE(WORLDCUP!AA105,"-",WORLDCUP!AF105,"·",IF(WORLDCUP!AC105&gt;WORLDCUP!AD105,1,IF(WORLDCUP!AC105&lt;WORLDCUP!AD105,2,IF(AND(WORLDCUP!AC105=WORLDCUP!AD105,WORLDCUP!AC105&lt;&gt;"",WORLDCUP!AD105&lt;&gt;""),"X",0))),"|",WORLDCUP!AC105,"-",WORLDCUP!AD105)</f>
        <v>Alemania-Noruega·X|2-2</v>
      </c>
      <c r="D168" s="721"/>
      <c r="E168" s="358"/>
      <c r="F168" s="358"/>
      <c r="G168" s="358"/>
      <c r="H168" s="358"/>
      <c r="I168" s="340"/>
      <c r="J168" s="358"/>
      <c r="K168" s="358"/>
      <c r="L168" s="358"/>
      <c r="M168" s="374"/>
      <c r="N168" s="365"/>
    </row>
    <row r="169" spans="1:14" ht="15" customHeight="1">
      <c r="A169" s="719"/>
      <c r="B169" s="348" t="str">
        <f ca="1">CONCATENATE(WORLDCUP!AA106,"-",WORLDCUP!AF106)</f>
        <v>Francia-Japón</v>
      </c>
      <c r="C169" s="337" t="str">
        <f ca="1">CONCATENATE(WORLDCUP!AA106,"-",WORLDCUP!AF106,"·",IF(WORLDCUP!AC106&gt;WORLDCUP!AD106,1,IF(WORLDCUP!AC106&lt;WORLDCUP!AD106,2,IF(AND(WORLDCUP!AC106=WORLDCUP!AD106,WORLDCUP!AC106&lt;&gt;"",WORLDCUP!AD106&lt;&gt;""),"X",0))),"|",WORLDCUP!AC106,"-",WORLDCUP!AD106)</f>
        <v>Francia-Japón·1|3-0</v>
      </c>
      <c r="D169" s="721"/>
      <c r="E169" s="358"/>
      <c r="F169" s="358"/>
      <c r="G169" s="358"/>
      <c r="H169" s="358"/>
      <c r="I169" s="340"/>
      <c r="J169" s="358"/>
      <c r="K169" s="358"/>
      <c r="L169" s="358"/>
      <c r="M169" s="374"/>
      <c r="N169" s="365"/>
    </row>
    <row r="170" spans="1:14" ht="15" customHeight="1">
      <c r="A170" s="719"/>
      <c r="B170" s="348" t="str">
        <f ca="1">CONCATENATE(WORLDCUP!AA107,"-",WORLDCUP!AF107)</f>
        <v>Corea del Sur-Arabia Saudita</v>
      </c>
      <c r="C170" s="337" t="str">
        <f ca="1">CONCATENATE(WORLDCUP!AA107,"-",WORLDCUP!AF107,"·",IF(WORLDCUP!AC107&gt;WORLDCUP!AD107,1,IF(WORLDCUP!AC107&lt;WORLDCUP!AD107,2,IF(AND(WORLDCUP!AC107=WORLDCUP!AD107,WORLDCUP!AC107&lt;&gt;"",WORLDCUP!AD107&lt;&gt;""),"X",0))),"|",WORLDCUP!AC107,"-",WORLDCUP!AD107)</f>
        <v>Corea del Sur-Arabia Saudita·1|2-0</v>
      </c>
      <c r="D170" s="721"/>
      <c r="E170" s="358"/>
      <c r="F170" s="358"/>
      <c r="G170" s="358"/>
      <c r="H170" s="358"/>
      <c r="I170" s="340"/>
      <c r="J170" s="358"/>
      <c r="K170" s="358"/>
      <c r="L170" s="358"/>
      <c r="M170" s="374"/>
      <c r="N170" s="365"/>
    </row>
    <row r="171" spans="1:14" ht="15" customHeight="1">
      <c r="A171" s="719"/>
      <c r="B171" s="348" t="str">
        <f ca="1">CONCATENATE(WORLDCUP!AA108,"-",WORLDCUP!AF108)</f>
        <v>Croacia-Uzbekistán</v>
      </c>
      <c r="C171" s="337" t="str">
        <f ca="1">CONCATENATE(WORLDCUP!AA108,"-",WORLDCUP!AF108,"·",IF(WORLDCUP!AC108&gt;WORLDCUP!AD108,1,IF(WORLDCUP!AC108&lt;WORLDCUP!AD108,2,IF(AND(WORLDCUP!AC108=WORLDCUP!AD108,WORLDCUP!AC108&lt;&gt;"",WORLDCUP!AD108&lt;&gt;""),"X",0))),"|",WORLDCUP!AC108,"-",WORLDCUP!AD108)</f>
        <v>Croacia-Uzbekistán·1|3-0</v>
      </c>
      <c r="D171" s="721"/>
      <c r="E171" s="358"/>
      <c r="F171" s="358"/>
      <c r="G171" s="358"/>
      <c r="H171" s="358"/>
      <c r="I171" s="340"/>
      <c r="J171" s="358"/>
      <c r="K171" s="358"/>
      <c r="L171" s="358"/>
      <c r="M171" s="374"/>
      <c r="N171" s="365"/>
    </row>
    <row r="172" spans="1:14" ht="15" customHeight="1">
      <c r="A172" s="719"/>
      <c r="B172" s="348" t="str">
        <f ca="1">CONCATENATE(WORLDCUP!AA109,"-",WORLDCUP!AF109)</f>
        <v>Bélgica-Sudáfrica</v>
      </c>
      <c r="C172" s="337" t="str">
        <f ca="1">CONCATENATE(WORLDCUP!AA109,"-",WORLDCUP!AF109,"·",IF(WORLDCUP!AC109&gt;WORLDCUP!AD109,1,IF(WORLDCUP!AC109&lt;WORLDCUP!AD109,2,IF(AND(WORLDCUP!AC109=WORLDCUP!AD109,WORLDCUP!AC109&lt;&gt;"",WORLDCUP!AD109&lt;&gt;""),"X",0))),"|",WORLDCUP!AC109,"-",WORLDCUP!AD109)</f>
        <v>Bélgica-Sudáfrica·1|3-1</v>
      </c>
      <c r="D172" s="721"/>
      <c r="E172" s="358"/>
      <c r="F172" s="358"/>
      <c r="G172" s="358"/>
      <c r="H172" s="358"/>
      <c r="I172" s="340"/>
      <c r="J172" s="358"/>
      <c r="K172" s="358"/>
      <c r="L172" s="358"/>
      <c r="M172" s="374"/>
      <c r="N172" s="365"/>
    </row>
    <row r="173" spans="1:14" ht="15" customHeight="1">
      <c r="A173" s="719"/>
      <c r="B173" s="348" t="str">
        <f ca="1">CONCATENATE(WORLDCUP!AA110,"-",WORLDCUP!AF110)</f>
        <v>Paraguay-Costa de Marfil</v>
      </c>
      <c r="C173" s="337" t="str">
        <f ca="1">CONCATENATE(WORLDCUP!AA110,"-",WORLDCUP!AF110,"·",IF(WORLDCUP!AC110&gt;WORLDCUP!AD110,1,IF(WORLDCUP!AC110&lt;WORLDCUP!AD110,2,IF(AND(WORLDCUP!AC110=WORLDCUP!AD110,WORLDCUP!AC110&lt;&gt;"",WORLDCUP!AD110&lt;&gt;""),"X",0))),"|",WORLDCUP!AC110,"-",WORLDCUP!AD110)</f>
        <v>Paraguay-Costa de Marfil·1|2-0</v>
      </c>
      <c r="D173" s="721"/>
      <c r="E173" s="358"/>
      <c r="F173" s="358"/>
      <c r="G173" s="358"/>
      <c r="H173" s="358"/>
      <c r="I173" s="340"/>
      <c r="J173" s="358"/>
      <c r="K173" s="358"/>
      <c r="L173" s="358"/>
      <c r="M173" s="374"/>
      <c r="N173" s="365"/>
    </row>
    <row r="174" spans="1:14" ht="15" customHeight="1">
      <c r="A174" s="719"/>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España-Argelia·1|2-1</v>
      </c>
      <c r="D174" s="721"/>
      <c r="E174" s="358"/>
      <c r="F174" s="358"/>
      <c r="G174" s="358"/>
      <c r="H174" s="358"/>
      <c r="I174" s="340"/>
      <c r="J174" s="358"/>
      <c r="K174" s="358"/>
      <c r="L174" s="358"/>
      <c r="M174" s="374"/>
      <c r="N174" s="365"/>
    </row>
    <row r="175" spans="1:14" ht="15" customHeight="1">
      <c r="A175" s="719"/>
      <c r="B175" s="348" t="str">
        <f ca="1">CONCATENATE(WORLDCUP!AA112,"-",WORLDCUP!AF112)</f>
        <v>Colombia-Inglaterra</v>
      </c>
      <c r="C175" s="337" t="str">
        <f ca="1">CONCATENATE(WORLDCUP!AA112,"-",WORLDCUP!AF112,"·",IF(WORLDCUP!AC112&gt;WORLDCUP!AD112,1,IF(WORLDCUP!AC112&lt;WORLDCUP!AD112,2,IF(AND(WORLDCUP!AC112=WORLDCUP!AD112,WORLDCUP!AC112&lt;&gt;"",WORLDCUP!AD112&lt;&gt;""),"X",0))),"|",WORLDCUP!AC112,"-",WORLDCUP!AD112)</f>
        <v>Colombia-Inglaterra·2|2-3</v>
      </c>
      <c r="D175" s="721"/>
      <c r="E175" s="358"/>
      <c r="F175" s="358"/>
      <c r="G175" s="358"/>
      <c r="H175" s="358"/>
      <c r="I175" s="340"/>
      <c r="J175" s="358"/>
      <c r="K175" s="358"/>
      <c r="L175" s="358"/>
      <c r="M175" s="374"/>
      <c r="N175" s="365"/>
    </row>
    <row r="176" spans="1:14" ht="15" customHeight="1">
      <c r="A176" s="719"/>
      <c r="B176" s="348" t="str">
        <f ca="1">CONCATENATE(WORLDCUP!AA113,"-",WORLDCUP!AF113)</f>
        <v>Suiza-Egipto</v>
      </c>
      <c r="C176" s="337" t="str">
        <f ca="1">CONCATENATE(WORLDCUP!AA113,"-",WORLDCUP!AF113,"·",IF(WORLDCUP!AC113&gt;WORLDCUP!AD113,1,IF(WORLDCUP!AC113&lt;WORLDCUP!AD113,2,IF(AND(WORLDCUP!AC113=WORLDCUP!AD113,WORLDCUP!AC113&lt;&gt;"",WORLDCUP!AD113&lt;&gt;""),"X",0))),"|",WORLDCUP!AC113,"-",WORLDCUP!AD113)</f>
        <v>Suiza-Egipto·1|3-1</v>
      </c>
      <c r="D176" s="721"/>
      <c r="E176" s="358"/>
      <c r="F176" s="358"/>
      <c r="G176" s="358"/>
      <c r="H176" s="358"/>
      <c r="I176" s="340"/>
      <c r="J176" s="358"/>
      <c r="K176" s="358"/>
      <c r="L176" s="358"/>
      <c r="M176" s="374"/>
      <c r="N176" s="365"/>
    </row>
    <row r="177" spans="1:14" ht="15" customHeight="1">
      <c r="A177" s="719"/>
      <c r="B177" s="348" t="str">
        <f ca="1">CONCATENATE(WORLDCUP!AA114,"-",WORLDCUP!AF114)</f>
        <v>Estados Unidos-Nueva Zelanda</v>
      </c>
      <c r="C177" s="337" t="str">
        <f ca="1">CONCATENATE(WORLDCUP!AA114,"-",WORLDCUP!AF114,"·",IF(WORLDCUP!AC114&gt;WORLDCUP!AD114,1,IF(WORLDCUP!AC114&lt;WORLDCUP!AD114,2,IF(AND(WORLDCUP!AC114=WORLDCUP!AD114,WORLDCUP!AC114&lt;&gt;"",WORLDCUP!AD114&lt;&gt;""),"X",0))),"|",WORLDCUP!AC114,"-",WORLDCUP!AD114)</f>
        <v>Estados Unidos-Nueva Zelanda·1|2-0</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Argentina-Uruguay·1|2-0</v>
      </c>
      <c r="D178" s="721"/>
      <c r="E178" s="358"/>
      <c r="F178" s="358"/>
      <c r="G178" s="358"/>
      <c r="H178" s="358"/>
      <c r="I178" s="340"/>
      <c r="J178" s="358"/>
      <c r="K178" s="358"/>
      <c r="L178" s="358"/>
      <c r="M178" s="374"/>
      <c r="N178" s="365"/>
    </row>
    <row r="179" spans="1:14" ht="15" customHeight="1">
      <c r="A179" s="719"/>
      <c r="B179" s="348" t="str">
        <f ca="1">CONCATENATE(WORLDCUP!AA116,"-",WORLDCUP!AF116)</f>
        <v>Portugal-Senegal</v>
      </c>
      <c r="C179" s="337" t="str">
        <f ca="1">CONCATENATE(WORLDCUP!AA116,"-",WORLDCUP!AF116,"·",IF(WORLDCUP!AC116&gt;WORLDCUP!AD116,1,IF(WORLDCUP!AC116&lt;WORLDCUP!AD116,2,IF(AND(WORLDCUP!AC116=WORLDCUP!AD116,WORLDCUP!AC116&lt;&gt;"",WORLDCUP!AD116&lt;&gt;""),"X",0))),"|",WORLDCUP!AC116,"-",WORLDCUP!AD116)</f>
        <v>Portugal-Senegal·1|3-1</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05"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Canadá</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Ecuador</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Marruecos</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Corea del Sur</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Inglaterra</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Paraguay</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Suiza</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Brasil</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Francia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Alemania</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Croacia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Estados Unidos</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Portugal</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Canadá-Brasil</v>
      </c>
      <c r="C200" s="339" t="str">
        <f ca="1">CONCATENATE(WORLDCUP!AA120,"-",WORLDCUP!AF120,"·",IF(WORLDCUP!AC120&gt;WORLDCUP!AD120,1,IF(WORLDCUP!AC120&lt;WORLDCUP!AD120,2,IF(AND(WORLDCUP!AC120=WORLDCUP!AD120,WORLDCUP!AC120&lt;&gt;"",WORLDCUP!AD120&lt;&gt;""),"X",0))),"|",WORLDCUP!AC120,"-",WORLDCUP!AD120)</f>
        <v>Canadá-Brasil·X|2-2</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Ecuador-Francia</v>
      </c>
      <c r="C201" s="339" t="str">
        <f ca="1">CONCATENATE(WORLDCUP!AA121,"-",WORLDCUP!AF121,"·",IF(WORLDCUP!AC121&gt;WORLDCUP!AD121,1,IF(WORLDCUP!AC121&lt;WORLDCUP!AD121,2,IF(AND(WORLDCUP!AC121=WORLDCUP!AD121,WORLDCUP!AC121&lt;&gt;"",WORLDCUP!AD121&lt;&gt;""),"X",0))),"|",WORLDCUP!AC121,"-",WORLDCUP!AD121)</f>
        <v>Ecuador-Francia·2|2-4</v>
      </c>
      <c r="D201" s="720"/>
      <c r="E201" s="715"/>
      <c r="F201" s="715"/>
      <c r="G201" s="715"/>
      <c r="H201" s="715"/>
      <c r="I201" s="340"/>
      <c r="J201" s="358"/>
      <c r="K201" s="358"/>
      <c r="L201" s="358"/>
      <c r="M201" s="374"/>
      <c r="N201" s="365"/>
    </row>
    <row r="202" spans="1:14" ht="15" customHeight="1">
      <c r="A202" s="719"/>
      <c r="B202" s="349" t="str">
        <f ca="1">CONCATENATE(WORLDCUP!AA122,"-",WORLDCUP!AF122)</f>
        <v>Marruecos-Alemania</v>
      </c>
      <c r="C202" s="339" t="str">
        <f ca="1">CONCATENATE(WORLDCUP!AA122,"-",WORLDCUP!AF122,"·",IF(WORLDCUP!AC122&gt;WORLDCUP!AD122,1,IF(WORLDCUP!AC122&lt;WORLDCUP!AD122,2,IF(AND(WORLDCUP!AC122=WORLDCUP!AD122,WORLDCUP!AC122&lt;&gt;"",WORLDCUP!AD122&lt;&gt;""),"X",0))),"|",WORLDCUP!AC122,"-",WORLDCUP!AD122)</f>
        <v>Marruecos-Alemania·1|2-1</v>
      </c>
      <c r="D202" s="720"/>
      <c r="E202" s="715"/>
      <c r="F202" s="715"/>
      <c r="G202" s="715"/>
      <c r="H202" s="715"/>
      <c r="I202" s="340"/>
      <c r="J202" s="358"/>
      <c r="K202" s="358"/>
      <c r="L202" s="358"/>
      <c r="M202" s="374"/>
      <c r="N202" s="365"/>
    </row>
    <row r="203" spans="1:14" ht="15" customHeight="1">
      <c r="A203" s="719"/>
      <c r="B203" s="349" t="str">
        <f ca="1">CONCATENATE(WORLDCUP!AA123,"-",WORLDCUP!AF123)</f>
        <v>Corea del Sur-Croacia</v>
      </c>
      <c r="C203" s="339" t="str">
        <f ca="1">CONCATENATE(WORLDCUP!AA123,"-",WORLDCUP!AF123,"·",IF(WORLDCUP!AC123&gt;WORLDCUP!AD123,1,IF(WORLDCUP!AC123&lt;WORLDCUP!AD123,2,IF(AND(WORLDCUP!AC123=WORLDCUP!AD123,WORLDCUP!AC123&lt;&gt;"",WORLDCUP!AD123&lt;&gt;""),"X",0))),"|",WORLDCUP!AC123,"-",WORLDCUP!AD123)</f>
        <v>Corea del Sur-Croacia·2|1-2</v>
      </c>
      <c r="D203" s="720"/>
      <c r="E203" s="715"/>
      <c r="F203" s="715"/>
      <c r="G203" s="715"/>
      <c r="H203" s="715"/>
      <c r="I203" s="340"/>
      <c r="J203" s="358"/>
      <c r="K203" s="358"/>
      <c r="L203" s="358"/>
      <c r="M203" s="374"/>
      <c r="N203" s="365"/>
    </row>
    <row r="204" spans="1:14" ht="15" customHeight="1">
      <c r="A204" s="719"/>
      <c r="B204" s="349" t="str">
        <f ca="1">CONCATENATE(WORLDCUP!AA124,"-",WORLDCUP!AF124)</f>
        <v>Inglaterra-España</v>
      </c>
      <c r="C204" s="339" t="str">
        <f ca="1">CONCATENATE(WORLDCUP!AA124,"-",WORLDCUP!AF124,"·",IF(WORLDCUP!AC124&gt;WORLDCUP!AD124,1,IF(WORLDCUP!AC124&lt;WORLDCUP!AD124,2,IF(AND(WORLDCUP!AC124=WORLDCUP!AD124,WORLDCUP!AC124&lt;&gt;"",WORLDCUP!AD124&lt;&gt;""),"X",0))),"|",WORLDCUP!AC124,"-",WORLDCUP!AD124)</f>
        <v>Inglaterra-España·2|2-3</v>
      </c>
      <c r="D204" s="720"/>
      <c r="E204" s="340"/>
      <c r="F204" s="340"/>
      <c r="G204" s="340"/>
      <c r="H204" s="340"/>
      <c r="I204" s="340"/>
      <c r="J204" s="358"/>
      <c r="K204" s="358"/>
      <c r="L204" s="358"/>
      <c r="M204" s="374"/>
      <c r="N204" s="365"/>
    </row>
    <row r="205" spans="1:14" ht="15" customHeight="1">
      <c r="A205" s="719"/>
      <c r="B205" s="349" t="str">
        <f ca="1">CONCATENATE(WORLDCUP!AA125,"-",WORLDCUP!AF125)</f>
        <v>Paraguay-Bélgica</v>
      </c>
      <c r="C205" s="339" t="str">
        <f ca="1">CONCATENATE(WORLDCUP!AA125,"-",WORLDCUP!AF125,"·",IF(WORLDCUP!AC125&gt;WORLDCUP!AD125,1,IF(WORLDCUP!AC125&lt;WORLDCUP!AD125,2,IF(AND(WORLDCUP!AC125=WORLDCUP!AD125,WORLDCUP!AC125&lt;&gt;"",WORLDCUP!AD125&lt;&gt;""),"X",0))),"|",WORLDCUP!AC125,"-",WORLDCUP!AD125)</f>
        <v>Paraguay-Bélgica·2|1-2</v>
      </c>
      <c r="D205" s="720"/>
      <c r="E205" s="340"/>
      <c r="F205" s="340"/>
      <c r="G205" s="340"/>
      <c r="H205" s="340"/>
      <c r="I205" s="340"/>
      <c r="J205" s="358"/>
      <c r="K205" s="358"/>
      <c r="L205" s="358"/>
      <c r="M205" s="374"/>
      <c r="N205" s="365"/>
    </row>
    <row r="206" spans="1:14" ht="15" customHeight="1">
      <c r="A206" s="719"/>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Unidos·1|3-1</v>
      </c>
      <c r="D206" s="720"/>
      <c r="E206" s="340"/>
      <c r="F206" s="340"/>
      <c r="G206" s="340"/>
      <c r="H206" s="340"/>
      <c r="I206" s="340"/>
      <c r="J206" s="358"/>
      <c r="K206" s="358"/>
      <c r="L206" s="358"/>
      <c r="M206" s="374"/>
      <c r="N206" s="365"/>
    </row>
    <row r="207" spans="1:14" ht="15" customHeight="1">
      <c r="A207" s="719"/>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Suiza-Portugal·2|1-3</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05"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Francia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España</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Marruecos</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Brasil</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Croacia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Portugal</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Francia-Brasil</v>
      </c>
      <c r="C220" s="337" t="str">
        <f ca="1">CONCATENATE(WORLDCUP!AA131,"-",WORLDCUP!AF131,"·",IF(WORLDCUP!AC131&gt;WORLDCUP!AD131,1,IF(WORLDCUP!AC131&lt;WORLDCUP!AD131,2,IF(AND(WORLDCUP!AC131=WORLDCUP!AD131,WORLDCUP!AC131&lt;&gt;"",WORLDCUP!AD131&lt;&gt;""),"X",0))),"|",WORLDCUP!AC131,"-",WORLDCUP!AD131)</f>
        <v>Francia-Brasil·1|3-1</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España-Bélgica·X|2-2</v>
      </c>
      <c r="D221" s="721"/>
      <c r="E221" s="715"/>
      <c r="F221" s="715"/>
      <c r="G221" s="715"/>
      <c r="H221" s="715"/>
      <c r="I221" s="340"/>
      <c r="J221" s="358"/>
      <c r="K221" s="358"/>
      <c r="L221" s="358"/>
      <c r="M221" s="374"/>
      <c r="N221" s="365"/>
    </row>
    <row r="222" spans="1:14" ht="15" customHeight="1">
      <c r="A222" s="719"/>
      <c r="B222" s="348" t="str">
        <f ca="1">CONCATENATE(WORLDCUP!AA133,"-",WORLDCUP!AF133)</f>
        <v>Marruecos-Croacia</v>
      </c>
      <c r="C222" s="337" t="str">
        <f ca="1">CONCATENATE(WORLDCUP!AA133,"-",WORLDCUP!AF133,"·",IF(WORLDCUP!AC133&gt;WORLDCUP!AD133,1,IF(WORLDCUP!AC133&lt;WORLDCUP!AD133,2,IF(AND(WORLDCUP!AC133=WORLDCUP!AD133,WORLDCUP!AC133&lt;&gt;"",WORLDCUP!AD133&lt;&gt;""),"X",0))),"|",WORLDCUP!AC133,"-",WORLDCUP!AD133)</f>
        <v>Marruecos-Croacia·1|3-2</v>
      </c>
      <c r="D222" s="721"/>
      <c r="E222" s="715"/>
      <c r="F222" s="715"/>
      <c r="G222" s="715"/>
      <c r="H222" s="715"/>
      <c r="I222" s="340"/>
      <c r="J222" s="358"/>
      <c r="K222" s="358"/>
      <c r="L222" s="358"/>
      <c r="M222" s="374"/>
      <c r="N222" s="365"/>
    </row>
    <row r="223" spans="1:14" ht="15" customHeight="1">
      <c r="A223" s="719"/>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Argentina-Portugal·X|2-2</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Francia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Marruecos</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Bélgica</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Argentina</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Francia-Bélgica</v>
      </c>
      <c r="C232" s="339" t="str">
        <f ca="1">CONCATENATE(WORLDCUP!AA138,"-",WORLDCUP!AF138,"·",IF(WORLDCUP!AC138&gt;WORLDCUP!AD138,1,IF(WORLDCUP!AC138&lt;WORLDCUP!AD138,2,IF(AND(WORLDCUP!AC138=WORLDCUP!AD138,WORLDCUP!AC138&lt;&gt;"",WORLDCUP!AD138&lt;&gt;""),"X",0))),"|",WORLDCUP!AC138,"-",WORLDCUP!AD138)</f>
        <v>Francia-Bélgica·1|3-1</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Marruecos-Argentina</v>
      </c>
      <c r="C233" s="339" t="str">
        <f ca="1">CONCATENATE(WORLDCUP!AA139,"-",WORLDCUP!AF139,"·",IF(WORLDCUP!AC139&gt;WORLDCUP!AD139,1,IF(WORLDCUP!AC139&lt;WORLDCUP!AD139,2,IF(AND(WORLDCUP!AC139=WORLDCUP!AD139,WORLDCUP!AC139&lt;&gt;"",WORLDCUP!AD139&lt;&gt;""),"X",0))),"|",WORLDCUP!AC139,"-",WORLDCUP!AD139)</f>
        <v>Marruecos-Argentina·2|1-2</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Bélgica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Marruecos</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Francia</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Argentina</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Bélgica-Marruecos</v>
      </c>
      <c r="C244" s="337" t="str">
        <f ca="1">CONCATENATE(WORLDCUP!AA143,"-",WORLDCUP!AF143,"·",IF(WORLDCUP!AC143&gt;WORLDCUP!AD143,1,IF(WORLDCUP!AC143&lt;WORLDCUP!AD143,2,IF(AND(WORLDCUP!AC143=WORLDCUP!AD143,WORLDCUP!AC143&lt;&gt;"",WORLDCUP!AD143&lt;&gt;""),"X",0))),"|",WORLDCUP!AC143,"-",WORLDCUP!AD143)</f>
        <v>Bélgica-Marruecos·1|3-2</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Francia-Argentina</v>
      </c>
      <c r="C247" s="339" t="str">
        <f ca="1">CONCATENATE(WORLDCUP!AA147,"-",WORLDCUP!AF147,"·",IF(WORLDCUP!AC147&gt;WORLDCUP!AD147,1,IF(WORLDCUP!AC147&lt;WORLDCUP!AD147,2,IF(AND(WORLDCUP!AC147=WORLDCUP!AD147,WORLDCUP!AC147&lt;&gt;"",WORLDCUP!AD147&lt;&gt;""),"X",0))),"|",WORLDCUP!AC147,"-",WORLDCUP!AD147)</f>
        <v>Francia-Argentina·X|2-2</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05"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Argentina</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Francia</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Bélgica</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 xml:space="preserve">naiden </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 xml:space="preserve">naiden </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 xml:space="preserve">naiden </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naiden</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naiden</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naiden</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1521</v>
      </c>
      <c r="C260" s="643" t="str">
        <f>WORLDCUP!AA162</f>
        <v>Escribe jugador</v>
      </c>
      <c r="O260" s="1"/>
      <c r="P260" s="1"/>
    </row>
    <row r="261" spans="1:16" ht="15.6">
      <c r="A261" s="352"/>
      <c r="B261" s="645" t="s">
        <v>1516</v>
      </c>
      <c r="C261" s="643" t="str">
        <f>WORLDCUP!AA163</f>
        <v>Escribe jugador</v>
      </c>
      <c r="O261" s="1"/>
      <c r="P261" s="1"/>
    </row>
    <row r="262" spans="1:16" ht="15.6">
      <c r="A262" s="352"/>
      <c r="B262" s="646" t="s">
        <v>1518</v>
      </c>
      <c r="C262" s="643" t="str">
        <f>WORLDCUP!AA164</f>
        <v>Escribe jugador</v>
      </c>
      <c r="O262" s="1"/>
      <c r="P262" s="1"/>
    </row>
    <row r="263" spans="1:16" ht="15.6">
      <c r="A263" s="352"/>
      <c r="B263" s="641" t="s">
        <v>1519</v>
      </c>
      <c r="C263" s="643" t="str">
        <f>WORLDCUP!AA166</f>
        <v>Escribe jugador</v>
      </c>
      <c r="O263" s="1"/>
      <c r="P263" s="1"/>
    </row>
    <row r="264" spans="1:16" ht="15.6">
      <c r="A264" s="640"/>
      <c r="B264" s="646" t="s">
        <v>1520</v>
      </c>
      <c r="C264" s="644" t="str">
        <f>WORLDCUP!AA167</f>
        <v>Escribe jugador</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Ecu</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0</v>
      </c>
      <c r="F4" s="433" t="str">
        <f ca="1">+MID(INDEX(WORLDCUP!$AF$4:$AF$147,MATCH(A4,WORLDCUP!$AH$4:$AH$147,0)),1,3)</f>
        <v>Rep</v>
      </c>
      <c r="G4" s="434">
        <v>1</v>
      </c>
      <c r="H4" s="435" t="str">
        <f ca="1">+MID(INDEX(WORLDCUP!$AL$6:$AL$97,MATCH(L4,WORLDCUP!$AI$6:$AI$97,0)),1,3)</f>
        <v>Cor</v>
      </c>
      <c r="I4" s="436">
        <f ca="1">+INDEX(WORLDCUP!$AM$6:$AM$97,MATCH(L4,WORLDCUP!$AI$6:$AI$97,0))</f>
        <v>6</v>
      </c>
      <c r="J4" s="437">
        <f ca="1">+INDEX(WORLDCUP!$AT$6:$AT$97,MATCH(L4,WORLDCUP!$AI$6:$AI$97,0))</f>
        <v>3</v>
      </c>
      <c r="K4" s="438" t="str">
        <f ca="1">+INDEX(WORLDCUP!$AR$6:$AR$97,MATCH(L4,WORLDCUP!$AI$6:$AI$97,0))&amp;"-"&amp;INDEX(WORLDCUP!$AS$6:$AS$97,MATCH(L4,WORLDCUP!$AI$6:$AI$97,0))</f>
        <v>4-1</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6</v>
      </c>
      <c r="W4" s="438" t="str">
        <f ca="1">+INDEX(WORLDCUP!$AR$6:$AR$97,MATCH(X4,WORLDCUP!$AI$6:$AI$97,0))&amp;"-"&amp;INDEX(WORLDCUP!$AS$6:$AS$97,MATCH(X4,WORLDCUP!$AI$6:$AI$97,0))</f>
        <v>7-1</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Ecu</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Méx</v>
      </c>
      <c r="I5" s="35">
        <f ca="1">+INDEX(WORLDCUP!$AM$6:$AM$97,MATCH(L5,WORLDCUP!$AI$6:$AI$97,0))</f>
        <v>6</v>
      </c>
      <c r="J5" s="36">
        <f ca="1">+INDEX(WORLDCUP!$AT$6:$AT$97,MATCH(L5,WORLDCUP!$AI$6:$AI$97,0))</f>
        <v>0</v>
      </c>
      <c r="K5" s="40" t="str">
        <f ca="1">+INDEX(WORLDCUP!$AR$6:$AR$97,MATCH(L5,WORLDCUP!$AI$6:$AI$97,0))&amp;"-"&amp;INDEX(WORLDCUP!$AS$6:$AS$97,MATCH(L5,WORLDCUP!$AI$6:$AI$97,0))</f>
        <v>4-4</v>
      </c>
      <c r="L5" s="177" t="s">
        <v>658</v>
      </c>
      <c r="M5" s="177">
        <v>39</v>
      </c>
      <c r="N5" s="439"/>
      <c r="O5" s="431" t="str">
        <f ca="1">+MID(INDEX(WORLDCUP!$AA$4:$AA$147,MATCH(M5,WORLDCUP!$AH$4:$AH$147,0)),1,3)</f>
        <v>Bél</v>
      </c>
      <c r="P5" s="432">
        <f>IF(ISBLANK(INDEX(WORLDCUP!$AC$4:$AC$147,MATCH(M5,WORLDCUP!$AH$4:$AH$147,0))),"",INDEX(WORLDCUP!$AC$4:$AC$147,MATCH(M5,WORLDCUP!$AH$4:$AH$147,0)))</f>
        <v>3</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Nue</v>
      </c>
      <c r="U5" s="35">
        <f ca="1">+INDEX(WORLDCUP!$AM$6:$AM$97,MATCH(X5,WORLDCUP!$AI$6:$AI$97,0))</f>
        <v>4</v>
      </c>
      <c r="V5" s="36">
        <f ca="1">+INDEX(WORLDCUP!$AT$6:$AT$97,MATCH(X5,WORLDCUP!$AI$6:$AI$97,0))</f>
        <v>0</v>
      </c>
      <c r="W5" s="40" t="str">
        <f ca="1">+INDEX(WORLDCUP!$AR$6:$AR$97,MATCH(X5,WORLDCUP!$AI$6:$AI$97,0))&amp;"-"&amp;INDEX(WORLDCUP!$AS$6:$AS$97,MATCH(X5,WORLDCUP!$AI$6:$AI$97,0))</f>
        <v>3-3</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4</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0</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Sud</v>
      </c>
      <c r="I6" s="35">
        <f ca="1">+INDEX(WORLDCUP!$AM$6:$AM$97,MATCH(L6,WORLDCUP!$AI$6:$AI$97,0))</f>
        <v>4</v>
      </c>
      <c r="J6" s="36">
        <f ca="1">+INDEX(WORLDCUP!$AT$6:$AT$97,MATCH(L6,WORLDCUP!$AI$6:$AI$97,0))</f>
        <v>0</v>
      </c>
      <c r="K6" s="40" t="str">
        <f ca="1">+INDEX(WORLDCUP!$AR$6:$AR$97,MATCH(L6,WORLDCUP!$AI$6:$AI$97,0))&amp;"-"&amp;INDEX(WORLDCUP!$AS$6:$AS$97,MATCH(L6,WORLDCUP!$AI$6:$AI$97,0))</f>
        <v>3-3</v>
      </c>
      <c r="L6" s="177" t="s">
        <v>90</v>
      </c>
      <c r="M6" s="177">
        <v>40</v>
      </c>
      <c r="N6" s="439"/>
      <c r="O6" s="431" t="str">
        <f ca="1">+MID(INDEX(WORLDCUP!$AA$4:$AA$147,MATCH(M6,WORLDCUP!$AH$4:$AH$147,0)),1,3)</f>
        <v>Nue</v>
      </c>
      <c r="P6" s="432">
        <f>IF(ISBLANK(INDEX(WORLDCUP!$AC$4:$AC$147,MATCH(M6,WORLDCUP!$AH$4:$AH$147,0))),"",INDEX(WORLDCUP!$AC$4:$AC$147,MATCH(M6,WORLDCUP!$AH$4:$AH$147,0)))</f>
        <v>2</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Egi</v>
      </c>
      <c r="U6" s="35">
        <f ca="1">+INDEX(WORLDCUP!$AM$6:$AM$97,MATCH(X6,WORLDCUP!$AI$6:$AI$97,0))</f>
        <v>3</v>
      </c>
      <c r="V6" s="36">
        <f ca="1">+INDEX(WORLDCUP!$AT$6:$AT$97,MATCH(X6,WORLDCUP!$AI$6:$AI$97,0))</f>
        <v>-2</v>
      </c>
      <c r="W6" s="40" t="str">
        <f ca="1">+INDEX(WORLDCUP!$AR$6:$AR$97,MATCH(X6,WORLDCUP!$AI$6:$AI$97,0))&amp;"-"&amp;INDEX(WORLDCUP!$AS$6:$AS$97,MATCH(X6,WORLDCUP!$AI$6:$AI$97,0))</f>
        <v>3-5</v>
      </c>
      <c r="X6" s="177" t="s">
        <v>445</v>
      </c>
      <c r="Y6" s="177">
        <v>77</v>
      </c>
      <c r="Z6" s="412" t="s">
        <v>685</v>
      </c>
      <c r="AA6" s="413" t="str">
        <f ca="1">+MID(INDEX(WORLDCUP!$AA$101:$AA$147,MATCH(Y6,WORLDCUP!$Z$101:$Z$147,0)),1,3)</f>
        <v>Fra</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Rep</v>
      </c>
      <c r="I7" s="464">
        <f ca="1">+INDEX(WORLDCUP!$AM$6:$AM$97,MATCH(L7,WORLDCUP!$AI$6:$AI$97,0))</f>
        <v>1</v>
      </c>
      <c r="J7" s="465">
        <f ca="1">+INDEX(WORLDCUP!$AT$6:$AT$97,MATCH(L7,WORLDCUP!$AI$6:$AI$97,0))</f>
        <v>-3</v>
      </c>
      <c r="K7" s="466" t="str">
        <f ca="1">+INDEX(WORLDCUP!$AR$6:$AR$97,MATCH(L7,WORLDCUP!$AI$6:$AI$97,0))&amp;"-"&amp;INDEX(WORLDCUP!$AS$6:$AS$97,MATCH(L7,WORLDCUP!$AI$6:$AI$97,0))</f>
        <v>2-5</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Irá</v>
      </c>
      <c r="U7" s="464">
        <f ca="1">+INDEX(WORLDCUP!$AM$6:$AM$97,MATCH(X7,WORLDCUP!$AI$6:$AI$97,0))</f>
        <v>1</v>
      </c>
      <c r="V7" s="465">
        <f ca="1">+INDEX(WORLDCUP!$AT$6:$AT$97,MATCH(X7,WORLDCUP!$AI$6:$AI$97,0))</f>
        <v>-4</v>
      </c>
      <c r="W7" s="466" t="str">
        <f ca="1">+INDEX(WORLDCUP!$AR$6:$AR$97,MATCH(X7,WORLDCUP!$AI$6:$AI$97,0))&amp;"-"&amp;INDEX(WORLDCUP!$AS$6:$AS$97,MATCH(X7,WORLDCUP!$AI$6:$AI$97,0))</f>
        <v>1-5</v>
      </c>
      <c r="X7" s="177" t="s">
        <v>681</v>
      </c>
      <c r="Y7" s="177">
        <v>77</v>
      </c>
      <c r="Z7" s="412" t="s">
        <v>735</v>
      </c>
      <c r="AA7" s="467" t="str">
        <f ca="1">+MID(INDEX(WORLDCUP!$AF$101:$AF$147,MATCH(Y7,WORLDCUP!$Z$101:$Z$147,0)),1,IF(WORLDCUP!$H$113&lt;144,6,3))</f>
        <v>Jap</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3</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0</v>
      </c>
      <c r="BO7" s="453">
        <f ca="1">COUNTIF(Pool!$C$250,Fixture!BG7)</f>
        <v>1</v>
      </c>
    </row>
    <row r="8" spans="1:67" ht="15" thickBot="1">
      <c r="A8" s="177">
        <v>54</v>
      </c>
      <c r="B8" s="473"/>
      <c r="C8" s="474" t="str">
        <f ca="1">+MID(INDEX(WORLDCUP!$AA$4:$AA$147,MATCH(A8,WORLDCUP!$AH$4:$AH$147,0)),1,3)</f>
        <v>Sud</v>
      </c>
      <c r="D8" s="475">
        <f>IF(ISBLANK(INDEX(WORLDCUP!$AC$4:$AC$147,MATCH(A8,WORLDCUP!$AH$4:$AH$147,0))),"",INDEX(WORLDCUP!$AC$4:$AC$147,MATCH(A8,WORLDCUP!$AH$4:$AH$147,0)))</f>
        <v>1</v>
      </c>
      <c r="E8" s="475">
        <f>IF(ISBLANK(INDEX(WORLDCUP!$AD$4:$AD$147,MATCH(A8,WORLDCUP!$AH$4:$AH$147,0))),"",INDEX(WORLDCUP!$AD$4:$AD$147,MATCH(A8,WORLDCUP!$AH$4:$AH$147,0)))</f>
        <v>0</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Bra</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1</v>
      </c>
      <c r="BI9" s="450">
        <f ca="1">COUNTIF(Pool!$C$130:$C$161,Fixture!BG9)-BJ9-BK9-BL9-BM9-BN9-BO9</f>
        <v>0</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3</v>
      </c>
      <c r="AC10" s="441" t="str">
        <f>+IF(ISBLANK(INDEX(WORLDCUP!$AE$101:$AE$147,MATCH(Y10,WORLDCUP!$Z$101:$Z$147,0))),"","( "&amp;INDEX(WORLDCUP!$AE$101:$AE$147,MATCH(Y10,WORLDCUP!$Z$101:$Z$147,0))&amp;" )")</f>
        <v/>
      </c>
      <c r="AD10" s="487">
        <v>90</v>
      </c>
      <c r="AE10" s="443" t="str">
        <f ca="1">+MID(INDEX(WORLDCUP!$AA$101:$AA$147,MATCH(AD10,WORLDCUP!$Z$101:$Z$147,0)),1,3)</f>
        <v>Can</v>
      </c>
      <c r="AF10" s="444">
        <f>+IF(ISBLANK(INDEX(WORLDCUP!$AC$101:$AC$147,MATCH(AD10,WORLDCUP!$Z$101:$Z$147,0))),"",INDEX(WORLDCUP!$AC$101:$AC$147,MATCH(AD10,WORLDCUP!$Z$101:$Z$147,0)))</f>
        <v>2</v>
      </c>
      <c r="AG10" s="488" t="str">
        <f>+IF(ISBLANK(INDEX(WORLDCUP!$AB$101:$AB$147,MATCH(AD10,WORLDCUP!$Z$101:$Z$147,0))),"","( "&amp;INDEX(WORLDCUP!$AB$101:$AB$147,MATCH(AD10,WORLDCUP!$Z$101:$Z$147,0))&amp;" )")</f>
        <v>( 3 )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0</v>
      </c>
      <c r="BL10" s="452">
        <f ca="1">COUNTIF(Pool!$C$226:$C$229,Fixture!BG10)-BM10-BN10-BO10</f>
        <v>0</v>
      </c>
      <c r="BM10" s="450">
        <f ca="1">COUNTIF(Pool!$C$252,Fixture!BG10)</f>
        <v>1</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3</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Bra</v>
      </c>
      <c r="AF11" s="444">
        <f>+IF(ISBLANK(INDEX(WORLDCUP!$AD$101:$AD$147,MATCH(AD11,WORLDCUP!$Z$101:$Z$147,0))),"",INDEX(WORLDCUP!$AD$101:$AD$147,MATCH(AD11,WORLDCUP!$Z$101:$Z$147,0)))</f>
        <v>2</v>
      </c>
      <c r="AG11" s="461" t="str">
        <f>+IF(ISBLANK(INDEX(WORLDCUP!$AE$101:$AE$147,MATCH(AD11,WORLDCUP!$Z$101:$Z$147,0))),"","( "&amp;INDEX(WORLDCUP!$AE$101:$AE$147,MATCH(AD11,WORLDCUP!$Z$101:$Z$147,0))&amp;" )")</f>
        <v>( 4 )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5</v>
      </c>
      <c r="K12" s="438" t="str">
        <f ca="1">+INDEX(WORLDCUP!$AR$6:$AR$97,MATCH(L12,WORLDCUP!$AI$6:$AI$97,0))&amp;"-"&amp;INDEX(WORLDCUP!$AS$6:$AS$97,MATCH(L12,WORLDCUP!$AI$6:$AI$97,0))</f>
        <v>6-1</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7</v>
      </c>
      <c r="W12" s="438" t="str">
        <f ca="1">+INDEX(WORLDCUP!$AR$6:$AR$97,MATCH(X12,WORLDCUP!$AI$6:$AI$97,0))&amp;"-"&amp;INDEX(WORLDCUP!$AS$6:$AS$97,MATCH(X12,WORLDCUP!$AI$6:$AI$97,0))</f>
        <v>9-2</v>
      </c>
      <c r="X12" s="177" t="s">
        <v>682</v>
      </c>
      <c r="Y12" s="177">
        <v>75</v>
      </c>
      <c r="Z12" s="412" t="s">
        <v>676</v>
      </c>
      <c r="AA12" s="413" t="str">
        <f ca="1">+MID(INDEX(WORLDCUP!$AA$101:$AA$147,MATCH(Y12,WORLDCUP!$Z$101:$Z$147,0)),1,3)</f>
        <v>Paí</v>
      </c>
      <c r="AB12" s="459">
        <f>+IF(ISBLANK(INDEX(WORLDCUP!$AC$101:$AC$147,MATCH(Y12,WORLDCUP!$Z$101:$Z$147,0))),"",INDEX(WORLDCUP!$AC$101:$AC$147,MATCH(Y12,WORLDCUP!$Z$101:$Z$147,0)))</f>
        <v>0</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0</v>
      </c>
      <c r="F13" s="433" t="str">
        <f ca="1">+MID(INDEX(WORLDCUP!$AF$4:$AF$147,MATCH(A13,WORLDCUP!$AH$4:$AH$147,0)),1,3)</f>
        <v>Bos</v>
      </c>
      <c r="G13" s="454">
        <v>2</v>
      </c>
      <c r="H13" s="455" t="str">
        <f ca="1">+MID(INDEX(WORLDCUP!$AL$6:$AL$97,MATCH(L13,WORLDCUP!$AI$6:$AI$97,0)),1,3)</f>
        <v>Can</v>
      </c>
      <c r="I13" s="35">
        <f ca="1">+INDEX(WORLDCUP!$AM$6:$AM$97,MATCH(L13,WORLDCUP!$AI$6:$AI$97,0))</f>
        <v>4</v>
      </c>
      <c r="J13" s="36">
        <f ca="1">+INDEX(WORLDCUP!$AT$6:$AT$97,MATCH(L13,WORLDCUP!$AI$6:$AI$97,0))</f>
        <v>0</v>
      </c>
      <c r="K13" s="40" t="str">
        <f ca="1">+INDEX(WORLDCUP!$AR$6:$AR$97,MATCH(L13,WORLDCUP!$AI$6:$AI$97,0))&amp;"-"&amp;INDEX(WORLDCUP!$AS$6:$AS$97,MATCH(L13,WORLDCUP!$AI$6:$AI$97,0))</f>
        <v>4-4</v>
      </c>
      <c r="L13" s="177" t="s">
        <v>661</v>
      </c>
      <c r="M13" s="177">
        <v>38</v>
      </c>
      <c r="N13" s="492"/>
      <c r="O13" s="431" t="str">
        <f ca="1">+MID(INDEX(WORLDCUP!$AA$4:$AA$147,MATCH(M13,WORLDCUP!$AH$4:$AH$147,0)),1,3)</f>
        <v>Esp</v>
      </c>
      <c r="P13" s="432">
        <f>IF(ISBLANK(INDEX(WORLDCUP!$AC$4:$AC$147,MATCH(M13,WORLDCUP!$AH$4:$AH$147,0))),"",INDEX(WORLDCUP!$AC$4:$AC$147,MATCH(M13,WORLDCUP!$AH$4:$AH$147,0)))</f>
        <v>2</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2</v>
      </c>
      <c r="W13" s="40" t="str">
        <f ca="1">+INDEX(WORLDCUP!$AR$6:$AR$97,MATCH(X13,WORLDCUP!$AI$6:$AI$97,0))&amp;"-"&amp;INDEX(WORLDCUP!$AS$6:$AS$97,MATCH(X13,WORLDCUP!$AI$6:$AI$97,0))</f>
        <v>6-4</v>
      </c>
      <c r="X13" s="177" t="s">
        <v>683</v>
      </c>
      <c r="Y13" s="177">
        <v>75</v>
      </c>
      <c r="Z13" s="412" t="s">
        <v>668</v>
      </c>
      <c r="AA13" s="467" t="str">
        <f ca="1">+MID(INDEX(WORLDCUP!$AF$101:$AF$147,MATCH(Y13,WORLDCUP!$Z$101:$Z$147,0)),1,3)</f>
        <v>Bra</v>
      </c>
      <c r="AB13" s="468">
        <f>+IF(ISBLANK(INDEX(WORLDCUP!$AD$101:$AD$147,MATCH(Y13,WORLDCUP!$Z$101:$Z$147,0))),"",INDEX(WORLDCUP!$AD$101:$AD$147,MATCH(Y13,WORLDCUP!$Z$101:$Z$147,0)))</f>
        <v>2</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3</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1</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Cat</v>
      </c>
      <c r="I14" s="35">
        <f ca="1">+INDEX(WORLDCUP!$AM$6:$AM$97,MATCH(L14,WORLDCUP!$AI$6:$AI$97,0))</f>
        <v>2</v>
      </c>
      <c r="J14" s="36">
        <f ca="1">+INDEX(WORLDCUP!$AT$6:$AT$97,MATCH(L14,WORLDCUP!$AI$6:$AI$97,0))</f>
        <v>-1</v>
      </c>
      <c r="K14" s="40" t="str">
        <f ca="1">+INDEX(WORLDCUP!$AR$6:$AR$97,MATCH(L14,WORLDCUP!$AI$6:$AI$97,0))&amp;"-"&amp;INDEX(WORLDCUP!$AS$6:$AS$97,MATCH(L14,WORLDCUP!$AI$6:$AI$97,0))</f>
        <v>3-4</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0</v>
      </c>
      <c r="W14" s="40" t="str">
        <f ca="1">+INDEX(WORLDCUP!$AR$6:$AR$97,MATCH(X14,WORLDCUP!$AI$6:$AI$97,0))&amp;"-"&amp;INDEX(WORLDCUP!$AS$6:$AS$97,MATCH(X14,WORLDCUP!$AI$6:$AI$97,0))</f>
        <v>4-4</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Bél</v>
      </c>
      <c r="AN14" s="496">
        <f>+IF(ISBLANK(INDEX(WORLDCUP!$AD$101:$AD$147,MATCH(AL14,WORLDCUP!$Z$101:$Z$147,0))),"",INDEX(WORLDCUP!$AD$101:$AD$147,MATCH(AL14,WORLDCUP!$Z$101:$Z$147,0)))</f>
        <v>1</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0</v>
      </c>
      <c r="F15" s="433" t="str">
        <f ca="1">+MID(INDEX(WORLDCUP!$AF$4:$AF$147,MATCH(A15,WORLDCUP!$AH$4:$AH$147,0)),1,3)</f>
        <v>Can</v>
      </c>
      <c r="G15" s="454">
        <v>4</v>
      </c>
      <c r="H15" s="463" t="str">
        <f ca="1">+MID(INDEX(WORLDCUP!$AL$6:$AL$97,MATCH(L15,WORLDCUP!$AI$6:$AI$97,0)),1,3)</f>
        <v>Bos</v>
      </c>
      <c r="I15" s="464">
        <f ca="1">+INDEX(WORLDCUP!$AM$6:$AM$97,MATCH(L15,WORLDCUP!$AI$6:$AI$97,0))</f>
        <v>1</v>
      </c>
      <c r="J15" s="465">
        <f ca="1">+INDEX(WORLDCUP!$AT$6:$AT$97,MATCH(L15,WORLDCUP!$AI$6:$AI$97,0))</f>
        <v>-4</v>
      </c>
      <c r="K15" s="466" t="str">
        <f ca="1">+INDEX(WORLDCUP!$AR$6:$AR$97,MATCH(L15,WORLDCUP!$AI$6:$AI$97,0))&amp;"-"&amp;INDEX(WORLDCUP!$AS$6:$AS$97,MATCH(L15,WORLDCUP!$AI$6:$AI$97,0))</f>
        <v>2-6</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-9</v>
      </c>
      <c r="W15" s="466" t="str">
        <f ca="1">+INDEX(WORLDCUP!$AR$6:$AR$97,MATCH(X15,WORLDCUP!$AI$6:$AI$97,0))&amp;"-"&amp;INDEX(WORLDCUP!$AS$6:$AS$97,MATCH(X15,WORLDCUP!$AI$6:$AI$97,0))</f>
        <v>0-9</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Ing</v>
      </c>
      <c r="AB16" s="440">
        <f>+IF(ISBLANK(INDEX(WORLDCUP!$AD$101:$AD$147,MATCH(Y16,WORLDCUP!$Z$101:$Z$147,0))),"",INDEX(WORLDCUP!$AD$101:$AD$147,MATCH(Y16,WORLDCUP!$Z$101:$Z$147,0)))</f>
        <v>3</v>
      </c>
      <c r="AC16" s="441" t="str">
        <f>+IF(ISBLANK(INDEX(WORLDCUP!$AE$101:$AE$147,MATCH(Y16,WORLDCUP!$Z$101:$Z$147,0))),"","( "&amp;INDEX(WORLDCUP!$AE$101:$AE$147,MATCH(Y16,WORLDCUP!$Z$101:$Z$147,0))&amp;" )")</f>
        <v/>
      </c>
      <c r="AD16" s="442">
        <v>93</v>
      </c>
      <c r="AE16" s="443" t="str">
        <f ca="1">+MID(INDEX(WORLDCUP!$AA$101:$AA$147,MATCH(AD16,WORLDCUP!$Z$101:$Z$147,0)),1,3)</f>
        <v>Ing</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1</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2</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0</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4</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2</v>
      </c>
      <c r="AK19" s="507" t="str">
        <f>+IF(ISBLANK(INDEX(WORLDCUP!$AB$101:$AB$147,MATCH(AH19,WORLDCUP!$Z$101:$Z$147,0))),"","( "&amp;INDEX(WORLDCUP!$AB$101:$AB$147,MATCH(AH19,WORLDCUP!$Z$101:$Z$147,0))&amp;" )")</f>
        <v>( 3 )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0</v>
      </c>
      <c r="BJ19" s="451">
        <f ca="1">COUNTIF(Pool!$C$182:$C$197,Fixture!BG19)-BK19-BL19-BM19-BN19-BO19</f>
        <v>0</v>
      </c>
      <c r="BK19" s="452">
        <f ca="1">COUNTIF(Pool!$C$210:$C$217,Fixture!BG19)-BL19-BM19-BN19-BO19</f>
        <v>1</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1</v>
      </c>
      <c r="F20" s="433" t="str">
        <f ca="1">+MID(INDEX(WORLDCUP!$AF$4:$AF$147,MATCH(A20,WORLDCUP!$AH$4:$AH$147,0)),1,3)</f>
        <v>Esc</v>
      </c>
      <c r="G20" s="434">
        <v>1</v>
      </c>
      <c r="H20" s="435" t="str">
        <f ca="1">+MID(INDEX(WORLDCUP!$AL$6:$AL$97,MATCH(L20,WORLDCUP!$AI$6:$AI$97,0)),1,3)</f>
        <v>Mar</v>
      </c>
      <c r="I20" s="436">
        <f ca="1">+INDEX(WORLDCUP!$AM$6:$AM$97,MATCH(L20,WORLDCUP!$AI$6:$AI$97,0))</f>
        <v>9</v>
      </c>
      <c r="J20" s="437">
        <f ca="1">+INDEX(WORLDCUP!$AT$6:$AT$97,MATCH(L20,WORLDCUP!$AI$6:$AI$97,0))</f>
        <v>6</v>
      </c>
      <c r="K20" s="438" t="str">
        <f ca="1">+INDEX(WORLDCUP!$AR$6:$AR$97,MATCH(L20,WORLDCUP!$AI$6:$AI$97,0))&amp;"-"&amp;INDEX(WORLDCUP!$AS$6:$AS$97,MATCH(L20,WORLDCUP!$AI$6:$AI$97,0))</f>
        <v>7-1</v>
      </c>
      <c r="L20" s="177" t="s">
        <v>663</v>
      </c>
      <c r="M20" s="177">
        <v>18</v>
      </c>
      <c r="N20" s="509"/>
      <c r="O20" s="431" t="str">
        <f ca="1">+MID(INDEX(WORLDCUP!$AA$4:$AA$147,MATCH(M20,WORLDCUP!$AH$4:$AH$147,0)),1,3)</f>
        <v>Ira</v>
      </c>
      <c r="P20" s="432">
        <f>IF(ISBLANK(INDEX(WORLDCUP!$AC$4:$AC$147,MATCH(M20,WORLDCUP!$AH$4:$AH$147,0))),"",INDEX(WORLDCUP!$AC$4:$AC$147,MATCH(M20,WORLDCUP!$AH$4:$AH$147,0)))</f>
        <v>1</v>
      </c>
      <c r="Q20" s="432">
        <f>IF(ISBLANK(INDEX(WORLDCUP!$AD$4:$AD$147,MATCH(M20,WORLDCUP!$AH$4:$AH$147,0))),"",INDEX(WORLDCUP!$AD$4:$AD$147,MATCH(M20,WORLDCUP!$AH$4:$AH$147,0)))</f>
        <v>4</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7</v>
      </c>
      <c r="W20" s="438" t="str">
        <f ca="1">+INDEX(WORLDCUP!$AR$6:$AR$97,MATCH(X20,WORLDCUP!$AI$6:$AI$97,0))&amp;"-"&amp;INDEX(WORLDCUP!$AS$6:$AS$97,MATCH(X20,WORLDCUP!$AI$6:$AI$97,0))</f>
        <v>10-3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2</v>
      </c>
      <c r="AK20" s="446" t="str">
        <f>+IF(ISBLANK(INDEX(WORLDCUP!$AE$101:$AE$147,MATCH(AH20,WORLDCUP!$Z$101:$Z$147,0))),"","( "&amp;INDEX(WORLDCUP!$AE$101:$AE$147,MATCH(AH20,WORLDCUP!$Z$101:$Z$147,0))&amp;" )")</f>
        <v>( 4 )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3</v>
      </c>
      <c r="F21" s="433" t="str">
        <f ca="1">+MID(INDEX(WORLDCUP!$AF$4:$AF$147,MATCH(A21,WORLDCUP!$AH$4:$AH$147,0)),1,3)</f>
        <v>Mar</v>
      </c>
      <c r="G21" s="454">
        <v>2</v>
      </c>
      <c r="H21" s="455" t="str">
        <f ca="1">+MID(INDEX(WORLDCUP!$AL$6:$AL$97,MATCH(L21,WORLDCUP!$AI$6:$AI$97,0)),1,3)</f>
        <v>Bra</v>
      </c>
      <c r="I21" s="35">
        <f ca="1">+INDEX(WORLDCUP!$AM$6:$AM$97,MATCH(L21,WORLDCUP!$AI$6:$AI$97,0))</f>
        <v>6</v>
      </c>
      <c r="J21" s="36">
        <f ca="1">+INDEX(WORLDCUP!$AT$6:$AT$97,MATCH(L21,WORLDCUP!$AI$6:$AI$97,0))</f>
        <v>5</v>
      </c>
      <c r="K21" s="40" t="str">
        <f ca="1">+INDEX(WORLDCUP!$AR$6:$AR$97,MATCH(L21,WORLDCUP!$AI$6:$AI$97,0))&amp;"-"&amp;INDEX(WORLDCUP!$AS$6:$AS$97,MATCH(L21,WORLDCUP!$AI$6:$AI$97,0))</f>
        <v>7-2</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1</v>
      </c>
      <c r="R21" s="433" t="str">
        <f ca="1">+MID(INDEX(WORLDCUP!$AF$4:$AF$147,MATCH(M21,WORLDCUP!$AH$4:$AH$147,0)),1,3)</f>
        <v>Ira</v>
      </c>
      <c r="S21" s="454">
        <v>2</v>
      </c>
      <c r="T21" s="455" t="str">
        <f ca="1">+MID(INDEX(WORLDCUP!$AL$6:$AL$97,MATCH(X21,WORLDCUP!$AI$6:$AI$97,0)),1,3)</f>
        <v>Nor</v>
      </c>
      <c r="U21" s="35">
        <f ca="1">+INDEX(WORLDCUP!$AM$6:$AM$97,MATCH(X21,WORLDCUP!$AI$6:$AI$97,0))</f>
        <v>4</v>
      </c>
      <c r="V21" s="36">
        <f ca="1">+INDEX(WORLDCUP!$AT$6:$AT$97,MATCH(X21,WORLDCUP!$AI$6:$AI$97,0))</f>
        <v>1</v>
      </c>
      <c r="W21" s="40" t="str">
        <f ca="1">+INDEX(WORLDCUP!$AR$6:$AR$97,MATCH(X21,WORLDCUP!$AI$6:$AI$97,0))&amp;"-"&amp;INDEX(WORLDCUP!$AS$6:$AS$97,MATCH(X21,WORLDCUP!$AI$6:$AI$97,0))</f>
        <v>7-6</v>
      </c>
      <c r="X21" s="177" t="s">
        <v>686</v>
      </c>
      <c r="Y21" s="177">
        <v>81</v>
      </c>
      <c r="Z21" s="412" t="s">
        <v>670</v>
      </c>
      <c r="AA21" s="413" t="str">
        <f ca="1">+MID(INDEX(WORLDCUP!$AA$101:$AA$147,MATCH(Y21,WORLDCUP!$Z$101:$Z$147,0)),1,3)</f>
        <v>Par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Argentina</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-4</v>
      </c>
      <c r="K22" s="40" t="str">
        <f ca="1">+INDEX(WORLDCUP!$AR$6:$AR$97,MATCH(L22,WORLDCUP!$AI$6:$AI$97,0))&amp;"-"&amp;INDEX(WORLDCUP!$AS$6:$AS$97,MATCH(L22,WORLDCUP!$AI$6:$AI$97,0))</f>
        <v>2-6</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2</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-1</v>
      </c>
      <c r="W22" s="40" t="str">
        <f ca="1">+INDEX(WORLDCUP!$AR$6:$AR$97,MATCH(X22,WORLDCUP!$AI$6:$AI$97,0))&amp;"-"&amp;INDEX(WORLDCUP!$AS$6:$AS$97,MATCH(X22,WORLDCUP!$AI$6:$AI$97,0))</f>
        <v>5-6</v>
      </c>
      <c r="X22" s="177" t="s">
        <v>450</v>
      </c>
      <c r="Y22" s="177">
        <v>81</v>
      </c>
      <c r="Z22" s="412" t="s">
        <v>738</v>
      </c>
      <c r="AA22" s="413" t="str">
        <f ca="1">+MID(INDEX(WORLDCUP!$AF$101:$AF$147,MATCH(Y22,WORLDCUP!$Z$101:$Z$147,0)),1,IF(WORLDCUP!$H$113&lt;144,6,3))</f>
        <v>Cos</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Par</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0</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-7</v>
      </c>
      <c r="K23" s="466" t="str">
        <f ca="1">+INDEX(WORLDCUP!$AR$6:$AR$97,MATCH(L23,WORLDCUP!$AI$6:$AI$97,0))&amp;"-"&amp;INDEX(WORLDCUP!$AS$6:$AS$97,MATCH(L23,WORLDCUP!$AI$6:$AI$97,0))</f>
        <v>0-7</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-7</v>
      </c>
      <c r="W23" s="466" t="str">
        <f ca="1">+INDEX(WORLDCUP!$AR$6:$AR$97,MATCH(X23,WORLDCUP!$AI$6:$AI$97,0))&amp;"-"&amp;INDEX(WORLDCUP!$AS$6:$AS$97,MATCH(X23,WORLDCUP!$AI$6:$AI$97,0))</f>
        <v>2-9</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Francia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2</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1</v>
      </c>
      <c r="BL24" s="452">
        <f ca="1">COUNTIF(Pool!$C$226:$C$229,Fixture!BG24)-BM24-BN24-BO24</f>
        <v>0</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Sud</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Fran</v>
      </c>
      <c r="AV25" s="525">
        <f>+IF(ISBLANK(INDEX(WORLDCUP!$AC$101:$AC$147,MATCH(AT25,WORLDCUP!$Z$101:$Z$147,0))),"",INDEX(WORLDCUP!$AC$101:$AC$147,MATCH(AT25,WORLDCUP!$Z$101:$Z$147,0)))</f>
        <v>2</v>
      </c>
      <c r="AW25" s="526" t="str">
        <f>+IF(ISBLANK(INDEX(WORLDCUP!$AB$101:$AB$147,MATCH(AT25,WORLDCUP!$Z$101:$Z$147,0))),"","( "&amp;INDEX(WORLDCUP!$AB$101:$AB$147,MATCH(AT25,WORLDCUP!$Z$101:$Z$147,0))&amp;" )")</f>
        <v>( 3 )</v>
      </c>
      <c r="AX25" s="527"/>
      <c r="AY25" s="514"/>
      <c r="AZ25" s="515" t="str">
        <f ca="1">+WORLDCUP!AA152</f>
        <v>Bélgica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Arge</v>
      </c>
      <c r="AV26" s="525">
        <f>+IF(ISBLANK(INDEX(WORLDCUP!$AD$101:$AD$147,MATCH(AT26,WORLDCUP!$Z$101:$Z$147,0))),"",INDEX(WORLDCUP!$AD$101:$AD$147,MATCH(AT26,WORLDCUP!$Z$101:$Z$147,0)))</f>
        <v>2</v>
      </c>
      <c r="AW26" s="420" t="str">
        <f>+IF(ISBLANK(INDEX(WORLDCUP!$AE$101:$AE$147,MATCH(AT26,WORLDCUP!$Z$101:$Z$147,0))),"","( "&amp;INDEX(WORLDCUP!$AE$101:$AE$147,MATCH(AT26,WORLDCUP!$Z$101:$Z$147,0))&amp;" )")</f>
        <v>( 4 )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0</v>
      </c>
      <c r="BN26" s="450">
        <f ca="1">COUNTIF(Pool!$C$251,Fixture!BG26)</f>
        <v>1</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Mar</v>
      </c>
      <c r="AB27" s="414">
        <f>+IF(ISBLANK(INDEX(WORLDCUP!$AC$101:$AC$147,MATCH(Y27,WORLDCUP!$Z$101:$Z$147,0))),"",INDEX(WORLDCUP!$AC$101:$AC$147,MATCH(Y27,WORLDCUP!$Z$101:$Z$147,0)))</f>
        <v>2</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1</v>
      </c>
      <c r="F28" s="433" t="str">
        <f ca="1">+MID(INDEX(WORLDCUP!$AF$4:$AF$147,MATCH(A28,WORLDCUP!$AH$4:$AH$147,0)),1,3)</f>
        <v>Tur</v>
      </c>
      <c r="G28" s="434">
        <v>1</v>
      </c>
      <c r="H28" s="435" t="str">
        <f ca="1">+MID(INDEX(WORLDCUP!$AL$6:$AL$97,MATCH(L28,WORLDCUP!$AI$6:$AI$97,0)),1,3)</f>
        <v>Par</v>
      </c>
      <c r="I28" s="436">
        <f ca="1">+INDEX(WORLDCUP!$AM$6:$AM$97,MATCH(L28,WORLDCUP!$AI$6:$AI$97,0))</f>
        <v>7</v>
      </c>
      <c r="J28" s="437">
        <f ca="1">+INDEX(WORLDCUP!$AT$6:$AT$97,MATCH(L28,WORLDCUP!$AI$6:$AI$97,0))</f>
        <v>2</v>
      </c>
      <c r="K28" s="438" t="str">
        <f ca="1">+INDEX(WORLDCUP!$AR$6:$AR$97,MATCH(L28,WORLDCUP!$AI$6:$AI$97,0))&amp;"-"&amp;INDEX(WORLDCUP!$AS$6:$AS$97,MATCH(L28,WORLDCUP!$AI$6:$AI$97,0))</f>
        <v>6-4</v>
      </c>
      <c r="L28" s="177" t="s">
        <v>670</v>
      </c>
      <c r="M28" s="177">
        <v>20</v>
      </c>
      <c r="N28" s="532"/>
      <c r="O28" s="431" t="str">
        <f ca="1">+MID(INDEX(WORLDCUP!$AA$4:$AA$147,MATCH(M28,WORLDCUP!$AH$4:$AH$147,0)),1,3)</f>
        <v>Aus</v>
      </c>
      <c r="P28" s="432">
        <f>IF(ISBLANK(INDEX(WORLDCUP!$AC$4:$AC$147,MATCH(M28,WORLDCUP!$AH$4:$AH$147,0))),"",INDEX(WORLDCUP!$AC$4:$AC$147,MATCH(M28,WORLDCUP!$AH$4:$AH$147,0)))</f>
        <v>1</v>
      </c>
      <c r="Q28" s="432">
        <f>IF(ISBLANK(INDEX(WORLDCUP!$AD$4:$AD$147,MATCH(M28,WORLDCUP!$AH$4:$AH$147,0))),"",INDEX(WORLDCUP!$AD$4:$AD$147,MATCH(M28,WORLDCUP!$AH$4:$AH$147,0)))</f>
        <v>1</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6</v>
      </c>
      <c r="W28" s="438" t="str">
        <f ca="1">+INDEX(WORLDCUP!$AR$6:$AR$97,MATCH(X28,WORLDCUP!$AI$6:$AI$97,0))&amp;"-"&amp;INDEX(WORLDCUP!$AS$6:$AS$97,MATCH(X28,WORLDCUP!$AI$6:$AI$97,0))</f>
        <v>6-0</v>
      </c>
      <c r="X28" s="177" t="s">
        <v>688</v>
      </c>
      <c r="Y28" s="177">
        <v>76</v>
      </c>
      <c r="Z28" s="412" t="s">
        <v>677</v>
      </c>
      <c r="AA28" s="413" t="str">
        <f ca="1">+MID(INDEX(WORLDCUP!$AF$101:$AF$147,MATCH(Y28,WORLDCUP!$Z$101:$Z$147,0)),1,3)</f>
        <v>Sue</v>
      </c>
      <c r="AB28" s="440">
        <f>+IF(ISBLANK(INDEX(WORLDCUP!$AD$101:$AD$147,MATCH(Y28,WORLDCUP!$Z$101:$Z$147,0))),"",INDEX(WORLDCUP!$AD$101:$AD$147,MATCH(Y28,WORLDCUP!$Z$101:$Z$147,0)))</f>
        <v>0</v>
      </c>
      <c r="AC28" s="441" t="str">
        <f>+IF(ISBLANK(INDEX(WORLDCUP!$AE$101:$AE$147,MATCH(Y28,WORLDCUP!$Z$101:$Z$147,0))),"","( "&amp;INDEX(WORLDCUP!$AE$101:$AE$147,MATCH(Y28,WORLDCUP!$Z$101:$Z$147,0))&amp;" )")</f>
        <v/>
      </c>
      <c r="AD28" s="442">
        <v>91</v>
      </c>
      <c r="AE28" s="443" t="str">
        <f ca="1">+MID(INDEX(WORLDCUP!$AA$101:$AA$147,MATCH(AD28,WORLDCUP!$Z$101:$Z$147,0)),1,3)</f>
        <v>Mar</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Est</v>
      </c>
      <c r="I29" s="35">
        <f ca="1">+INDEX(WORLDCUP!$AM$6:$AM$97,MATCH(L29,WORLDCUP!$AI$6:$AI$97,0))</f>
        <v>6</v>
      </c>
      <c r="J29" s="36">
        <f ca="1">+INDEX(WORLDCUP!$AT$6:$AT$97,MATCH(L29,WORLDCUP!$AI$6:$AI$97,0))</f>
        <v>1</v>
      </c>
      <c r="K29" s="40" t="str">
        <f ca="1">+INDEX(WORLDCUP!$AR$6:$AR$97,MATCH(L29,WORLDCUP!$AI$6:$AI$97,0))&amp;"-"&amp;INDEX(WORLDCUP!$AS$6:$AS$97,MATCH(L29,WORLDCUP!$AI$6:$AI$97,0))</f>
        <v>5-4</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0</v>
      </c>
      <c r="R29" s="433" t="str">
        <f ca="1">+MID(INDEX(WORLDCUP!$AF$4:$AF$147,MATCH(M29,WORLDCUP!$AH$4:$AH$147,0)),1,3)</f>
        <v>Aus</v>
      </c>
      <c r="S29" s="454">
        <v>2</v>
      </c>
      <c r="T29" s="455" t="str">
        <f ca="1">+MID(INDEX(WORLDCUP!$AL$6:$AL$97,MATCH(X29,WORLDCUP!$AI$6:$AI$97,0)),1,3)</f>
        <v>Arg</v>
      </c>
      <c r="U29" s="35">
        <f ca="1">+INDEX(WORLDCUP!$AM$6:$AM$97,MATCH(X29,WORLDCUP!$AI$6:$AI$97,0))</f>
        <v>6</v>
      </c>
      <c r="V29" s="36">
        <f ca="1">+INDEX(WORLDCUP!$AT$6:$AT$97,MATCH(X29,WORLDCUP!$AI$6:$AI$97,0))</f>
        <v>2</v>
      </c>
      <c r="W29" s="40" t="str">
        <f ca="1">+INDEX(WORLDCUP!$AR$6:$AR$97,MATCH(X29,WORLDCUP!$AI$6:$AI$97,0))&amp;"-"&amp;INDEX(WORLDCUP!$AS$6:$AS$97,MATCH(X29,WORLDCUP!$AI$6:$AI$97,0))</f>
        <v>5-3</v>
      </c>
      <c r="X29" s="177" t="s">
        <v>689</v>
      </c>
      <c r="Y29" s="177"/>
      <c r="Z29" s="412"/>
      <c r="AA29" s="456"/>
      <c r="AB29" s="456"/>
      <c r="AC29" s="457"/>
      <c r="AD29" s="177">
        <v>91</v>
      </c>
      <c r="AE29" s="443" t="str">
        <f ca="1">+MID(INDEX(WORLDCUP!$AF$101:$AF$147,MATCH(AD29,WORLDCUP!$Z$101:$Z$147,0)),1,3)</f>
        <v>Ale</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1</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2</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Tur</v>
      </c>
      <c r="I30" s="35">
        <f ca="1">+INDEX(WORLDCUP!$AM$6:$AM$97,MATCH(L30,WORLDCUP!$AI$6:$AI$97,0))</f>
        <v>2</v>
      </c>
      <c r="J30" s="36">
        <f ca="1">+INDEX(WORLDCUP!$AT$6:$AT$97,MATCH(L30,WORLDCUP!$AI$6:$AI$97,0))</f>
        <v>-1</v>
      </c>
      <c r="K30" s="40" t="str">
        <f ca="1">+INDEX(WORLDCUP!$AR$6:$AR$97,MATCH(L30,WORLDCUP!$AI$6:$AI$97,0))&amp;"-"&amp;INDEX(WORLDCUP!$AS$6:$AS$97,MATCH(L30,WORLDCUP!$AI$6:$AI$97,0))</f>
        <v>4-5</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3</v>
      </c>
      <c r="R30" s="433" t="str">
        <f ca="1">+MID(INDEX(WORLDCUP!$AF$4:$AF$147,MATCH(M30,WORLDCUP!$AH$4:$AH$147,0)),1,3)</f>
        <v>Arg</v>
      </c>
      <c r="S30" s="454">
        <v>3</v>
      </c>
      <c r="T30" s="455" t="str">
        <f ca="1">+MID(INDEX(WORLDCUP!$AL$6:$AL$97,MATCH(X30,WORLDCUP!$AI$6:$AI$97,0)),1,3)</f>
        <v>Jor</v>
      </c>
      <c r="U30" s="35">
        <f ca="1">+INDEX(WORLDCUP!$AM$6:$AM$97,MATCH(X30,WORLDCUP!$AI$6:$AI$97,0))</f>
        <v>1</v>
      </c>
      <c r="V30" s="36">
        <f ca="1">+INDEX(WORLDCUP!$AT$6:$AT$97,MATCH(X30,WORLDCUP!$AI$6:$AI$97,0))</f>
        <v>-3</v>
      </c>
      <c r="W30" s="40" t="str">
        <f ca="1">+INDEX(WORLDCUP!$AR$6:$AR$97,MATCH(X30,WORLDCUP!$AI$6:$AI$97,0))&amp;"-"&amp;INDEX(WORLDCUP!$AS$6:$AS$97,MATCH(X30,WORLDCUP!$AI$6:$AI$97,0))</f>
        <v>2-5</v>
      </c>
      <c r="X30" s="177" t="s">
        <v>451</v>
      </c>
      <c r="Y30" s="177">
        <v>78</v>
      </c>
      <c r="Z30" s="412" t="s">
        <v>674</v>
      </c>
      <c r="AA30" s="413" t="str">
        <f ca="1">+MID(INDEX(WORLDCUP!$AA$101:$AA$147,MATCH(Y30,WORLDCUP!$Z$101:$Z$147,0)),1,3)</f>
        <v>Ale</v>
      </c>
      <c r="AB30" s="459">
        <f>+IF(ISBLANK(INDEX(WORLDCUP!$AC$101:$AC$147,MATCH(Y30,WORLDCUP!$Z$101:$Z$147,0))),"",INDEX(WORLDCUP!$AC$101:$AC$147,MATCH(Y30,WORLDCUP!$Z$101:$Z$147,0)))</f>
        <v>2</v>
      </c>
      <c r="AC30" s="493" t="str">
        <f>+IF(ISBLANK(INDEX(WORLDCUP!$AB$101:$AB$147,MATCH(Y30,WORLDCUP!$Z$101:$Z$147,0))),"","( "&amp;INDEX(WORLDCUP!$AB$101:$AB$147,MATCH(Y30,WORLDCUP!$Z$101:$Z$147,0))&amp;" )")</f>
        <v>( 5 )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Aus</v>
      </c>
      <c r="I31" s="464">
        <f ca="1">+INDEX(WORLDCUP!$AM$6:$AM$97,MATCH(L31,WORLDCUP!$AI$6:$AI$97,0))</f>
        <v>1</v>
      </c>
      <c r="J31" s="465">
        <f ca="1">+INDEX(WORLDCUP!$AT$6:$AT$97,MATCH(L31,WORLDCUP!$AI$6:$AI$97,0))</f>
        <v>-2</v>
      </c>
      <c r="K31" s="466" t="str">
        <f ca="1">+INDEX(WORLDCUP!$AR$6:$AR$97,MATCH(L31,WORLDCUP!$AI$6:$AI$97,0))&amp;"-"&amp;INDEX(WORLDCUP!$AS$6:$AS$97,MATCH(L31,WORLDCUP!$AI$6:$AI$97,0))</f>
        <v>3-5</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0</v>
      </c>
      <c r="R31" s="433" t="str">
        <f ca="1">+MID(INDEX(WORLDCUP!$AF$4:$AF$147,MATCH(M31,WORLDCUP!$AH$4:$AH$147,0)),1,3)</f>
        <v>Aus</v>
      </c>
      <c r="S31" s="454">
        <v>4</v>
      </c>
      <c r="T31" s="463" t="str">
        <f ca="1">+MID(INDEX(WORLDCUP!$AL$6:$AL$97,MATCH(X31,WORLDCUP!$AI$6:$AI$97,0)),1,3)</f>
        <v>Aus</v>
      </c>
      <c r="U31" s="464">
        <f ca="1">+INDEX(WORLDCUP!$AM$6:$AM$97,MATCH(X31,WORLDCUP!$AI$6:$AI$97,0))</f>
        <v>1</v>
      </c>
      <c r="V31" s="465">
        <f ca="1">+INDEX(WORLDCUP!$AT$6:$AT$97,MATCH(X31,WORLDCUP!$AI$6:$AI$97,0))</f>
        <v>-5</v>
      </c>
      <c r="W31" s="466" t="str">
        <f ca="1">+INDEX(WORLDCUP!$AR$6:$AR$97,MATCH(X31,WORLDCUP!$AI$6:$AI$97,0))&amp;"-"&amp;INDEX(WORLDCUP!$AS$6:$AS$97,MATCH(X31,WORLDCUP!$AI$6:$AI$97,0))</f>
        <v>1-6</v>
      </c>
      <c r="X31" s="177" t="s">
        <v>690</v>
      </c>
      <c r="Y31" s="177">
        <v>78</v>
      </c>
      <c r="Z31" s="412" t="s">
        <v>686</v>
      </c>
      <c r="AA31" s="467" t="str">
        <f ca="1">+MID(INDEX(WORLDCUP!$AF$101:$AF$147,MATCH(Y31,WORLDCUP!$Z$101:$Z$147,0)),1,3)</f>
        <v>Nor</v>
      </c>
      <c r="AB31" s="468">
        <f>+IF(ISBLANK(INDEX(WORLDCUP!$AD$101:$AD$147,MATCH(Y31,WORLDCUP!$Z$101:$Z$147,0))),"",INDEX(WORLDCUP!$AD$101:$AD$147,MATCH(Y31,WORLDCUP!$Z$101:$Z$147,0)))</f>
        <v>2</v>
      </c>
      <c r="AC31" s="494" t="str">
        <f>+IF(ISBLANK(INDEX(WORLDCUP!$AE$101:$AE$147,MATCH(Y31,WORLDCUP!$Z$101:$Z$147,0))),"","( "&amp;INDEX(WORLDCUP!$AE$101:$AE$147,MATCH(Y31,WORLDCUP!$Z$101:$Z$147,0))&amp;" )")</f>
        <v>( 3 )</v>
      </c>
      <c r="AD31" s="177"/>
      <c r="AE31" s="461"/>
      <c r="AF31" s="461"/>
      <c r="AG31" s="462"/>
      <c r="AH31" s="487">
        <v>99</v>
      </c>
      <c r="AI31" s="470" t="str">
        <f ca="1">+MID(INDEX(WORLDCUP!$AA$101:$AA$147,MATCH(AH31,WORLDCUP!$Z$101:$Z$147,0)),1,3)</f>
        <v>Mar</v>
      </c>
      <c r="AJ31" s="471">
        <f>+IF(ISBLANK(INDEX(WORLDCUP!$AC$101:$AC$147,MATCH(AH31,WORLDCUP!$Z$101:$Z$147,0))),"",INDEX(WORLDCUP!$AC$101:$AC$147,MATCH(AH31,WORLDCUP!$Z$101:$Z$147,0)))</f>
        <v>3</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Bélg</v>
      </c>
      <c r="AR31" s="535">
        <f>+IF(ISBLANK(INDEX(WORLDCUP!$AC$101:$AC$147,MATCH(AP31,WORLDCUP!$Z$101:$Z$147,0))),"",INDEX(WORLDCUP!$AC$101:$AC$147,MATCH(AP31,WORLDCUP!$Z$101:$Z$147,0)))</f>
        <v>3</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2</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1</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Cro</v>
      </c>
      <c r="AJ32" s="471">
        <f>+IF(ISBLANK(INDEX(WORLDCUP!$AD$101:$AD$147,MATCH(AH32,WORLDCUP!$Z$101:$Z$147,0))),"",INDEX(WORLDCUP!$AD$101:$AD$147,MATCH(AH32,WORLDCUP!$Z$101:$Z$147,0)))</f>
        <v>2</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Marr</v>
      </c>
      <c r="AR32" s="535">
        <f>+IF(ISBLANK(INDEX(WORLDCUP!$AD$101:$AD$147,MATCH(AP32,WORLDCUP!$Z$101:$Z$147,0))),"",INDEX(WORLDCUP!$AD$101:$AD$147,MATCH(AP32,WORLDCUP!$Z$101:$Z$147,0)))</f>
        <v>2</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Ara</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0</v>
      </c>
      <c r="BL34" s="452">
        <f ca="1">COUNTIF(Pool!$C$226:$C$229,Fixture!BG34)-BM34-BN34-BO34</f>
        <v>1</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2</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1</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Cro</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Ecu</v>
      </c>
      <c r="I36" s="436">
        <f ca="1">+INDEX(WORLDCUP!$AM$6:$AM$97,MATCH(L36,WORLDCUP!$AI$6:$AI$97,0))</f>
        <v>7</v>
      </c>
      <c r="J36" s="437">
        <f ca="1">+INDEX(WORLDCUP!$AT$6:$AT$97,MATCH(L36,WORLDCUP!$AI$6:$AI$97,0))</f>
        <v>4</v>
      </c>
      <c r="K36" s="438" t="str">
        <f ca="1">+INDEX(WORLDCUP!$AR$6:$AR$97,MATCH(L36,WORLDCUP!$AI$6:$AI$97,0))&amp;"-"&amp;INDEX(WORLDCUP!$AS$6:$AS$97,MATCH(L36,WORLDCUP!$AI$6:$AI$97,0))</f>
        <v>7-3</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7</v>
      </c>
      <c r="V36" s="437">
        <f ca="1">+INDEX(WORLDCUP!$AT$6:$AT$97,MATCH(X36,WORLDCUP!$AI$6:$AI$97,0))</f>
        <v>5</v>
      </c>
      <c r="W36" s="438" t="str">
        <f ca="1">+INDEX(WORLDCUP!$AR$6:$AR$97,MATCH(X36,WORLDCUP!$AI$6:$AI$97,0))&amp;"-"&amp;INDEX(WORLDCUP!$AS$6:$AS$97,MATCH(X36,WORLDCUP!$AI$6:$AI$97,0))</f>
        <v>8-3</v>
      </c>
      <c r="X36" s="177" t="s">
        <v>691</v>
      </c>
      <c r="Y36" s="177">
        <v>80</v>
      </c>
      <c r="Z36" s="412" t="s">
        <v>694</v>
      </c>
      <c r="AA36" s="413" t="str">
        <f ca="1">+MID(INDEX(WORLDCUP!$AA$101:$AA$147,MATCH(Y36,WORLDCUP!$Z$101:$Z$147,0)),1,3)</f>
        <v>Cro</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2</v>
      </c>
      <c r="F37" s="433" t="str">
        <f ca="1">+MID(INDEX(WORLDCUP!$AF$4:$AF$147,MATCH(A37,WORLDCUP!$AH$4:$AH$147,0)),1,3)</f>
        <v>Cos</v>
      </c>
      <c r="G37" s="454">
        <v>2</v>
      </c>
      <c r="H37" s="455" t="str">
        <f ca="1">+MID(INDEX(WORLDCUP!$AL$6:$AL$97,MATCH(L37,WORLDCUP!$AI$6:$AI$97,0)),1,3)</f>
        <v>Ale</v>
      </c>
      <c r="I37" s="35">
        <f ca="1">+INDEX(WORLDCUP!$AM$6:$AM$97,MATCH(L37,WORLDCUP!$AI$6:$AI$97,0))</f>
        <v>7</v>
      </c>
      <c r="J37" s="36">
        <f ca="1">+INDEX(WORLDCUP!$AT$6:$AT$97,MATCH(L37,WORLDCUP!$AI$6:$AI$97,0))</f>
        <v>3</v>
      </c>
      <c r="K37" s="40" t="str">
        <f ca="1">+INDEX(WORLDCUP!$AR$6:$AR$97,MATCH(L37,WORLDCUP!$AI$6:$AI$97,0))&amp;"-"&amp;INDEX(WORLDCUP!$AS$6:$AS$97,MATCH(L37,WORLDCUP!$AI$6:$AI$97,0))</f>
        <v>7-4</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7</v>
      </c>
      <c r="V37" s="36">
        <f ca="1">+INDEX(WORLDCUP!$AT$6:$AT$97,MATCH(X37,WORLDCUP!$AI$6:$AI$97,0))</f>
        <v>4</v>
      </c>
      <c r="W37" s="40" t="str">
        <f ca="1">+INDEX(WORLDCUP!$AR$6:$AR$97,MATCH(X37,WORLDCUP!$AI$6:$AI$97,0))&amp;"-"&amp;INDEX(WORLDCUP!$AS$6:$AS$97,MATCH(X37,WORLDCUP!$AI$6:$AI$97,0))</f>
        <v>7-3</v>
      </c>
      <c r="X37" s="177" t="s">
        <v>692</v>
      </c>
      <c r="Y37" s="177">
        <v>80</v>
      </c>
      <c r="Z37" s="412" t="s">
        <v>737</v>
      </c>
      <c r="AA37" s="467" t="str">
        <f ca="1">+MID(INDEX(WORLDCUP!$AF$101:$AF$147,MATCH(Y37,WORLDCUP!$Z$101:$Z$147,0)),1,IF(WORLDCUP!$H$113&lt;144,6,3))</f>
        <v>Uzb</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Mar</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1</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-2</v>
      </c>
      <c r="K38" s="40" t="str">
        <f ca="1">+INDEX(WORLDCUP!$AR$6:$AR$97,MATCH(L38,WORLDCUP!$AI$6:$AI$97,0))&amp;"-"&amp;INDEX(WORLDCUP!$AS$6:$AS$97,MATCH(L38,WORLDCUP!$AI$6:$AI$97,0))</f>
        <v>5-7</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1</v>
      </c>
      <c r="R38" s="433" t="str">
        <f ca="1">+MID(INDEX(WORLDCUP!$AF$4:$AF$147,MATCH(M38,WORLDCUP!$AH$4:$AH$147,0)),1,3)</f>
        <v xml:space="preserve">RD </v>
      </c>
      <c r="S38" s="454">
        <v>3</v>
      </c>
      <c r="T38" s="455" t="str">
        <f ca="1">+MID(INDEX(WORLDCUP!$AL$6:$AL$97,MATCH(X38,WORLDCUP!$AI$6:$AI$97,0)),1,3)</f>
        <v>Uzb</v>
      </c>
      <c r="U38" s="35">
        <f ca="1">+INDEX(WORLDCUP!$AM$6:$AM$97,MATCH(X38,WORLDCUP!$AI$6:$AI$97,0))</f>
        <v>3</v>
      </c>
      <c r="V38" s="36">
        <f ca="1">+INDEX(WORLDCUP!$AT$6:$AT$97,MATCH(X38,WORLDCUP!$AI$6:$AI$97,0))</f>
        <v>-4</v>
      </c>
      <c r="W38" s="40" t="str">
        <f ca="1">+INDEX(WORLDCUP!$AR$6:$AR$97,MATCH(X38,WORLDCUP!$AI$6:$AI$97,0))&amp;"-"&amp;INDEX(WORLDCUP!$AS$6:$AS$97,MATCH(X38,WORLDCUP!$AI$6:$AI$97,0))</f>
        <v>2-6</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-5</v>
      </c>
      <c r="K39" s="466" t="str">
        <f ca="1">+INDEX(WORLDCUP!$AR$6:$AR$97,MATCH(L39,WORLDCUP!$AI$6:$AI$97,0))&amp;"-"&amp;INDEX(WORLDCUP!$AS$6:$AS$97,MATCH(L39,WORLDCUP!$AI$6:$AI$97,0))</f>
        <v>1-6</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 xml:space="preserve">RD </v>
      </c>
      <c r="U39" s="464">
        <f ca="1">+INDEX(WORLDCUP!$AM$6:$AM$97,MATCH(X39,WORLDCUP!$AI$6:$AI$97,0))</f>
        <v>0</v>
      </c>
      <c r="V39" s="465">
        <f ca="1">+INDEX(WORLDCUP!$AT$6:$AT$97,MATCH(X39,WORLDCUP!$AI$6:$AI$97,0))</f>
        <v>-5</v>
      </c>
      <c r="W39" s="466" t="str">
        <f ca="1">+INDEX(WORLDCUP!$AR$6:$AR$97,MATCH(X39,WORLDCUP!$AI$6:$AI$97,0))&amp;"-"&amp;INDEX(WORLDCUP!$AS$6:$AS$97,MATCH(X39,WORLDCUP!$AI$6:$AI$97,0))</f>
        <v>3-8</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2</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0</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1</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3</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Nue</v>
      </c>
      <c r="AB43" s="468">
        <f>+IF(ISBLANK(INDEX(WORLDCUP!$AD$101:$AD$147,MATCH(Y43,WORLDCUP!$Z$101:$Z$147,0))),"",INDEX(WORLDCUP!$AD$101:$AD$147,MATCH(Y43,WORLDCUP!$Z$101:$Z$147,0)))</f>
        <v>0</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( 4 )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1</v>
      </c>
      <c r="BI43" s="450">
        <f ca="1">COUNTIF(Pool!$C$130:$C$161,Fixture!BG43)-BJ43-BK43-BL43-BM43-BN43-BO43</f>
        <v>0</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6</v>
      </c>
      <c r="J44" s="437">
        <f ca="1">+INDEX(WORLDCUP!$AT$6:$AT$97,MATCH(L44,WORLDCUP!$AI$6:$AI$97,0))</f>
        <v>0</v>
      </c>
      <c r="K44" s="438" t="str">
        <f ca="1">+INDEX(WORLDCUP!$AR$6:$AR$97,MATCH(L44,WORLDCUP!$AI$6:$AI$97,0))&amp;"-"&amp;INDEX(WORLDCUP!$AS$6:$AS$97,MATCH(L44,WORLDCUP!$AI$6:$AI$97,0))</f>
        <v>5-5</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2</v>
      </c>
      <c r="R44" s="433" t="str">
        <f ca="1">+MID(INDEX(WORLDCUP!$AF$4:$AF$147,MATCH(M44,WORLDCUP!$AH$4:$AH$147,0)),1,3)</f>
        <v>Pan</v>
      </c>
      <c r="S44" s="434">
        <v>1</v>
      </c>
      <c r="T44" s="435" t="str">
        <f ca="1">+MID(INDEX(WORLDCUP!$AL$6:$AL$97,MATCH(X44,WORLDCUP!$AI$6:$AI$97,0)),1,3)</f>
        <v>Cro</v>
      </c>
      <c r="U44" s="436">
        <f ca="1">+INDEX(WORLDCUP!$AM$6:$AM$97,MATCH(X44,WORLDCUP!$AI$6:$AI$97,0))</f>
        <v>9</v>
      </c>
      <c r="V44" s="437">
        <f ca="1">+INDEX(WORLDCUP!$AT$6:$AT$97,MATCH(X44,WORLDCUP!$AI$6:$AI$97,0))</f>
        <v>4</v>
      </c>
      <c r="W44" s="438" t="str">
        <f ca="1">+INDEX(WORLDCUP!$AR$6:$AR$97,MATCH(X44,WORLDCUP!$AI$6:$AI$97,0))&amp;"-"&amp;INDEX(WORLDCUP!$AS$6:$AS$97,MATCH(X44,WORLDCUP!$AI$6:$AI$97,0))</f>
        <v>7-3</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( 2 )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Sue</v>
      </c>
      <c r="I45" s="35">
        <f ca="1">+INDEX(WORLDCUP!$AM$6:$AM$97,MATCH(L45,WORLDCUP!$AI$6:$AI$97,0))</f>
        <v>6</v>
      </c>
      <c r="J45" s="36">
        <f ca="1">+INDEX(WORLDCUP!$AT$6:$AT$97,MATCH(L45,WORLDCUP!$AI$6:$AI$97,0))</f>
        <v>2</v>
      </c>
      <c r="K45" s="40" t="str">
        <f ca="1">+INDEX(WORLDCUP!$AR$6:$AR$97,MATCH(L45,WORLDCUP!$AI$6:$AI$97,0))&amp;"-"&amp;INDEX(WORLDCUP!$AS$6:$AS$97,MATCH(L45,WORLDCUP!$AI$6:$AI$97,0))</f>
        <v>6-4</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2</v>
      </c>
      <c r="R45" s="433" t="str">
        <f ca="1">+MID(INDEX(WORLDCUP!$AF$4:$AF$147,MATCH(M45,WORLDCUP!$AH$4:$AH$147,0)),1,3)</f>
        <v>Gha</v>
      </c>
      <c r="S45" s="454">
        <v>2</v>
      </c>
      <c r="T45" s="455" t="str">
        <f ca="1">+MID(INDEX(WORLDCUP!$AL$6:$AL$97,MATCH(X45,WORLDCUP!$AI$6:$AI$97,0)),1,3)</f>
        <v>Ing</v>
      </c>
      <c r="U45" s="35">
        <f ca="1">+INDEX(WORLDCUP!$AM$6:$AM$97,MATCH(X45,WORLDCUP!$AI$6:$AI$97,0))</f>
        <v>6</v>
      </c>
      <c r="V45" s="36">
        <f ca="1">+INDEX(WORLDCUP!$AT$6:$AT$97,MATCH(X45,WORLDCUP!$AI$6:$AI$97,0))</f>
        <v>2</v>
      </c>
      <c r="W45" s="40" t="str">
        <f ca="1">+INDEX(WORLDCUP!$AR$6:$AR$97,MATCH(X45,WORLDCUP!$AI$6:$AI$97,0))&amp;"-"&amp;INDEX(WORLDCUP!$AS$6:$AS$97,MATCH(X45,WORLDCUP!$AI$6:$AI$97,0))</f>
        <v>7-5</v>
      </c>
      <c r="X45" s="177" t="s">
        <v>695</v>
      </c>
      <c r="Y45" s="177">
        <v>85</v>
      </c>
      <c r="Z45" s="412" t="s">
        <v>660</v>
      </c>
      <c r="AA45" s="413" t="str">
        <f ca="1">+MID(INDEX(WORLDCUP!$AA$101:$AA$147,MATCH(Y45,WORLDCUP!$Z$101:$Z$147,0)),1,3)</f>
        <v>Sui</v>
      </c>
      <c r="AB45" s="414">
        <f>+IF(ISBLANK(INDEX(WORLDCUP!$AC$101:$AC$147,MATCH(Y45,WORLDCUP!$Z$101:$Z$147,0))),"",INDEX(WORLDCUP!$AC$101:$AC$147,MATCH(Y45,WORLDCUP!$Z$101:$Z$147,0)))</f>
        <v>3</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0</v>
      </c>
      <c r="BI45" s="450">
        <f ca="1">COUNTIF(Pool!$C$130:$C$161,Fixture!BG45)-BJ45-BK45-BL45-BM45-BN45-BO45</f>
        <v>1</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1</v>
      </c>
      <c r="F46" s="433" t="str">
        <f ca="1">+MID(INDEX(WORLDCUP!$AF$4:$AF$147,MATCH(A46,WORLDCUP!$AH$4:$AH$147,0)),1,3)</f>
        <v>Jap</v>
      </c>
      <c r="G46" s="454">
        <v>3</v>
      </c>
      <c r="H46" s="455" t="str">
        <f ca="1">+MID(INDEX(WORLDCUP!$AL$6:$AL$97,MATCH(L46,WORLDCUP!$AI$6:$AI$97,0)),1,3)</f>
        <v>Jap</v>
      </c>
      <c r="I46" s="35">
        <f ca="1">+INDEX(WORLDCUP!$AM$6:$AM$97,MATCH(L46,WORLDCUP!$AI$6:$AI$97,0))</f>
        <v>4</v>
      </c>
      <c r="J46" s="36">
        <f ca="1">+INDEX(WORLDCUP!$AT$6:$AT$97,MATCH(L46,WORLDCUP!$AI$6:$AI$97,0))</f>
        <v>0</v>
      </c>
      <c r="K46" s="40" t="str">
        <f ca="1">+INDEX(WORLDCUP!$AR$6:$AR$97,MATCH(L46,WORLDCUP!$AI$6:$AI$97,0))&amp;"-"&amp;INDEX(WORLDCUP!$AS$6:$AS$97,MATCH(L46,WORLDCUP!$AI$6:$AI$97,0))</f>
        <v>5-5</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1</v>
      </c>
      <c r="V46" s="36">
        <f ca="1">+INDEX(WORLDCUP!$AT$6:$AT$97,MATCH(X46,WORLDCUP!$AI$6:$AI$97,0))</f>
        <v>-2</v>
      </c>
      <c r="W46" s="40" t="str">
        <f ca="1">+INDEX(WORLDCUP!$AR$6:$AR$97,MATCH(X46,WORLDCUP!$AI$6:$AI$97,0))&amp;"-"&amp;INDEX(WORLDCUP!$AS$6:$AS$97,MATCH(X46,WORLDCUP!$AI$6:$AI$97,0))</f>
        <v>5-7</v>
      </c>
      <c r="X46" s="177" t="s">
        <v>453</v>
      </c>
      <c r="Y46" s="177">
        <v>85</v>
      </c>
      <c r="Z46" s="412" t="s">
        <v>740</v>
      </c>
      <c r="AA46" s="413" t="str">
        <f ca="1">+MID(INDEX(WORLDCUP!$AF$101:$AF$147,MATCH(Y46,WORLDCUP!$Z$101:$Z$147,0)),1,IF(WORLDCUP!$H$113&lt;144,6,3))</f>
        <v>Egi</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3</v>
      </c>
      <c r="F47" s="433" t="str">
        <f ca="1">+MID(INDEX(WORLDCUP!$AF$4:$AF$147,MATCH(A47,WORLDCUP!$AH$4:$AH$147,0)),1,3)</f>
        <v>Sue</v>
      </c>
      <c r="G47" s="454">
        <v>4</v>
      </c>
      <c r="H47" s="463" t="str">
        <f ca="1">+MID(INDEX(WORLDCUP!$AL$6:$AL$97,MATCH(L47,WORLDCUP!$AI$6:$AI$97,0)),1,3)</f>
        <v>Tún</v>
      </c>
      <c r="I47" s="464">
        <f ca="1">+INDEX(WORLDCUP!$AM$6:$AM$97,MATCH(L47,WORLDCUP!$AI$6:$AI$97,0))</f>
        <v>1</v>
      </c>
      <c r="J47" s="465">
        <f ca="1">+INDEX(WORLDCUP!$AT$6:$AT$97,MATCH(L47,WORLDCUP!$AI$6:$AI$97,0))</f>
        <v>-2</v>
      </c>
      <c r="K47" s="466" t="str">
        <f ca="1">+INDEX(WORLDCUP!$AR$6:$AR$97,MATCH(L47,WORLDCUP!$AI$6:$AI$97,0))&amp;"-"&amp;INDEX(WORLDCUP!$AS$6:$AS$97,MATCH(L47,WORLDCUP!$AI$6:$AI$97,0))</f>
        <v>3-5</v>
      </c>
      <c r="L47" s="177" t="s">
        <v>678</v>
      </c>
      <c r="M47" s="177">
        <v>67</v>
      </c>
      <c r="N47" s="555"/>
      <c r="O47" s="431" t="str">
        <f ca="1">+MID(INDEX(WORLDCUP!$AA$4:$AA$147,MATCH(M47,WORLDCUP!$AH$4:$AH$147,0)),1,3)</f>
        <v>Pan</v>
      </c>
      <c r="P47" s="432">
        <f>IF(ISBLANK(INDEX(WORLDCUP!$AC$4:$AC$147,MATCH(M47,WORLDCUP!$AH$4:$AH$147,0))),"",INDEX(WORLDCUP!$AC$4:$AC$147,MATCH(M47,WORLDCUP!$AH$4:$AH$147,0)))</f>
        <v>1</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1</v>
      </c>
      <c r="V47" s="465">
        <f ca="1">+INDEX(WORLDCUP!$AT$6:$AT$97,MATCH(X47,WORLDCUP!$AI$6:$AI$97,0))</f>
        <v>-4</v>
      </c>
      <c r="W47" s="466" t="str">
        <f ca="1">+INDEX(WORLDCUP!$AR$6:$AR$97,MATCH(X47,WORLDCUP!$AI$6:$AI$97,0))&amp;"-"&amp;INDEX(WORLDCUP!$AS$6:$AS$97,MATCH(X47,WORLDCUP!$AI$6:$AI$97,0))</f>
        <v>4-8</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3</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Sen</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1</v>
      </c>
      <c r="BI49" s="450">
        <f ca="1">COUNTIF(Pool!$C$130:$C$161,Fixture!BG49)-BJ49-BK49-BL49-BM49-BN49-BO49</f>
        <v>0</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0</v>
      </c>
      <c r="BI51" s="562">
        <f ca="1">COUNTIF(Pool!$C$130:$C$161,Fixture!BG51)-BJ51-BK51-BL51-BM51-BN51-BO51</f>
        <v>1</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Jordania</v>
      </c>
      <c r="E2" s="7" t="str">
        <f ca="1">+WORLDCUP!BD66</f>
        <v>Senegal</v>
      </c>
      <c r="F2" s="7" t="str">
        <f ca="1">+WORLDCUP!BD63</f>
        <v>Japón</v>
      </c>
      <c r="G2" s="7" t="str">
        <f ca="1">+WORLDCUP!BD65</f>
        <v>Arabia Saudita</v>
      </c>
      <c r="H2" s="7" t="str">
        <f ca="1">+WORLDCUP!BD64</f>
        <v>Egipto</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Egipto</v>
      </c>
      <c r="E3" s="7" t="str">
        <f ca="1">+WORLDCUP!BD66</f>
        <v>Senegal</v>
      </c>
      <c r="F3" s="7" t="str">
        <f ca="1">+WORLDCUP!BD61</f>
        <v>Turquía</v>
      </c>
      <c r="G3" s="7" t="str">
        <f ca="1">+WORLDCUP!BD67</f>
        <v>Jordania</v>
      </c>
      <c r="H3" s="7" t="str">
        <f ca="1">+WORLDCUP!BD63</f>
        <v>Japón</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Jordania</v>
      </c>
      <c r="E4" s="7" t="str">
        <f ca="1">+WORLDCUP!BD66</f>
        <v>Senegal</v>
      </c>
      <c r="F4" s="7" t="str">
        <f ca="1">+WORLDCUP!BD61</f>
        <v>Turquía</v>
      </c>
      <c r="G4" s="7" t="str">
        <f ca="1">+WORLDCUP!BD65</f>
        <v>Arabia Saudita</v>
      </c>
      <c r="H4" s="7" t="str">
        <f ca="1">+WORLDCUP!BD64</f>
        <v>Egipto</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Jordania</v>
      </c>
      <c r="E5" s="7" t="str">
        <f ca="1">+WORLDCUP!BD66</f>
        <v>Senegal</v>
      </c>
      <c r="F5" s="7" t="str">
        <f ca="1">+WORLDCUP!BD61</f>
        <v>Turquía</v>
      </c>
      <c r="G5" s="7" t="str">
        <f ca="1">+WORLDCUP!BD65</f>
        <v>Arabia Saudita</v>
      </c>
      <c r="H5" s="7" t="str">
        <f ca="1">+WORLDCUP!BD63</f>
        <v>Japón</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Egipto</v>
      </c>
      <c r="E6" s="7" t="str">
        <f ca="1">+WORLDCUP!BD66</f>
        <v>Senegal</v>
      </c>
      <c r="F6" s="7" t="str">
        <f ca="1">+WORLDCUP!BD61</f>
        <v>Turquía</v>
      </c>
      <c r="G6" s="7" t="str">
        <f ca="1">+WORLDCUP!BD67</f>
        <v>Jordania</v>
      </c>
      <c r="H6" s="7" t="str">
        <f ca="1">+WORLDCUP!BD63</f>
        <v>Japón</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Egipto</v>
      </c>
      <c r="E7" s="7" t="str">
        <f ca="1">+WORLDCUP!BD67</f>
        <v>Jordania</v>
      </c>
      <c r="F7" s="7" t="str">
        <f ca="1">+WORLDCUP!BD61</f>
        <v>Turquía</v>
      </c>
      <c r="G7" s="7" t="str">
        <f ca="1">+WORLDCUP!BD65</f>
        <v>Arabia Saudita</v>
      </c>
      <c r="H7" s="7" t="str">
        <f ca="1">+WORLDCUP!BD63</f>
        <v>Japón</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Egipto</v>
      </c>
      <c r="E8" s="7" t="str">
        <f ca="1">+WORLDCUP!BD66</f>
        <v>Senegal</v>
      </c>
      <c r="F8" s="7" t="str">
        <f ca="1">+WORLDCUP!BD61</f>
        <v>Turquía</v>
      </c>
      <c r="G8" s="7" t="str">
        <f ca="1">+WORLDCUP!BD65</f>
        <v>Arabia Saudita</v>
      </c>
      <c r="H8" s="7" t="str">
        <f ca="1">+WORLDCUP!BD63</f>
        <v>Japón</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Egipto</v>
      </c>
      <c r="E9" s="7" t="str">
        <f ca="1">+WORLDCUP!BD67</f>
        <v>Jordania</v>
      </c>
      <c r="F9" s="7" t="str">
        <f ca="1">+WORLDCUP!BD61</f>
        <v>Turquía</v>
      </c>
      <c r="G9" s="7" t="str">
        <f ca="1">+WORLDCUP!BD65</f>
        <v>Arabia Saudita</v>
      </c>
      <c r="H9" s="7" t="str">
        <f ca="1">+WORLDCUP!BD63</f>
        <v>Japón</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Egipto</v>
      </c>
      <c r="E10" s="7" t="str">
        <f ca="1">+WORLDCUP!BD67</f>
        <v>Jordania</v>
      </c>
      <c r="F10" s="7" t="str">
        <f ca="1">+WORLDCUP!BD61</f>
        <v>Turquía</v>
      </c>
      <c r="G10" s="7" t="str">
        <f ca="1">+WORLDCUP!BD65</f>
        <v>Arabia Saudita</v>
      </c>
      <c r="H10" s="7" t="str">
        <f ca="1">+WORLDCUP!BD63</f>
        <v>Japón</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Egipto</v>
      </c>
      <c r="E11" s="7" t="str">
        <f ca="1">+WORLDCUP!BD66</f>
        <v>Senegal</v>
      </c>
      <c r="F11" s="7" t="str">
        <f ca="1">+WORLDCUP!BD60</f>
        <v>Escocia</v>
      </c>
      <c r="G11" s="7" t="str">
        <f ca="1">+WORLDCUP!BD67</f>
        <v>Jordania</v>
      </c>
      <c r="H11" s="7" t="str">
        <f ca="1">+WORLDCUP!BD63</f>
        <v>Japón</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Jordania</v>
      </c>
      <c r="E12" s="7" t="str">
        <f ca="1">+WORLDCUP!BD66</f>
        <v>Senegal</v>
      </c>
      <c r="F12" s="7" t="str">
        <f ca="1">+WORLDCUP!BD60</f>
        <v>Escocia</v>
      </c>
      <c r="G12" s="7" t="str">
        <f ca="1">+WORLDCUP!BD65</f>
        <v>Arabia Saudita</v>
      </c>
      <c r="H12" s="7" t="str">
        <f ca="1">+WORLDCUP!BD64</f>
        <v>Egipto</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Jordania</v>
      </c>
      <c r="E13" s="7" t="str">
        <f ca="1">+WORLDCUP!BD66</f>
        <v>Senegal</v>
      </c>
      <c r="F13" s="7" t="str">
        <f ca="1">+WORLDCUP!BD60</f>
        <v>Escocia</v>
      </c>
      <c r="G13" s="7" t="str">
        <f ca="1">+WORLDCUP!BD65</f>
        <v>Arabia Saudita</v>
      </c>
      <c r="H13" s="7" t="str">
        <f ca="1">+WORLDCUP!BD63</f>
        <v>Japón</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Egipto</v>
      </c>
      <c r="E14" s="7" t="str">
        <f ca="1">+WORLDCUP!BD66</f>
        <v>Senegal</v>
      </c>
      <c r="F14" s="7" t="str">
        <f ca="1">+WORLDCUP!BD60</f>
        <v>Escocia</v>
      </c>
      <c r="G14" s="7" t="str">
        <f ca="1">+WORLDCUP!BD67</f>
        <v>Jordania</v>
      </c>
      <c r="H14" s="7" t="str">
        <f ca="1">+WORLDCUP!BD63</f>
        <v>Japón</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Egipto</v>
      </c>
      <c r="E15" s="7" t="str">
        <f ca="1">+WORLDCUP!BD67</f>
        <v>Jordania</v>
      </c>
      <c r="F15" s="7" t="str">
        <f ca="1">+WORLDCUP!BD60</f>
        <v>Escocia</v>
      </c>
      <c r="G15" s="7" t="str">
        <f ca="1">+WORLDCUP!BD65</f>
        <v>Arabia Saudita</v>
      </c>
      <c r="H15" s="7" t="str">
        <f ca="1">+WORLDCUP!BD63</f>
        <v>Japón</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Egipto</v>
      </c>
      <c r="E16" s="7" t="str">
        <f ca="1">+WORLDCUP!BD66</f>
        <v>Senegal</v>
      </c>
      <c r="F16" s="7" t="str">
        <f ca="1">+WORLDCUP!BD60</f>
        <v>Escocia</v>
      </c>
      <c r="G16" s="7" t="str">
        <f ca="1">+WORLDCUP!BD65</f>
        <v>Arabia Saudita</v>
      </c>
      <c r="H16" s="7" t="str">
        <f ca="1">+WORLDCUP!BD63</f>
        <v>Japón</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Egipto</v>
      </c>
      <c r="E17" s="7" t="str">
        <f ca="1">+WORLDCUP!BD67</f>
        <v>Jordania</v>
      </c>
      <c r="F17" s="7" t="str">
        <f ca="1">+WORLDCUP!BD60</f>
        <v>Escocia</v>
      </c>
      <c r="G17" s="7" t="str">
        <f ca="1">+WORLDCUP!BD65</f>
        <v>Arabia Saudita</v>
      </c>
      <c r="H17" s="7" t="str">
        <f ca="1">+WORLDCUP!BD63</f>
        <v>Japón</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Egipto</v>
      </c>
      <c r="E18" s="7" t="str">
        <f ca="1">+WORLDCUP!BD67</f>
        <v>Jordania</v>
      </c>
      <c r="F18" s="7" t="str">
        <f ca="1">+WORLDCUP!BD60</f>
        <v>Escocia</v>
      </c>
      <c r="G18" s="7" t="str">
        <f ca="1">+WORLDCUP!BD65</f>
        <v>Arabia Saudita</v>
      </c>
      <c r="H18" s="7" t="str">
        <f ca="1">+WORLDCUP!BD63</f>
        <v>Japón</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Egipto</v>
      </c>
      <c r="E19" s="7" t="str">
        <f ca="1">+WORLDCUP!BD66</f>
        <v>Senegal</v>
      </c>
      <c r="F19" s="7" t="str">
        <f ca="1">+WORLDCUP!BD60</f>
        <v>Escocia</v>
      </c>
      <c r="G19" s="7" t="str">
        <f ca="1">+WORLDCUP!BD67</f>
        <v>Jordania</v>
      </c>
      <c r="H19" s="7" t="str">
        <f ca="1">+WORLDCUP!BD61</f>
        <v>Turquía</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Jordania</v>
      </c>
      <c r="E20" s="7" t="str">
        <f ca="1">+WORLDCUP!BD66</f>
        <v>Senegal</v>
      </c>
      <c r="F20" s="7" t="str">
        <f ca="1">+WORLDCUP!BD61</f>
        <v>Turquía</v>
      </c>
      <c r="G20" s="7" t="str">
        <f ca="1">+WORLDCUP!BD65</f>
        <v>Arabia Saudita</v>
      </c>
      <c r="H20" s="7" t="str">
        <f ca="1">+WORLDCUP!BD63</f>
        <v>Japón</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Egipto</v>
      </c>
      <c r="E21" s="7" t="str">
        <f ca="1">+WORLDCUP!BD66</f>
        <v>Senegal</v>
      </c>
      <c r="F21" s="7" t="str">
        <f ca="1">+WORLDCUP!BD61</f>
        <v>Turquía</v>
      </c>
      <c r="G21" s="7" t="str">
        <f ca="1">+WORLDCUP!BD67</f>
        <v>Jordania</v>
      </c>
      <c r="H21" s="7" t="str">
        <f ca="1">+WORLDCUP!BD63</f>
        <v>Japón</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Egipto</v>
      </c>
      <c r="E22" s="7" t="str">
        <f ca="1">+WORLDCUP!BD67</f>
        <v>Jordania</v>
      </c>
      <c r="F22" s="7" t="str">
        <f ca="1">+WORLDCUP!BD61</f>
        <v>Turquía</v>
      </c>
      <c r="G22" s="7" t="str">
        <f ca="1">+WORLDCUP!BD65</f>
        <v>Arabia Saudita</v>
      </c>
      <c r="H22" s="7" t="str">
        <f ca="1">+WORLDCUP!BD63</f>
        <v>Japón</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Egipto</v>
      </c>
      <c r="E23" s="7" t="str">
        <f ca="1">+WORLDCUP!BD66</f>
        <v>Senegal</v>
      </c>
      <c r="F23" s="7" t="str">
        <f ca="1">+WORLDCUP!BD61</f>
        <v>Turquía</v>
      </c>
      <c r="G23" s="7" t="str">
        <f ca="1">+WORLDCUP!BD65</f>
        <v>Arabia Saudita</v>
      </c>
      <c r="H23" s="7" t="str">
        <f ca="1">+WORLDCUP!BD63</f>
        <v>Japón</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Egipto</v>
      </c>
      <c r="E24" s="7" t="str">
        <f ca="1">+WORLDCUP!BD67</f>
        <v>Jordania</v>
      </c>
      <c r="F24" s="7" t="str">
        <f ca="1">+WORLDCUP!BD61</f>
        <v>Turquía</v>
      </c>
      <c r="G24" s="7" t="str">
        <f ca="1">+WORLDCUP!BD65</f>
        <v>Arabia Saudita</v>
      </c>
      <c r="H24" s="7" t="str">
        <f ca="1">+WORLDCUP!BD63</f>
        <v>Japón</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Egipto</v>
      </c>
      <c r="E25" s="7" t="str">
        <f ca="1">+WORLDCUP!BD67</f>
        <v>Jordania</v>
      </c>
      <c r="F25" s="7" t="str">
        <f ca="1">+WORLDCUP!BD61</f>
        <v>Turquía</v>
      </c>
      <c r="G25" s="7" t="str">
        <f ca="1">+WORLDCUP!BD65</f>
        <v>Arabia Saudita</v>
      </c>
      <c r="H25" s="7" t="str">
        <f ca="1">+WORLDCUP!BD63</f>
        <v>Japón</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Jordania</v>
      </c>
      <c r="E26" s="7" t="str">
        <f ca="1">+WORLDCUP!BD66</f>
        <v>Senegal</v>
      </c>
      <c r="F26" s="7" t="str">
        <f ca="1">+WORLDCUP!BD60</f>
        <v>Escocia</v>
      </c>
      <c r="G26" s="7" t="str">
        <f ca="1">+WORLDCUP!BD65</f>
        <v>Arabia Saudita</v>
      </c>
      <c r="H26" s="7" t="str">
        <f ca="1">+WORLDCUP!BD61</f>
        <v>Turquía</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Egipto</v>
      </c>
      <c r="E27" s="7" t="str">
        <f ca="1">+WORLDCUP!BD66</f>
        <v>Senegal</v>
      </c>
      <c r="F27" s="7" t="str">
        <f ca="1">+WORLDCUP!BD60</f>
        <v>Escocia</v>
      </c>
      <c r="G27" s="7" t="str">
        <f ca="1">+WORLDCUP!BD67</f>
        <v>Jordania</v>
      </c>
      <c r="H27" s="7" t="str">
        <f ca="1">+WORLDCUP!BD61</f>
        <v>Turquía</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Egipto</v>
      </c>
      <c r="E28" s="7" t="str">
        <f ca="1">+WORLDCUP!BD67</f>
        <v>Jordania</v>
      </c>
      <c r="F28" s="7" t="str">
        <f ca="1">+WORLDCUP!BD60</f>
        <v>Escocia</v>
      </c>
      <c r="G28" s="7" t="str">
        <f ca="1">+WORLDCUP!BD65</f>
        <v>Arabia Saudita</v>
      </c>
      <c r="H28" s="7" t="str">
        <f ca="1">+WORLDCUP!BD61</f>
        <v>Turquía</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Egipto</v>
      </c>
      <c r="E29" s="7" t="str">
        <f ca="1">+WORLDCUP!BD66</f>
        <v>Senegal</v>
      </c>
      <c r="F29" s="7" t="str">
        <f ca="1">+WORLDCUP!BD60</f>
        <v>Escocia</v>
      </c>
      <c r="G29" s="7" t="str">
        <f ca="1">+WORLDCUP!BD65</f>
        <v>Arabia Saudita</v>
      </c>
      <c r="H29" s="7" t="str">
        <f ca="1">+WORLDCUP!BD61</f>
        <v>Turquía</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Egipto</v>
      </c>
      <c r="E30" s="7" t="str">
        <f ca="1">+WORLDCUP!BD67</f>
        <v>Jordania</v>
      </c>
      <c r="F30" s="7" t="str">
        <f ca="1">+WORLDCUP!BD60</f>
        <v>Escocia</v>
      </c>
      <c r="G30" s="7" t="str">
        <f ca="1">+WORLDCUP!BD65</f>
        <v>Arabia Saudita</v>
      </c>
      <c r="H30" s="7" t="str">
        <f ca="1">+WORLDCUP!BD61</f>
        <v>Turquía</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Egipto</v>
      </c>
      <c r="E31" s="7" t="str">
        <f ca="1">+WORLDCUP!BD67</f>
        <v>Jordania</v>
      </c>
      <c r="F31" s="7" t="str">
        <f ca="1">+WORLDCUP!BD60</f>
        <v>Escocia</v>
      </c>
      <c r="G31" s="7" t="str">
        <f ca="1">+WORLDCUP!BD65</f>
        <v>Arabia Saudita</v>
      </c>
      <c r="H31" s="7" t="str">
        <f ca="1">+WORLDCUP!BD61</f>
        <v>Turquía</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Jordania</v>
      </c>
      <c r="E32" s="7" t="str">
        <f ca="1">+WORLDCUP!BD62</f>
        <v>Costa de Marfil</v>
      </c>
      <c r="F32" s="7" t="str">
        <f ca="1">+WORLDCUP!BD61</f>
        <v>Turquía</v>
      </c>
      <c r="G32" s="7" t="str">
        <f ca="1">+WORLDCUP!BD66</f>
        <v>Senegal</v>
      </c>
      <c r="H32" s="7" t="str">
        <f ca="1">+WORLDCUP!BD63</f>
        <v>Japón</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Jordania</v>
      </c>
      <c r="E33" s="7" t="str">
        <f ca="1">+WORLDCUP!BD62</f>
        <v>Costa de Marfil</v>
      </c>
      <c r="F33" s="7" t="str">
        <f ca="1">+WORLDCUP!BD61</f>
        <v>Turquía</v>
      </c>
      <c r="G33" s="7" t="str">
        <f ca="1">+WORLDCUP!BD65</f>
        <v>Arabia Saudita</v>
      </c>
      <c r="H33" s="7" t="str">
        <f ca="1">+WORLDCUP!BD63</f>
        <v>Japón</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Turquía</v>
      </c>
      <c r="G34" s="7" t="str">
        <f ca="1">+WORLDCUP!BD65</f>
        <v>Arabia Saudita</v>
      </c>
      <c r="H34" s="7" t="str">
        <f ca="1">+WORLDCUP!BD63</f>
        <v>Japón</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Jordania</v>
      </c>
      <c r="E35" s="7" t="str">
        <f ca="1">+WORLDCUP!BD62</f>
        <v>Costa de Marfil</v>
      </c>
      <c r="F35" s="7" t="str">
        <f ca="1">+WORLDCUP!BD61</f>
        <v>Turquía</v>
      </c>
      <c r="G35" s="7" t="str">
        <f ca="1">+WORLDCUP!BD65</f>
        <v>Arabia Saudita</v>
      </c>
      <c r="H35" s="7" t="str">
        <f ca="1">+WORLDCUP!BD63</f>
        <v>Japón</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Jordania</v>
      </c>
      <c r="E36" s="7" t="str">
        <f ca="1">+WORLDCUP!BD62</f>
        <v>Costa de Marfil</v>
      </c>
      <c r="F36" s="7" t="str">
        <f ca="1">+WORLDCUP!BD61</f>
        <v>Turquía</v>
      </c>
      <c r="G36" s="7" t="str">
        <f ca="1">+WORLDCUP!BD65</f>
        <v>Arabia Saudita</v>
      </c>
      <c r="H36" s="7" t="str">
        <f ca="1">+WORLDCUP!BD63</f>
        <v>Japón</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Egipto</v>
      </c>
      <c r="E37" s="7" t="str">
        <f ca="1">+WORLDCUP!BD62</f>
        <v>Costa de Marfil</v>
      </c>
      <c r="F37" s="7" t="str">
        <f ca="1">+WORLDCUP!BD61</f>
        <v>Turquía</v>
      </c>
      <c r="G37" s="7" t="str">
        <f ca="1">+WORLDCUP!BD67</f>
        <v>Jordania</v>
      </c>
      <c r="H37" s="7" t="str">
        <f ca="1">+WORLDCUP!BD63</f>
        <v>Japón</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Egipto</v>
      </c>
      <c r="E38" s="7" t="str">
        <f ca="1">+WORLDCUP!BD62</f>
        <v>Costa de Marfil</v>
      </c>
      <c r="F38" s="7" t="str">
        <f ca="1">+WORLDCUP!BD61</f>
        <v>Turquía</v>
      </c>
      <c r="G38" s="7" t="str">
        <f ca="1">+WORLDCUP!BD66</f>
        <v>Senegal</v>
      </c>
      <c r="H38" s="7" t="str">
        <f ca="1">+WORLDCUP!BD63</f>
        <v>Japón</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Egipto</v>
      </c>
      <c r="E39" s="7" t="str">
        <f ca="1">+WORLDCUP!BD62</f>
        <v>Costa de Marfil</v>
      </c>
      <c r="F39" s="7" t="str">
        <f ca="1">+WORLDCUP!BD61</f>
        <v>Turquía</v>
      </c>
      <c r="G39" s="7" t="str">
        <f ca="1">+WORLDCUP!BD67</f>
        <v>Jordania</v>
      </c>
      <c r="H39" s="7" t="str">
        <f ca="1">+WORLDCUP!BD63</f>
        <v>Japón</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Egipto</v>
      </c>
      <c r="E40" s="7" t="str">
        <f ca="1">+WORLDCUP!BD62</f>
        <v>Costa de Marfil</v>
      </c>
      <c r="F40" s="7" t="str">
        <f ca="1">+WORLDCUP!BD61</f>
        <v>Turquía</v>
      </c>
      <c r="G40" s="7" t="str">
        <f ca="1">+WORLDCUP!BD67</f>
        <v>Jordania</v>
      </c>
      <c r="H40" s="7" t="str">
        <f ca="1">+WORLDCUP!BD63</f>
        <v>Japón</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Egipto</v>
      </c>
      <c r="E41" s="7" t="str">
        <f ca="1">+WORLDCUP!BD62</f>
        <v>Costa de Marfil</v>
      </c>
      <c r="F41" s="7" t="str">
        <f ca="1">+WORLDCUP!BD61</f>
        <v>Turquía</v>
      </c>
      <c r="G41" s="7" t="str">
        <f ca="1">+WORLDCUP!BD65</f>
        <v>Arabia Saudita</v>
      </c>
      <c r="H41" s="7" t="str">
        <f ca="1">+WORLDCUP!BD63</f>
        <v>Japón</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Egipto</v>
      </c>
      <c r="E42" s="7" t="str">
        <f ca="1">+WORLDCUP!BD67</f>
        <v>Jordania</v>
      </c>
      <c r="F42" s="7" t="str">
        <f ca="1">+WORLDCUP!BD61</f>
        <v>Turquía</v>
      </c>
      <c r="G42" s="7" t="str">
        <f ca="1">+WORLDCUP!BD65</f>
        <v>Arabia Saudita</v>
      </c>
      <c r="H42" s="7" t="str">
        <f ca="1">+WORLDCUP!BD63</f>
        <v>Japón</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Egipto</v>
      </c>
      <c r="E43" s="7" t="str">
        <f ca="1">+WORLDCUP!BD67</f>
        <v>Jordania</v>
      </c>
      <c r="F43" s="7" t="str">
        <f ca="1">+WORLDCUP!BD61</f>
        <v>Turquía</v>
      </c>
      <c r="G43" s="7" t="str">
        <f ca="1">+WORLDCUP!BD65</f>
        <v>Arabia Saudita</v>
      </c>
      <c r="H43" s="7" t="str">
        <f ca="1">+WORLDCUP!BD63</f>
        <v>Japón</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Egipto</v>
      </c>
      <c r="E44" s="7" t="str">
        <f ca="1">+WORLDCUP!BD62</f>
        <v>Costa de Marfil</v>
      </c>
      <c r="F44" s="7" t="str">
        <f ca="1">+WORLDCUP!BD61</f>
        <v>Turquía</v>
      </c>
      <c r="G44" s="7" t="str">
        <f ca="1">+WORLDCUP!BD65</f>
        <v>Arabia Saudita</v>
      </c>
      <c r="H44" s="7" t="str">
        <f ca="1">+WORLDCUP!BD63</f>
        <v>Japón</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Egipto</v>
      </c>
      <c r="E45" s="7" t="str">
        <f ca="1">+WORLDCUP!BD62</f>
        <v>Costa de Marfil</v>
      </c>
      <c r="F45" s="7" t="str">
        <f ca="1">+WORLDCUP!BD61</f>
        <v>Turquía</v>
      </c>
      <c r="G45" s="7" t="str">
        <f ca="1">+WORLDCUP!BD65</f>
        <v>Arabia Saudita</v>
      </c>
      <c r="H45" s="7" t="str">
        <f ca="1">+WORLDCUP!BD63</f>
        <v>Japón</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Egipto</v>
      </c>
      <c r="E46" s="7" t="str">
        <f ca="1">+WORLDCUP!BD67</f>
        <v>Jordania</v>
      </c>
      <c r="F46" s="7" t="str">
        <f ca="1">+WORLDCUP!BD61</f>
        <v>Turquía</v>
      </c>
      <c r="G46" s="7" t="str">
        <f ca="1">+WORLDCUP!BD65</f>
        <v>Arabia Saudita</v>
      </c>
      <c r="H46" s="7" t="str">
        <f ca="1">+WORLDCUP!BD63</f>
        <v>Japón</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Jordania</v>
      </c>
      <c r="E47" s="7" t="str">
        <f ca="1">+WORLDCUP!BD59</f>
        <v>Catar</v>
      </c>
      <c r="F47" s="7" t="str">
        <f ca="1">+WORLDCUP!BD63</f>
        <v>Japón</v>
      </c>
      <c r="G47" s="7" t="str">
        <f ca="1">+WORLDCUP!BD66</f>
        <v>Senegal</v>
      </c>
      <c r="H47" s="7" t="str">
        <f ca="1">+WORLDCUP!BD64</f>
        <v>Egipto</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Jordania</v>
      </c>
      <c r="E48" s="7" t="str">
        <f ca="1">+WORLDCUP!BD66</f>
        <v>Senegal</v>
      </c>
      <c r="F48" s="7" t="str">
        <f ca="1">+WORLDCUP!BD59</f>
        <v>Catar</v>
      </c>
      <c r="G48" s="7" t="str">
        <f ca="1">+WORLDCUP!BD65</f>
        <v>Arabia Saudita</v>
      </c>
      <c r="H48" s="7" t="str">
        <f ca="1">+WORLDCUP!BD64</f>
        <v>Egipto</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Jordania</v>
      </c>
      <c r="E49" s="7" t="str">
        <f ca="1">+WORLDCUP!BD59</f>
        <v>Catar</v>
      </c>
      <c r="F49" s="7" t="str">
        <f ca="1">+WORLDCUP!BD63</f>
        <v>Japón</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Jordania</v>
      </c>
      <c r="E50" s="7" t="str">
        <f ca="1">+WORLDCUP!BD59</f>
        <v>Catar</v>
      </c>
      <c r="F50" s="7" t="str">
        <f ca="1">+WORLDCUP!BD63</f>
        <v>Japón</v>
      </c>
      <c r="G50" s="7" t="str">
        <f ca="1">+WORLDCUP!BD66</f>
        <v>Senegal</v>
      </c>
      <c r="H50" s="7" t="str">
        <f ca="1">+WORLDCUP!BD64</f>
        <v>Egipto</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Jordania</v>
      </c>
      <c r="E51" s="7" t="str">
        <f ca="1">+WORLDCUP!BD59</f>
        <v>Catar</v>
      </c>
      <c r="F51" s="7" t="str">
        <f ca="1">+WORLDCUP!BD63</f>
        <v>Japón</v>
      </c>
      <c r="G51" s="7" t="str">
        <f ca="1">+WORLDCUP!BD65</f>
        <v>Arabia Saudita</v>
      </c>
      <c r="H51" s="7" t="str">
        <f ca="1">+WORLDCUP!BD64</f>
        <v>Egipto</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Egipto</v>
      </c>
      <c r="E52" s="7" t="str">
        <f ca="1">+WORLDCUP!BD59</f>
        <v>Catar</v>
      </c>
      <c r="F52" s="7" t="str">
        <f ca="1">+WORLDCUP!BD63</f>
        <v>Japón</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Jordania</v>
      </c>
      <c r="E53" s="7" t="str">
        <f ca="1">+WORLDCUP!BD59</f>
        <v>Catar</v>
      </c>
      <c r="F53" s="7" t="str">
        <f ca="1">+WORLDCUP!BD63</f>
        <v>Japón</v>
      </c>
      <c r="G53" s="7" t="str">
        <f ca="1">+WORLDCUP!BD65</f>
        <v>Arabia Saudita</v>
      </c>
      <c r="H53" s="7" t="str">
        <f ca="1">+WORLDCUP!BD64</f>
        <v>Egipto</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Jordania</v>
      </c>
      <c r="E54" s="7" t="str">
        <f ca="1">+WORLDCUP!BD59</f>
        <v>Catar</v>
      </c>
      <c r="F54" s="7" t="str">
        <f ca="1">+WORLDCUP!BD63</f>
        <v>Japón</v>
      </c>
      <c r="G54" s="7" t="str">
        <f ca="1">+WORLDCUP!BD65</f>
        <v>Arabia Saudita</v>
      </c>
      <c r="H54" s="7" t="str">
        <f ca="1">+WORLDCUP!BD64</f>
        <v>Egipto</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Jordania</v>
      </c>
      <c r="E55" s="7" t="str">
        <f ca="1">+WORLDCUP!BD59</f>
        <v>Catar</v>
      </c>
      <c r="F55" s="7" t="str">
        <f ca="1">+WORLDCUP!BD61</f>
        <v>Turquía</v>
      </c>
      <c r="G55" s="7" t="str">
        <f ca="1">+WORLDCUP!BD66</f>
        <v>Senegal</v>
      </c>
      <c r="H55" s="7" t="str">
        <f ca="1">+WORLDCUP!BD64</f>
        <v>Egipto</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Jordania</v>
      </c>
      <c r="E56" s="7" t="str">
        <f ca="1">+WORLDCUP!BD59</f>
        <v>Catar</v>
      </c>
      <c r="F56" s="7" t="str">
        <f ca="1">+WORLDCUP!BD61</f>
        <v>Turquía</v>
      </c>
      <c r="G56" s="7" t="str">
        <f ca="1">+WORLDCUP!BD66</f>
        <v>Senegal</v>
      </c>
      <c r="H56" s="7" t="str">
        <f ca="1">+WORLDCUP!BD63</f>
        <v>Japón</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Egipto</v>
      </c>
      <c r="E57" s="7" t="str">
        <f ca="1">+WORLDCUP!BD59</f>
        <v>Catar</v>
      </c>
      <c r="F57" s="7" t="str">
        <f ca="1">+WORLDCUP!BD61</f>
        <v>Turquía</v>
      </c>
      <c r="G57" s="7" t="str">
        <f ca="1">+WORLDCUP!BD67</f>
        <v>Jordania</v>
      </c>
      <c r="H57" s="7" t="str">
        <f ca="1">+WORLDCUP!BD63</f>
        <v>Japón</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Egipto</v>
      </c>
      <c r="E58" s="7" t="str">
        <f ca="1">+WORLDCUP!BD59</f>
        <v>Catar</v>
      </c>
      <c r="F58" s="7" t="str">
        <f ca="1">+WORLDCUP!BD61</f>
        <v>Turquía</v>
      </c>
      <c r="G58" s="7" t="str">
        <f ca="1">+WORLDCUP!BD67</f>
        <v>Jordania</v>
      </c>
      <c r="H58" s="7" t="str">
        <f ca="1">+WORLDCUP!BD63</f>
        <v>Japón</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Egipto</v>
      </c>
      <c r="E59" s="7" t="str">
        <f ca="1">+WORLDCUP!BD59</f>
        <v>Catar</v>
      </c>
      <c r="F59" s="7" t="str">
        <f ca="1">+WORLDCUP!BD61</f>
        <v>Turquía</v>
      </c>
      <c r="G59" s="7" t="str">
        <f ca="1">+WORLDCUP!BD66</f>
        <v>Senegal</v>
      </c>
      <c r="H59" s="7" t="str">
        <f ca="1">+WORLDCUP!BD63</f>
        <v>Japón</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Egipto</v>
      </c>
      <c r="E60" s="7" t="str">
        <f ca="1">+WORLDCUP!BD59</f>
        <v>Catar</v>
      </c>
      <c r="F60" s="7" t="str">
        <f ca="1">+WORLDCUP!BD61</f>
        <v>Turquía</v>
      </c>
      <c r="G60" s="7" t="str">
        <f ca="1">+WORLDCUP!BD67</f>
        <v>Jordania</v>
      </c>
      <c r="H60" s="7" t="str">
        <f ca="1">+WORLDCUP!BD63</f>
        <v>Japón</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Egipto</v>
      </c>
      <c r="E61" s="7" t="str">
        <f ca="1">+WORLDCUP!BD59</f>
        <v>Catar</v>
      </c>
      <c r="F61" s="7" t="str">
        <f ca="1">+WORLDCUP!BD61</f>
        <v>Turquía</v>
      </c>
      <c r="G61" s="7" t="str">
        <f ca="1">+WORLDCUP!BD67</f>
        <v>Jordania</v>
      </c>
      <c r="H61" s="7" t="str">
        <f ca="1">+WORLDCUP!BD63</f>
        <v>Japón</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Jordania</v>
      </c>
      <c r="E62" s="7" t="str">
        <f ca="1">+WORLDCUP!BD59</f>
        <v>Catar</v>
      </c>
      <c r="F62" s="7" t="str">
        <f ca="1">+WORLDCUP!BD61</f>
        <v>Turquía</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Jordania</v>
      </c>
      <c r="E63" s="7" t="str">
        <f ca="1">+WORLDCUP!BD59</f>
        <v>Catar</v>
      </c>
      <c r="F63" s="7" t="str">
        <f ca="1">+WORLDCUP!BD61</f>
        <v>Turquía</v>
      </c>
      <c r="G63" s="7" t="str">
        <f ca="1">+WORLDCUP!BD66</f>
        <v>Senegal</v>
      </c>
      <c r="H63" s="7" t="str">
        <f ca="1">+WORLDCUP!BD64</f>
        <v>Egipto</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Jordania</v>
      </c>
      <c r="E64" s="7" t="str">
        <f ca="1">+WORLDCUP!BD59</f>
        <v>Catar</v>
      </c>
      <c r="F64" s="7" t="str">
        <f ca="1">+WORLDCUP!BD61</f>
        <v>Turquía</v>
      </c>
      <c r="G64" s="7" t="str">
        <f ca="1">+WORLDCUP!BD65</f>
        <v>Arabia Saudita</v>
      </c>
      <c r="H64" s="7" t="str">
        <f ca="1">+WORLDCUP!BD64</f>
        <v>Egipto</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Egipto</v>
      </c>
      <c r="E65" s="7" t="str">
        <f ca="1">+WORLDCUP!BD59</f>
        <v>Catar</v>
      </c>
      <c r="F65" s="7" t="str">
        <f ca="1">+WORLDCUP!BD61</f>
        <v>Turquía</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Jordania</v>
      </c>
      <c r="E66" s="7" t="str">
        <f ca="1">+WORLDCUP!BD59</f>
        <v>Catar</v>
      </c>
      <c r="F66" s="7" t="str">
        <f ca="1">+WORLDCUP!BD61</f>
        <v>Turquía</v>
      </c>
      <c r="G66" s="7" t="str">
        <f ca="1">+WORLDCUP!BD65</f>
        <v>Arabia Saudita</v>
      </c>
      <c r="H66" s="7" t="str">
        <f ca="1">+WORLDCUP!BD64</f>
        <v>Egipto</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Jordania</v>
      </c>
      <c r="E67" s="7" t="str">
        <f ca="1">+WORLDCUP!BD59</f>
        <v>Catar</v>
      </c>
      <c r="F67" s="7" t="str">
        <f ca="1">+WORLDCUP!BD61</f>
        <v>Turquía</v>
      </c>
      <c r="G67" s="7" t="str">
        <f ca="1">+WORLDCUP!BD65</f>
        <v>Arabia Saudita</v>
      </c>
      <c r="H67" s="7" t="str">
        <f ca="1">+WORLDCUP!BD64</f>
        <v>Egipto</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Jordania</v>
      </c>
      <c r="E68" s="7" t="str">
        <f ca="1">+WORLDCUP!BD59</f>
        <v>Catar</v>
      </c>
      <c r="F68" s="7" t="str">
        <f ca="1">+WORLDCUP!BD61</f>
        <v>Turquía</v>
      </c>
      <c r="G68" s="7" t="str">
        <f ca="1">+WORLDCUP!BD66</f>
        <v>Senegal</v>
      </c>
      <c r="H68" s="7" t="str">
        <f ca="1">+WORLDCUP!BD63</f>
        <v>Japón</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Jordania</v>
      </c>
      <c r="E69" s="7" t="str">
        <f ca="1">+WORLDCUP!BD59</f>
        <v>Catar</v>
      </c>
      <c r="F69" s="7" t="str">
        <f ca="1">+WORLDCUP!BD61</f>
        <v>Turquía</v>
      </c>
      <c r="G69" s="7" t="str">
        <f ca="1">+WORLDCUP!BD65</f>
        <v>Arabia Saudita</v>
      </c>
      <c r="H69" s="7" t="str">
        <f ca="1">+WORLDCUP!BD63</f>
        <v>Japón</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Catar</v>
      </c>
      <c r="F70" s="7" t="str">
        <f ca="1">+WORLDCUP!BD61</f>
        <v>Turquía</v>
      </c>
      <c r="G70" s="7" t="str">
        <f ca="1">+WORLDCUP!BD65</f>
        <v>Arabia Saudita</v>
      </c>
      <c r="H70" s="7" t="str">
        <f ca="1">+WORLDCUP!BD63</f>
        <v>Japón</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Jordania</v>
      </c>
      <c r="E71" s="7" t="str">
        <f ca="1">+WORLDCUP!BD59</f>
        <v>Catar</v>
      </c>
      <c r="F71" s="7" t="str">
        <f ca="1">+WORLDCUP!BD61</f>
        <v>Turquía</v>
      </c>
      <c r="G71" s="7" t="str">
        <f ca="1">+WORLDCUP!BD65</f>
        <v>Arabia Saudita</v>
      </c>
      <c r="H71" s="7" t="str">
        <f ca="1">+WORLDCUP!BD63</f>
        <v>Japón</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Jordania</v>
      </c>
      <c r="E72" s="7" t="str">
        <f ca="1">+WORLDCUP!BD59</f>
        <v>Catar</v>
      </c>
      <c r="F72" s="7" t="str">
        <f ca="1">+WORLDCUP!BD61</f>
        <v>Turquía</v>
      </c>
      <c r="G72" s="7" t="str">
        <f ca="1">+WORLDCUP!BD65</f>
        <v>Arabia Saudita</v>
      </c>
      <c r="H72" s="7" t="str">
        <f ca="1">+WORLDCUP!BD63</f>
        <v>Japón</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Egipto</v>
      </c>
      <c r="E73" s="7" t="str">
        <f ca="1">+WORLDCUP!BD59</f>
        <v>Catar</v>
      </c>
      <c r="F73" s="7" t="str">
        <f ca="1">+WORLDCUP!BD61</f>
        <v>Turquía</v>
      </c>
      <c r="G73" s="7" t="str">
        <f ca="1">+WORLDCUP!BD67</f>
        <v>Jordania</v>
      </c>
      <c r="H73" s="7" t="str">
        <f ca="1">+WORLDCUP!BD63</f>
        <v>Japón</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Egipto</v>
      </c>
      <c r="E74" s="7" t="str">
        <f ca="1">+WORLDCUP!BD59</f>
        <v>Catar</v>
      </c>
      <c r="F74" s="7" t="str">
        <f ca="1">+WORLDCUP!BD61</f>
        <v>Turquía</v>
      </c>
      <c r="G74" s="7" t="str">
        <f ca="1">+WORLDCUP!BD66</f>
        <v>Senegal</v>
      </c>
      <c r="H74" s="7" t="str">
        <f ca="1">+WORLDCUP!BD63</f>
        <v>Japón</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Egipto</v>
      </c>
      <c r="E75" s="7" t="str">
        <f ca="1">+WORLDCUP!BD59</f>
        <v>Catar</v>
      </c>
      <c r="F75" s="7" t="str">
        <f ca="1">+WORLDCUP!BD61</f>
        <v>Turquía</v>
      </c>
      <c r="G75" s="7" t="str">
        <f ca="1">+WORLDCUP!BD67</f>
        <v>Jordania</v>
      </c>
      <c r="H75" s="7" t="str">
        <f ca="1">+WORLDCUP!BD63</f>
        <v>Japón</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Egipto</v>
      </c>
      <c r="E76" s="7" t="str">
        <f ca="1">+WORLDCUP!BD59</f>
        <v>Catar</v>
      </c>
      <c r="F76" s="7" t="str">
        <f ca="1">+WORLDCUP!BD61</f>
        <v>Turquía</v>
      </c>
      <c r="G76" s="7" t="str">
        <f ca="1">+WORLDCUP!BD67</f>
        <v>Jordania</v>
      </c>
      <c r="H76" s="7" t="str">
        <f ca="1">+WORLDCUP!BD63</f>
        <v>Japón</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Egipto</v>
      </c>
      <c r="E77" s="7" t="str">
        <f ca="1">+WORLDCUP!BD59</f>
        <v>Catar</v>
      </c>
      <c r="F77" s="7" t="str">
        <f ca="1">+WORLDCUP!BD61</f>
        <v>Turquía</v>
      </c>
      <c r="G77" s="7" t="str">
        <f ca="1">+WORLDCUP!BD65</f>
        <v>Arabia Saudita</v>
      </c>
      <c r="H77" s="7" t="str">
        <f ca="1">+WORLDCUP!BD63</f>
        <v>Japón</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Egipto</v>
      </c>
      <c r="E78" s="7" t="str">
        <f ca="1">+WORLDCUP!BD59</f>
        <v>Catar</v>
      </c>
      <c r="F78" s="7" t="str">
        <f ca="1">+WORLDCUP!BD61</f>
        <v>Turquía</v>
      </c>
      <c r="G78" s="7" t="str">
        <f ca="1">+WORLDCUP!BD67</f>
        <v>Jordania</v>
      </c>
      <c r="H78" s="7" t="str">
        <f ca="1">+WORLDCUP!BD63</f>
        <v>Japón</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Egipto</v>
      </c>
      <c r="E79" s="7" t="str">
        <f ca="1">+WORLDCUP!BD59</f>
        <v>Catar</v>
      </c>
      <c r="F79" s="7" t="str">
        <f ca="1">+WORLDCUP!BD61</f>
        <v>Turquía</v>
      </c>
      <c r="G79" s="7" t="str">
        <f ca="1">+WORLDCUP!BD67</f>
        <v>Jordania</v>
      </c>
      <c r="H79" s="7" t="str">
        <f ca="1">+WORLDCUP!BD63</f>
        <v>Japón</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Egipto</v>
      </c>
      <c r="E80" s="7" t="str">
        <f ca="1">+WORLDCUP!BD59</f>
        <v>Catar</v>
      </c>
      <c r="F80" s="7" t="str">
        <f ca="1">+WORLDCUP!BD61</f>
        <v>Turquía</v>
      </c>
      <c r="G80" s="7" t="str">
        <f ca="1">+WORLDCUP!BD65</f>
        <v>Arabia Saudita</v>
      </c>
      <c r="H80" s="7" t="str">
        <f ca="1">+WORLDCUP!BD63</f>
        <v>Japón</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Egipto</v>
      </c>
      <c r="E81" s="7" t="str">
        <f ca="1">+WORLDCUP!BD59</f>
        <v>Catar</v>
      </c>
      <c r="F81" s="7" t="str">
        <f ca="1">+WORLDCUP!BD61</f>
        <v>Turquía</v>
      </c>
      <c r="G81" s="7" t="str">
        <f ca="1">+WORLDCUP!BD65</f>
        <v>Arabia Saudita</v>
      </c>
      <c r="H81" s="7" t="str">
        <f ca="1">+WORLDCUP!BD63</f>
        <v>Japón</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Egipto</v>
      </c>
      <c r="E82" s="7" t="str">
        <f ca="1">+WORLDCUP!BD59</f>
        <v>Catar</v>
      </c>
      <c r="F82" s="7" t="str">
        <f ca="1">+WORLDCUP!BD61</f>
        <v>Turquía</v>
      </c>
      <c r="G82" s="7" t="str">
        <f ca="1">+WORLDCUP!BD67</f>
        <v>Jordania</v>
      </c>
      <c r="H82" s="7" t="str">
        <f ca="1">+WORLDCUP!BD63</f>
        <v>Japón</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Jordania</v>
      </c>
      <c r="E83" s="7" t="str">
        <f ca="1">+WORLDCUP!BD59</f>
        <v>Catar</v>
      </c>
      <c r="F83" s="7" t="str">
        <f ca="1">+WORLDCUP!BD60</f>
        <v>Escocia</v>
      </c>
      <c r="G83" s="7" t="str">
        <f ca="1">+WORLDCUP!BD66</f>
        <v>Senegal</v>
      </c>
      <c r="H83" s="7" t="str">
        <f ca="1">+WORLDCUP!BD64</f>
        <v>Egipto</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Jordania</v>
      </c>
      <c r="E84" s="7" t="str">
        <f ca="1">+WORLDCUP!BD59</f>
        <v>Catar</v>
      </c>
      <c r="F84" s="7" t="str">
        <f ca="1">+WORLDCUP!BD60</f>
        <v>Escocia</v>
      </c>
      <c r="G84" s="7" t="str">
        <f ca="1">+WORLDCUP!BD66</f>
        <v>Senegal</v>
      </c>
      <c r="H84" s="7" t="str">
        <f ca="1">+WORLDCUP!BD63</f>
        <v>Japón</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Egipto</v>
      </c>
      <c r="E85" s="7" t="str">
        <f ca="1">+WORLDCUP!BD59</f>
        <v>Catar</v>
      </c>
      <c r="F85" s="7" t="str">
        <f ca="1">+WORLDCUP!BD60</f>
        <v>Escocia</v>
      </c>
      <c r="G85" s="7" t="str">
        <f ca="1">+WORLDCUP!BD67</f>
        <v>Jordania</v>
      </c>
      <c r="H85" s="7" t="str">
        <f ca="1">+WORLDCUP!BD63</f>
        <v>Japón</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Egipto</v>
      </c>
      <c r="E86" s="7" t="str">
        <f ca="1">+WORLDCUP!BD59</f>
        <v>Catar</v>
      </c>
      <c r="F86" s="7" t="str">
        <f ca="1">+WORLDCUP!BD60</f>
        <v>Escocia</v>
      </c>
      <c r="G86" s="7" t="str">
        <f ca="1">+WORLDCUP!BD67</f>
        <v>Jordania</v>
      </c>
      <c r="H86" s="7" t="str">
        <f ca="1">+WORLDCUP!BD63</f>
        <v>Japón</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Egipto</v>
      </c>
      <c r="E87" s="7" t="str">
        <f ca="1">+WORLDCUP!BD59</f>
        <v>Catar</v>
      </c>
      <c r="F87" s="7" t="str">
        <f ca="1">+WORLDCUP!BD60</f>
        <v>Escocia</v>
      </c>
      <c r="G87" s="7" t="str">
        <f ca="1">+WORLDCUP!BD66</f>
        <v>Senegal</v>
      </c>
      <c r="H87" s="7" t="str">
        <f ca="1">+WORLDCUP!BD63</f>
        <v>Japón</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Egipto</v>
      </c>
      <c r="E88" s="7" t="str">
        <f ca="1">+WORLDCUP!BD59</f>
        <v>Catar</v>
      </c>
      <c r="F88" s="7" t="str">
        <f ca="1">+WORLDCUP!BD60</f>
        <v>Escocia</v>
      </c>
      <c r="G88" s="7" t="str">
        <f ca="1">+WORLDCUP!BD67</f>
        <v>Jordania</v>
      </c>
      <c r="H88" s="7" t="str">
        <f ca="1">+WORLDCUP!BD63</f>
        <v>Japón</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Egipto</v>
      </c>
      <c r="E89" s="7" t="str">
        <f ca="1">+WORLDCUP!BD59</f>
        <v>Catar</v>
      </c>
      <c r="F89" s="7" t="str">
        <f ca="1">+WORLDCUP!BD60</f>
        <v>Escocia</v>
      </c>
      <c r="G89" s="7" t="str">
        <f ca="1">+WORLDCUP!BD67</f>
        <v>Jordania</v>
      </c>
      <c r="H89" s="7" t="str">
        <f ca="1">+WORLDCUP!BD63</f>
        <v>Japón</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Jordania</v>
      </c>
      <c r="E90" s="7" t="str">
        <f ca="1">+WORLDCUP!BD59</f>
        <v>Catar</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Jordania</v>
      </c>
      <c r="E91" s="7" t="str">
        <f ca="1">+WORLDCUP!BD59</f>
        <v>Catar</v>
      </c>
      <c r="F91" s="7" t="str">
        <f ca="1">+WORLDCUP!BD60</f>
        <v>Escocia</v>
      </c>
      <c r="G91" s="7" t="str">
        <f ca="1">+WORLDCUP!BD66</f>
        <v>Senegal</v>
      </c>
      <c r="H91" s="7" t="str">
        <f ca="1">+WORLDCUP!BD64</f>
        <v>Egipto</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Jordania</v>
      </c>
      <c r="E92" s="7" t="str">
        <f ca="1">+WORLDCUP!BD59</f>
        <v>Catar</v>
      </c>
      <c r="F92" s="7" t="str">
        <f ca="1">+WORLDCUP!BD60</f>
        <v>Escocia</v>
      </c>
      <c r="G92" s="7" t="str">
        <f ca="1">+WORLDCUP!BD65</f>
        <v>Arabia Saudita</v>
      </c>
      <c r="H92" s="7" t="str">
        <f ca="1">+WORLDCUP!BD64</f>
        <v>Egipto</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Egipto</v>
      </c>
      <c r="E93" s="7" t="str">
        <f ca="1">+WORLDCUP!BD59</f>
        <v>Catar</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Jordania</v>
      </c>
      <c r="E94" s="7" t="str">
        <f ca="1">+WORLDCUP!BD59</f>
        <v>Catar</v>
      </c>
      <c r="F94" s="7" t="str">
        <f ca="1">+WORLDCUP!BD60</f>
        <v>Escocia</v>
      </c>
      <c r="G94" s="7" t="str">
        <f ca="1">+WORLDCUP!BD65</f>
        <v>Arabia Saudita</v>
      </c>
      <c r="H94" s="7" t="str">
        <f ca="1">+WORLDCUP!BD64</f>
        <v>Egipto</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Jordania</v>
      </c>
      <c r="E95" s="7" t="str">
        <f ca="1">+WORLDCUP!BD59</f>
        <v>Catar</v>
      </c>
      <c r="F95" s="7" t="str">
        <f ca="1">+WORLDCUP!BD60</f>
        <v>Escocia</v>
      </c>
      <c r="G95" s="7" t="str">
        <f ca="1">+WORLDCUP!BD65</f>
        <v>Arabia Saudita</v>
      </c>
      <c r="H95" s="7" t="str">
        <f ca="1">+WORLDCUP!BD64</f>
        <v>Egipto</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Jordania</v>
      </c>
      <c r="E96" s="7" t="str">
        <f ca="1">+WORLDCUP!BD59</f>
        <v>Catar</v>
      </c>
      <c r="F96" s="7" t="str">
        <f ca="1">+WORLDCUP!BD60</f>
        <v>Escocia</v>
      </c>
      <c r="G96" s="7" t="str">
        <f ca="1">+WORLDCUP!BD66</f>
        <v>Senegal</v>
      </c>
      <c r="H96" s="7" t="str">
        <f ca="1">+WORLDCUP!BD63</f>
        <v>Japón</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Jordania</v>
      </c>
      <c r="E97" s="7" t="str">
        <f ca="1">+WORLDCUP!BD59</f>
        <v>Catar</v>
      </c>
      <c r="F97" s="7" t="str">
        <f ca="1">+WORLDCUP!BD60</f>
        <v>Escocia</v>
      </c>
      <c r="G97" s="7" t="str">
        <f ca="1">+WORLDCUP!BD65</f>
        <v>Arabia Saudita</v>
      </c>
      <c r="H97" s="7" t="str">
        <f ca="1">+WORLDCUP!BD63</f>
        <v>Japón</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Catar</v>
      </c>
      <c r="F98" s="7" t="str">
        <f ca="1">+WORLDCUP!BD60</f>
        <v>Escocia</v>
      </c>
      <c r="G98" s="7" t="str">
        <f ca="1">+WORLDCUP!BD65</f>
        <v>Arabia Saudita</v>
      </c>
      <c r="H98" s="7" t="str">
        <f ca="1">+WORLDCUP!BD63</f>
        <v>Japón</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Jordania</v>
      </c>
      <c r="E99" s="7" t="str">
        <f ca="1">+WORLDCUP!BD59</f>
        <v>Catar</v>
      </c>
      <c r="F99" s="7" t="str">
        <f ca="1">+WORLDCUP!BD60</f>
        <v>Escocia</v>
      </c>
      <c r="G99" s="7" t="str">
        <f ca="1">+WORLDCUP!BD65</f>
        <v>Arabia Saudita</v>
      </c>
      <c r="H99" s="7" t="str">
        <f ca="1">+WORLDCUP!BD63</f>
        <v>Japón</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Jordania</v>
      </c>
      <c r="E100" s="7" t="str">
        <f ca="1">+WORLDCUP!BD59</f>
        <v>Catar</v>
      </c>
      <c r="F100" s="7" t="str">
        <f ca="1">+WORLDCUP!BD60</f>
        <v>Escocia</v>
      </c>
      <c r="G100" s="7" t="str">
        <f ca="1">+WORLDCUP!BD65</f>
        <v>Arabia Saudita</v>
      </c>
      <c r="H100" s="7" t="str">
        <f ca="1">+WORLDCUP!BD63</f>
        <v>Japón</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Egipto</v>
      </c>
      <c r="E101" s="7" t="str">
        <f ca="1">+WORLDCUP!BD59</f>
        <v>Catar</v>
      </c>
      <c r="F101" s="7" t="str">
        <f ca="1">+WORLDCUP!BD60</f>
        <v>Escocia</v>
      </c>
      <c r="G101" s="7" t="str">
        <f ca="1">+WORLDCUP!BD67</f>
        <v>Jordania</v>
      </c>
      <c r="H101" s="7" t="str">
        <f ca="1">+WORLDCUP!BD63</f>
        <v>Japón</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Egipto</v>
      </c>
      <c r="E102" s="7" t="str">
        <f ca="1">+WORLDCUP!BD59</f>
        <v>Catar</v>
      </c>
      <c r="F102" s="7" t="str">
        <f ca="1">+WORLDCUP!BD60</f>
        <v>Escocia</v>
      </c>
      <c r="G102" s="7" t="str">
        <f ca="1">+WORLDCUP!BD66</f>
        <v>Senegal</v>
      </c>
      <c r="H102" s="7" t="str">
        <f ca="1">+WORLDCUP!BD63</f>
        <v>Japón</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Egipto</v>
      </c>
      <c r="E103" s="7" t="str">
        <f ca="1">+WORLDCUP!BD59</f>
        <v>Catar</v>
      </c>
      <c r="F103" s="7" t="str">
        <f ca="1">+WORLDCUP!BD60</f>
        <v>Escocia</v>
      </c>
      <c r="G103" s="7" t="str">
        <f ca="1">+WORLDCUP!BD67</f>
        <v>Jordania</v>
      </c>
      <c r="H103" s="7" t="str">
        <f ca="1">+WORLDCUP!BD63</f>
        <v>Japón</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Egipto</v>
      </c>
      <c r="E104" s="7" t="str">
        <f ca="1">+WORLDCUP!BD59</f>
        <v>Catar</v>
      </c>
      <c r="F104" s="7" t="str">
        <f ca="1">+WORLDCUP!BD60</f>
        <v>Escocia</v>
      </c>
      <c r="G104" s="7" t="str">
        <f ca="1">+WORLDCUP!BD67</f>
        <v>Jordania</v>
      </c>
      <c r="H104" s="7" t="str">
        <f ca="1">+WORLDCUP!BD63</f>
        <v>Japón</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Egipto</v>
      </c>
      <c r="E105" s="7" t="str">
        <f ca="1">+WORLDCUP!BD59</f>
        <v>Catar</v>
      </c>
      <c r="F105" s="7" t="str">
        <f ca="1">+WORLDCUP!BD60</f>
        <v>Escocia</v>
      </c>
      <c r="G105" s="7" t="str">
        <f ca="1">+WORLDCUP!BD65</f>
        <v>Arabia Saudita</v>
      </c>
      <c r="H105" s="7" t="str">
        <f ca="1">+WORLDCUP!BD63</f>
        <v>Japón</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Egipto</v>
      </c>
      <c r="E106" s="7" t="str">
        <f ca="1">+WORLDCUP!BD59</f>
        <v>Catar</v>
      </c>
      <c r="F106" s="7" t="str">
        <f ca="1">+WORLDCUP!BD60</f>
        <v>Escocia</v>
      </c>
      <c r="G106" s="7" t="str">
        <f ca="1">+WORLDCUP!BD67</f>
        <v>Jordania</v>
      </c>
      <c r="H106" s="7" t="str">
        <f ca="1">+WORLDCUP!BD63</f>
        <v>Japón</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Egipto</v>
      </c>
      <c r="E107" s="7" t="str">
        <f ca="1">+WORLDCUP!BD59</f>
        <v>Catar</v>
      </c>
      <c r="F107" s="7" t="str">
        <f ca="1">+WORLDCUP!BD60</f>
        <v>Escocia</v>
      </c>
      <c r="G107" s="7" t="str">
        <f ca="1">+WORLDCUP!BD67</f>
        <v>Jordania</v>
      </c>
      <c r="H107" s="7" t="str">
        <f ca="1">+WORLDCUP!BD63</f>
        <v>Japón</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Egipto</v>
      </c>
      <c r="E108" s="7" t="str">
        <f ca="1">+WORLDCUP!BD59</f>
        <v>Catar</v>
      </c>
      <c r="F108" s="7" t="str">
        <f ca="1">+WORLDCUP!BD60</f>
        <v>Escocia</v>
      </c>
      <c r="G108" s="7" t="str">
        <f ca="1">+WORLDCUP!BD65</f>
        <v>Arabia Saudita</v>
      </c>
      <c r="H108" s="7" t="str">
        <f ca="1">+WORLDCUP!BD63</f>
        <v>Japón</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Egipto</v>
      </c>
      <c r="E109" s="7" t="str">
        <f ca="1">+WORLDCUP!BD59</f>
        <v>Catar</v>
      </c>
      <c r="F109" s="7" t="str">
        <f ca="1">+WORLDCUP!BD60</f>
        <v>Escocia</v>
      </c>
      <c r="G109" s="7" t="str">
        <f ca="1">+WORLDCUP!BD65</f>
        <v>Arabia Saudita</v>
      </c>
      <c r="H109" s="7" t="str">
        <f ca="1">+WORLDCUP!BD63</f>
        <v>Japón</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Egipto</v>
      </c>
      <c r="E110" s="7" t="str">
        <f ca="1">+WORLDCUP!BD59</f>
        <v>Catar</v>
      </c>
      <c r="F110" s="7" t="str">
        <f ca="1">+WORLDCUP!BD60</f>
        <v>Escocia</v>
      </c>
      <c r="G110" s="7" t="str">
        <f ca="1">+WORLDCUP!BD67</f>
        <v>Jordania</v>
      </c>
      <c r="H110" s="7" t="str">
        <f ca="1">+WORLDCUP!BD63</f>
        <v>Japón</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Jordania</v>
      </c>
      <c r="E111" s="7" t="str">
        <f ca="1">+WORLDCUP!BD59</f>
        <v>Catar</v>
      </c>
      <c r="F111" s="7" t="str">
        <f ca="1">+WORLDCUP!BD60</f>
        <v>Escocia</v>
      </c>
      <c r="G111" s="7" t="str">
        <f ca="1">+WORLDCUP!BD66</f>
        <v>Senegal</v>
      </c>
      <c r="H111" s="7" t="str">
        <f ca="1">+WORLDCUP!BD61</f>
        <v>Turquía</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Egipto</v>
      </c>
      <c r="E112" s="7" t="str">
        <f ca="1">+WORLDCUP!BD59</f>
        <v>Catar</v>
      </c>
      <c r="F112" s="7" t="str">
        <f ca="1">+WORLDCUP!BD60</f>
        <v>Escocia</v>
      </c>
      <c r="G112" s="7" t="str">
        <f ca="1">+WORLDCUP!BD67</f>
        <v>Jordania</v>
      </c>
      <c r="H112" s="7" t="str">
        <f ca="1">+WORLDCUP!BD61</f>
        <v>Turquía</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Egipto</v>
      </c>
      <c r="E113" s="7" t="str">
        <f ca="1">+WORLDCUP!BD59</f>
        <v>Catar</v>
      </c>
      <c r="F113" s="7" t="str">
        <f ca="1">+WORLDCUP!BD60</f>
        <v>Escocia</v>
      </c>
      <c r="G113" s="7" t="str">
        <f ca="1">+WORLDCUP!BD67</f>
        <v>Jordania</v>
      </c>
      <c r="H113" s="7" t="str">
        <f ca="1">+WORLDCUP!BD61</f>
        <v>Turquía</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Egipto</v>
      </c>
      <c r="E114" s="7" t="str">
        <f ca="1">+WORLDCUP!BD59</f>
        <v>Catar</v>
      </c>
      <c r="F114" s="7" t="str">
        <f ca="1">+WORLDCUP!BD60</f>
        <v>Escocia</v>
      </c>
      <c r="G114" s="7" t="str">
        <f ca="1">+WORLDCUP!BD66</f>
        <v>Senegal</v>
      </c>
      <c r="H114" s="7" t="str">
        <f ca="1">+WORLDCUP!BD61</f>
        <v>Turquía</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Egipto</v>
      </c>
      <c r="E115" s="7" t="str">
        <f ca="1">+WORLDCUP!BD59</f>
        <v>Catar</v>
      </c>
      <c r="F115" s="7" t="str">
        <f ca="1">+WORLDCUP!BD60</f>
        <v>Escocia</v>
      </c>
      <c r="G115" s="7" t="str">
        <f ca="1">+WORLDCUP!BD67</f>
        <v>Jordania</v>
      </c>
      <c r="H115" s="7" t="str">
        <f ca="1">+WORLDCUP!BD61</f>
        <v>Turquía</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Egipto</v>
      </c>
      <c r="E116" s="7" t="str">
        <f ca="1">+WORLDCUP!BD59</f>
        <v>Catar</v>
      </c>
      <c r="F116" s="7" t="str">
        <f ca="1">+WORLDCUP!BD60</f>
        <v>Escocia</v>
      </c>
      <c r="G116" s="7" t="str">
        <f ca="1">+WORLDCUP!BD67</f>
        <v>Jordania</v>
      </c>
      <c r="H116" s="7" t="str">
        <f ca="1">+WORLDCUP!BD61</f>
        <v>Turquía</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Jordania</v>
      </c>
      <c r="E117" s="7" t="str">
        <f ca="1">+WORLDCUP!BD59</f>
        <v>Catar</v>
      </c>
      <c r="F117" s="7" t="str">
        <f ca="1">+WORLDCUP!BD61</f>
        <v>Turquía</v>
      </c>
      <c r="G117" s="7" t="str">
        <f ca="1">+WORLDCUP!BD66</f>
        <v>Senegal</v>
      </c>
      <c r="H117" s="7" t="str">
        <f ca="1">+WORLDCUP!BD63</f>
        <v>Japón</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Jordania</v>
      </c>
      <c r="E118" s="7" t="str">
        <f ca="1">+WORLDCUP!BD59</f>
        <v>Catar</v>
      </c>
      <c r="F118" s="7" t="str">
        <f ca="1">+WORLDCUP!BD61</f>
        <v>Turquía</v>
      </c>
      <c r="G118" s="7" t="str">
        <f ca="1">+WORLDCUP!BD65</f>
        <v>Arabia Saudita</v>
      </c>
      <c r="H118" s="7" t="str">
        <f ca="1">+WORLDCUP!BD63</f>
        <v>Japón</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Catar</v>
      </c>
      <c r="F119" s="7" t="str">
        <f ca="1">+WORLDCUP!BD61</f>
        <v>Turquía</v>
      </c>
      <c r="G119" s="7" t="str">
        <f ca="1">+WORLDCUP!BD65</f>
        <v>Arabia Saudita</v>
      </c>
      <c r="H119" s="7" t="str">
        <f ca="1">+WORLDCUP!BD63</f>
        <v>Japón</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Jordania</v>
      </c>
      <c r="E120" s="7" t="str">
        <f ca="1">+WORLDCUP!BD59</f>
        <v>Catar</v>
      </c>
      <c r="F120" s="7" t="str">
        <f ca="1">+WORLDCUP!BD61</f>
        <v>Turquía</v>
      </c>
      <c r="G120" s="7" t="str">
        <f ca="1">+WORLDCUP!BD65</f>
        <v>Arabia Saudita</v>
      </c>
      <c r="H120" s="7" t="str">
        <f ca="1">+WORLDCUP!BD63</f>
        <v>Japón</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Jordania</v>
      </c>
      <c r="E121" s="7" t="str">
        <f ca="1">+WORLDCUP!BD59</f>
        <v>Catar</v>
      </c>
      <c r="F121" s="7" t="str">
        <f ca="1">+WORLDCUP!BD61</f>
        <v>Turquía</v>
      </c>
      <c r="G121" s="7" t="str">
        <f ca="1">+WORLDCUP!BD65</f>
        <v>Arabia Saudita</v>
      </c>
      <c r="H121" s="7" t="str">
        <f ca="1">+WORLDCUP!BD63</f>
        <v>Japón</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Egipto</v>
      </c>
      <c r="E122" s="7" t="str">
        <f ca="1">+WORLDCUP!BD59</f>
        <v>Catar</v>
      </c>
      <c r="F122" s="7" t="str">
        <f ca="1">+WORLDCUP!BD61</f>
        <v>Turquía</v>
      </c>
      <c r="G122" s="7" t="str">
        <f ca="1">+WORLDCUP!BD67</f>
        <v>Jordania</v>
      </c>
      <c r="H122" s="7" t="str">
        <f ca="1">+WORLDCUP!BD63</f>
        <v>Japón</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Egipto</v>
      </c>
      <c r="E123" s="7" t="str">
        <f ca="1">+WORLDCUP!BD59</f>
        <v>Catar</v>
      </c>
      <c r="F123" s="7" t="str">
        <f ca="1">+WORLDCUP!BD61</f>
        <v>Turquía</v>
      </c>
      <c r="G123" s="7" t="str">
        <f ca="1">+WORLDCUP!BD66</f>
        <v>Senegal</v>
      </c>
      <c r="H123" s="7" t="str">
        <f ca="1">+WORLDCUP!BD63</f>
        <v>Japón</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Egipto</v>
      </c>
      <c r="E124" s="7" t="str">
        <f ca="1">+WORLDCUP!BD59</f>
        <v>Catar</v>
      </c>
      <c r="F124" s="7" t="str">
        <f ca="1">+WORLDCUP!BD61</f>
        <v>Turquía</v>
      </c>
      <c r="G124" s="7" t="str">
        <f ca="1">+WORLDCUP!BD67</f>
        <v>Jordania</v>
      </c>
      <c r="H124" s="7" t="str">
        <f ca="1">+WORLDCUP!BD63</f>
        <v>Japón</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Egipto</v>
      </c>
      <c r="E125" s="7" t="str">
        <f ca="1">+WORLDCUP!BD59</f>
        <v>Catar</v>
      </c>
      <c r="F125" s="7" t="str">
        <f ca="1">+WORLDCUP!BD61</f>
        <v>Turquía</v>
      </c>
      <c r="G125" s="7" t="str">
        <f ca="1">+WORLDCUP!BD67</f>
        <v>Jordania</v>
      </c>
      <c r="H125" s="7" t="str">
        <f ca="1">+WORLDCUP!BD63</f>
        <v>Japón</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Egipto</v>
      </c>
      <c r="E126" s="7" t="str">
        <f ca="1">+WORLDCUP!BD59</f>
        <v>Catar</v>
      </c>
      <c r="F126" s="7" t="str">
        <f ca="1">+WORLDCUP!BD61</f>
        <v>Turquía</v>
      </c>
      <c r="G126" s="7" t="str">
        <f ca="1">+WORLDCUP!BD65</f>
        <v>Arabia Saudita</v>
      </c>
      <c r="H126" s="7" t="str">
        <f ca="1">+WORLDCUP!BD63</f>
        <v>Japón</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Egipto</v>
      </c>
      <c r="E127" s="7" t="str">
        <f ca="1">+WORLDCUP!BD59</f>
        <v>Catar</v>
      </c>
      <c r="F127" s="7" t="str">
        <f ca="1">+WORLDCUP!BD61</f>
        <v>Turquía</v>
      </c>
      <c r="G127" s="7" t="str">
        <f ca="1">+WORLDCUP!BD65</f>
        <v>Arabia Saudita</v>
      </c>
      <c r="H127" s="7" t="str">
        <f ca="1">+WORLDCUP!BD63</f>
        <v>Japón</v>
      </c>
      <c r="I127" s="7" t="str">
        <f ca="1">+WORLDCUP!BD69</f>
        <v>Ghana</v>
      </c>
      <c r="J127" s="7" t="str">
        <f ca="1">+WORLDCUP!BD67</f>
        <v>Jordania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Egipto</v>
      </c>
      <c r="E128" s="7" t="str">
        <f ca="1">+WORLDCUP!BD59</f>
        <v>Catar</v>
      </c>
      <c r="F128" s="7" t="str">
        <f ca="1">+WORLDCUP!BD60</f>
        <v>Escocia</v>
      </c>
      <c r="G128" s="7" t="str">
        <f ca="1">+WORLDCUP!BD67</f>
        <v>Jordania</v>
      </c>
      <c r="H128" s="7" t="str">
        <f ca="1">+WORLDCUP!BD63</f>
        <v>Japón</v>
      </c>
      <c r="I128" s="7" t="str">
        <f ca="1">+WORLDCUP!BD61</f>
        <v>Turquía</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Egipto</v>
      </c>
      <c r="E129" s="7" t="str">
        <f ca="1">+WORLDCUP!BD59</f>
        <v>Catar</v>
      </c>
      <c r="F129" s="7" t="str">
        <f ca="1">+WORLDCUP!BD61</f>
        <v>Turquía</v>
      </c>
      <c r="G129" s="7" t="str">
        <f ca="1">+WORLDCUP!BD65</f>
        <v>Arabia Saudita</v>
      </c>
      <c r="H129" s="7" t="str">
        <f ca="1">+WORLDCUP!BD63</f>
        <v>Japón</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Egipto</v>
      </c>
      <c r="E130" s="7" t="str">
        <f ca="1">+WORLDCUP!BD59</f>
        <v>Catar</v>
      </c>
      <c r="F130" s="7" t="str">
        <f ca="1">+WORLDCUP!BD61</f>
        <v>Turquía</v>
      </c>
      <c r="G130" s="7" t="str">
        <f ca="1">+WORLDCUP!BD65</f>
        <v>Arabia Saudita</v>
      </c>
      <c r="H130" s="7" t="str">
        <f ca="1">+WORLDCUP!BD63</f>
        <v>Japón</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Egipto</v>
      </c>
      <c r="E131" s="7" t="str">
        <f ca="1">+WORLDCUP!BD59</f>
        <v>Catar</v>
      </c>
      <c r="F131" s="7" t="str">
        <f ca="1">+WORLDCUP!BD60</f>
        <v>Escocia</v>
      </c>
      <c r="G131" s="7" t="str">
        <f ca="1">+WORLDCUP!BD67</f>
        <v>Jordania</v>
      </c>
      <c r="H131" s="7" t="str">
        <f ca="1">+WORLDCUP!BD63</f>
        <v>Japón</v>
      </c>
      <c r="I131" s="7" t="str">
        <f ca="1">+WORLDCUP!BD61</f>
        <v>Turquía</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Jordania</v>
      </c>
      <c r="E132" s="7" t="str">
        <f ca="1">+WORLDCUP!BD59</f>
        <v>Catar</v>
      </c>
      <c r="F132" s="7" t="str">
        <f ca="1">+WORLDCUP!BD60</f>
        <v>Escocia</v>
      </c>
      <c r="G132" s="7" t="str">
        <f ca="1">+WORLDCUP!BD66</f>
        <v>Senegal</v>
      </c>
      <c r="H132" s="7" t="str">
        <f ca="1">+WORLDCUP!BD61</f>
        <v>Turquía</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Jordania</v>
      </c>
      <c r="E133" s="7" t="str">
        <f ca="1">+WORLDCUP!BD59</f>
        <v>Catar</v>
      </c>
      <c r="F133" s="7" t="str">
        <f ca="1">+WORLDCUP!BD60</f>
        <v>Escocia</v>
      </c>
      <c r="G133" s="7" t="str">
        <f ca="1">+WORLDCUP!BD65</f>
        <v>Arabia Saudita</v>
      </c>
      <c r="H133" s="7" t="str">
        <f ca="1">+WORLDCUP!BD61</f>
        <v>Turquía</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Catar</v>
      </c>
      <c r="F134" s="7" t="str">
        <f ca="1">+WORLDCUP!BD60</f>
        <v>Escocia</v>
      </c>
      <c r="G134" s="7" t="str">
        <f ca="1">+WORLDCUP!BD65</f>
        <v>Arabia Saudita</v>
      </c>
      <c r="H134" s="7" t="str">
        <f ca="1">+WORLDCUP!BD61</f>
        <v>Turquía</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Jordania</v>
      </c>
      <c r="E135" s="7" t="str">
        <f ca="1">+WORLDCUP!BD59</f>
        <v>Catar</v>
      </c>
      <c r="F135" s="7" t="str">
        <f ca="1">+WORLDCUP!BD60</f>
        <v>Escocia</v>
      </c>
      <c r="G135" s="7" t="str">
        <f ca="1">+WORLDCUP!BD65</f>
        <v>Arabia Saudita</v>
      </c>
      <c r="H135" s="7" t="str">
        <f ca="1">+WORLDCUP!BD61</f>
        <v>Turquía</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Jordania</v>
      </c>
      <c r="E136" s="7" t="str">
        <f ca="1">+WORLDCUP!BD59</f>
        <v>Catar</v>
      </c>
      <c r="F136" s="7" t="str">
        <f ca="1">+WORLDCUP!BD60</f>
        <v>Escocia</v>
      </c>
      <c r="G136" s="7" t="str">
        <f ca="1">+WORLDCUP!BD65</f>
        <v>Arabia Saudita</v>
      </c>
      <c r="H136" s="7" t="str">
        <f ca="1">+WORLDCUP!BD61</f>
        <v>Turquía</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Egipto</v>
      </c>
      <c r="E137" s="7" t="str">
        <f ca="1">+WORLDCUP!BD59</f>
        <v>Catar</v>
      </c>
      <c r="F137" s="7" t="str">
        <f ca="1">+WORLDCUP!BD60</f>
        <v>Escocia</v>
      </c>
      <c r="G137" s="7" t="str">
        <f ca="1">+WORLDCUP!BD67</f>
        <v>Jordania</v>
      </c>
      <c r="H137" s="7" t="str">
        <f ca="1">+WORLDCUP!BD61</f>
        <v>Turquía</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Egipto</v>
      </c>
      <c r="E138" s="7" t="str">
        <f ca="1">+WORLDCUP!BD59</f>
        <v>Catar</v>
      </c>
      <c r="F138" s="7" t="str">
        <f ca="1">+WORLDCUP!BD60</f>
        <v>Escocia</v>
      </c>
      <c r="G138" s="7" t="str">
        <f ca="1">+WORLDCUP!BD66</f>
        <v>Senegal</v>
      </c>
      <c r="H138" s="7" t="str">
        <f ca="1">+WORLDCUP!BD61</f>
        <v>Turquía</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Egipto</v>
      </c>
      <c r="E139" s="7" t="str">
        <f ca="1">+WORLDCUP!BD59</f>
        <v>Catar</v>
      </c>
      <c r="F139" s="7" t="str">
        <f ca="1">+WORLDCUP!BD60</f>
        <v>Escocia</v>
      </c>
      <c r="G139" s="7" t="str">
        <f ca="1">+WORLDCUP!BD67</f>
        <v>Jordania</v>
      </c>
      <c r="H139" s="7" t="str">
        <f ca="1">+WORLDCUP!BD61</f>
        <v>Turquía</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Egipto</v>
      </c>
      <c r="E140" s="7" t="str">
        <f ca="1">+WORLDCUP!BD59</f>
        <v>Catar</v>
      </c>
      <c r="F140" s="7" t="str">
        <f ca="1">+WORLDCUP!BD60</f>
        <v>Escocia</v>
      </c>
      <c r="G140" s="7" t="str">
        <f ca="1">+WORLDCUP!BD67</f>
        <v>Jordania</v>
      </c>
      <c r="H140" s="7" t="str">
        <f ca="1">+WORLDCUP!BD61</f>
        <v>Turquía</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Egipto</v>
      </c>
      <c r="E141" s="7" t="str">
        <f ca="1">+WORLDCUP!BD59</f>
        <v>Catar</v>
      </c>
      <c r="F141" s="7" t="str">
        <f ca="1">+WORLDCUP!BD60</f>
        <v>Escocia</v>
      </c>
      <c r="G141" s="7" t="str">
        <f ca="1">+WORLDCUP!BD65</f>
        <v>Arabia Saudita</v>
      </c>
      <c r="H141" s="7" t="str">
        <f ca="1">+WORLDCUP!BD61</f>
        <v>Turquía</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Egipto</v>
      </c>
      <c r="E142" s="7" t="str">
        <f ca="1">+WORLDCUP!BD59</f>
        <v>Catar</v>
      </c>
      <c r="F142" s="7" t="str">
        <f ca="1">+WORLDCUP!BD60</f>
        <v>Escocia</v>
      </c>
      <c r="G142" s="7" t="str">
        <f ca="1">+WORLDCUP!BD67</f>
        <v>Jordania</v>
      </c>
      <c r="H142" s="7" t="str">
        <f ca="1">+WORLDCUP!BD61</f>
        <v>Turquía</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Egipto</v>
      </c>
      <c r="E143" s="7" t="str">
        <f ca="1">+WORLDCUP!BD59</f>
        <v>Catar</v>
      </c>
      <c r="F143" s="7" t="str">
        <f ca="1">+WORLDCUP!BD60</f>
        <v>Escocia</v>
      </c>
      <c r="G143" s="7" t="str">
        <f ca="1">+WORLDCUP!BD67</f>
        <v>Jordania</v>
      </c>
      <c r="H143" s="7" t="str">
        <f ca="1">+WORLDCUP!BD61</f>
        <v>Turquía</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Egipto</v>
      </c>
      <c r="E144" s="7" t="str">
        <f ca="1">+WORLDCUP!BD59</f>
        <v>Catar</v>
      </c>
      <c r="F144" s="7" t="str">
        <f ca="1">+WORLDCUP!BD60</f>
        <v>Escocia</v>
      </c>
      <c r="G144" s="7" t="str">
        <f ca="1">+WORLDCUP!BD65</f>
        <v>Arabia Saudita</v>
      </c>
      <c r="H144" s="7" t="str">
        <f ca="1">+WORLDCUP!BD61</f>
        <v>Turquía</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Egipto</v>
      </c>
      <c r="E145" s="7" t="str">
        <f ca="1">+WORLDCUP!BD59</f>
        <v>Catar</v>
      </c>
      <c r="F145" s="7" t="str">
        <f ca="1">+WORLDCUP!BD60</f>
        <v>Escocia</v>
      </c>
      <c r="G145" s="7" t="str">
        <f ca="1">+WORLDCUP!BD65</f>
        <v>Arabia Saudita</v>
      </c>
      <c r="H145" s="7" t="str">
        <f ca="1">+WORLDCUP!BD61</f>
        <v>Turquía</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Egipto</v>
      </c>
      <c r="E146" s="7" t="str">
        <f ca="1">+WORLDCUP!BD59</f>
        <v>Catar</v>
      </c>
      <c r="F146" s="7" t="str">
        <f ca="1">+WORLDCUP!BD60</f>
        <v>Escocia</v>
      </c>
      <c r="G146" s="7" t="str">
        <f ca="1">+WORLDCUP!BD67</f>
        <v>Jordania</v>
      </c>
      <c r="H146" s="7" t="str">
        <f ca="1">+WORLDCUP!BD61</f>
        <v>Turquía</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Jordania</v>
      </c>
      <c r="E147" s="7" t="str">
        <f ca="1">+WORLDCUP!BD59</f>
        <v>Catar</v>
      </c>
      <c r="F147" s="7" t="str">
        <f ca="1">+WORLDCUP!BD61</f>
        <v>Turquía</v>
      </c>
      <c r="G147" s="7" t="str">
        <f ca="1">+WORLDCUP!BD62</f>
        <v>Costa de Marfil</v>
      </c>
      <c r="H147" s="7" t="str">
        <f ca="1">+WORLDCUP!BD63</f>
        <v>Japón</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Catar</v>
      </c>
      <c r="F148" s="7" t="str">
        <f ca="1">+WORLDCUP!BD61</f>
        <v>Turquía</v>
      </c>
      <c r="G148" s="7" t="str">
        <f ca="1">+WORLDCUP!BD66</f>
        <v>Senegal</v>
      </c>
      <c r="H148" s="7" t="str">
        <f ca="1">+WORLDCUP!BD63</f>
        <v>Japón</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Jordania</v>
      </c>
      <c r="E149" s="7" t="str">
        <f ca="1">+WORLDCUP!BD59</f>
        <v>Catar</v>
      </c>
      <c r="F149" s="7" t="str">
        <f ca="1">+WORLDCUP!BD61</f>
        <v>Turquía</v>
      </c>
      <c r="G149" s="7" t="str">
        <f ca="1">+WORLDCUP!BD62</f>
        <v>Costa de Marfil</v>
      </c>
      <c r="H149" s="7" t="str">
        <f ca="1">+WORLDCUP!BD63</f>
        <v>Japón</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Jordania</v>
      </c>
      <c r="E150" s="7" t="str">
        <f ca="1">+WORLDCUP!BD59</f>
        <v>Catar</v>
      </c>
      <c r="F150" s="7" t="str">
        <f ca="1">+WORLDCUP!BD61</f>
        <v>Turquía</v>
      </c>
      <c r="G150" s="7" t="str">
        <f ca="1">+WORLDCUP!BD62</f>
        <v>Costa de Marfil</v>
      </c>
      <c r="H150" s="7" t="str">
        <f ca="1">+WORLDCUP!BD63</f>
        <v>Japón</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Catar</v>
      </c>
      <c r="F151" s="7" t="str">
        <f ca="1">+WORLDCUP!BD61</f>
        <v>Turquía</v>
      </c>
      <c r="G151" s="7" t="str">
        <f ca="1">+WORLDCUP!BD65</f>
        <v>Arabia Saudita</v>
      </c>
      <c r="H151" s="7" t="str">
        <f ca="1">+WORLDCUP!BD63</f>
        <v>Japón</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Jordania</v>
      </c>
      <c r="E152" s="7" t="str">
        <f ca="1">+WORLDCUP!BD59</f>
        <v>Catar</v>
      </c>
      <c r="F152" s="7" t="str">
        <f ca="1">+WORLDCUP!BD61</f>
        <v>Turquía</v>
      </c>
      <c r="G152" s="7" t="str">
        <f ca="1">+WORLDCUP!BD65</f>
        <v>Arabia Saudita</v>
      </c>
      <c r="H152" s="7" t="str">
        <f ca="1">+WORLDCUP!BD63</f>
        <v>Japón</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Jordania</v>
      </c>
      <c r="E153" s="7" t="str">
        <f ca="1">+WORLDCUP!BD59</f>
        <v>Catar</v>
      </c>
      <c r="F153" s="7" t="str">
        <f ca="1">+WORLDCUP!BD61</f>
        <v>Turquía</v>
      </c>
      <c r="G153" s="7" t="str">
        <f ca="1">+WORLDCUP!BD65</f>
        <v>Arabia Saudita</v>
      </c>
      <c r="H153" s="7" t="str">
        <f ca="1">+WORLDCUP!BD63</f>
        <v>Japón</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Catar</v>
      </c>
      <c r="F154" s="7" t="str">
        <f ca="1">+WORLDCUP!BD61</f>
        <v>Turquía</v>
      </c>
      <c r="G154" s="7" t="str">
        <f ca="1">+WORLDCUP!BD65</f>
        <v>Arabia Saudita</v>
      </c>
      <c r="H154" s="7" t="str">
        <f ca="1">+WORLDCUP!BD63</f>
        <v>Japón</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Catar</v>
      </c>
      <c r="F155" s="7" t="str">
        <f ca="1">+WORLDCUP!BD61</f>
        <v>Turquía</v>
      </c>
      <c r="G155" s="7" t="str">
        <f ca="1">+WORLDCUP!BD65</f>
        <v>Arabia Saudita</v>
      </c>
      <c r="H155" s="7" t="str">
        <f ca="1">+WORLDCUP!BD63</f>
        <v>Japón</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Jordania</v>
      </c>
      <c r="E156" s="7" t="str">
        <f ca="1">+WORLDCUP!BD59</f>
        <v>Catar</v>
      </c>
      <c r="F156" s="7" t="str">
        <f ca="1">+WORLDCUP!BD61</f>
        <v>Turquía</v>
      </c>
      <c r="G156" s="7" t="str">
        <f ca="1">+WORLDCUP!BD65</f>
        <v>Arabia Saudita</v>
      </c>
      <c r="H156" s="7" t="str">
        <f ca="1">+WORLDCUP!BD63</f>
        <v>Japón</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Egipto</v>
      </c>
      <c r="E157" s="7" t="str">
        <f ca="1">+WORLDCUP!BD59</f>
        <v>Catar</v>
      </c>
      <c r="F157" s="7" t="str">
        <f ca="1">+WORLDCUP!BD61</f>
        <v>Turquía</v>
      </c>
      <c r="G157" s="7" t="str">
        <f ca="1">+WORLDCUP!BD62</f>
        <v>Costa de Marfil</v>
      </c>
      <c r="H157" s="7" t="str">
        <f ca="1">+WORLDCUP!BD63</f>
        <v>Japón</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Egipto</v>
      </c>
      <c r="E158" s="7" t="str">
        <f ca="1">+WORLDCUP!BD59</f>
        <v>Catar</v>
      </c>
      <c r="F158" s="7" t="str">
        <f ca="1">+WORLDCUP!BD61</f>
        <v>Turquía</v>
      </c>
      <c r="G158" s="7" t="str">
        <f ca="1">+WORLDCUP!BD67</f>
        <v>Jordania</v>
      </c>
      <c r="H158" s="7" t="str">
        <f ca="1">+WORLDCUP!BD63</f>
        <v>Japón</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Egipto</v>
      </c>
      <c r="E159" s="7" t="str">
        <f ca="1">+WORLDCUP!BD59</f>
        <v>Catar</v>
      </c>
      <c r="F159" s="7" t="str">
        <f ca="1">+WORLDCUP!BD61</f>
        <v>Turquía</v>
      </c>
      <c r="G159" s="7" t="str">
        <f ca="1">+WORLDCUP!BD67</f>
        <v>Jordania</v>
      </c>
      <c r="H159" s="7" t="str">
        <f ca="1">+WORLDCUP!BD63</f>
        <v>Japón</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Egipto</v>
      </c>
      <c r="E160" s="7" t="str">
        <f ca="1">+WORLDCUP!BD59</f>
        <v>Catar</v>
      </c>
      <c r="F160" s="7" t="str">
        <f ca="1">+WORLDCUP!BD61</f>
        <v>Turquía</v>
      </c>
      <c r="G160" s="7" t="str">
        <f ca="1">+WORLDCUP!BD62</f>
        <v>Costa de Marfil</v>
      </c>
      <c r="H160" s="7" t="str">
        <f ca="1">+WORLDCUP!BD63</f>
        <v>Japón</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Egipto</v>
      </c>
      <c r="E161" s="7" t="str">
        <f ca="1">+WORLDCUP!BD59</f>
        <v>Catar</v>
      </c>
      <c r="F161" s="7" t="str">
        <f ca="1">+WORLDCUP!BD61</f>
        <v>Turquía</v>
      </c>
      <c r="G161" s="7" t="str">
        <f ca="1">+WORLDCUP!BD62</f>
        <v>Costa de Marfil</v>
      </c>
      <c r="H161" s="7" t="str">
        <f ca="1">+WORLDCUP!BD63</f>
        <v>Japón</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Egipto</v>
      </c>
      <c r="E162" s="7" t="str">
        <f ca="1">+WORLDCUP!BD59</f>
        <v>Catar</v>
      </c>
      <c r="F162" s="7" t="str">
        <f ca="1">+WORLDCUP!BD61</f>
        <v>Turquía</v>
      </c>
      <c r="G162" s="7" t="str">
        <f ca="1">+WORLDCUP!BD67</f>
        <v>Jordania</v>
      </c>
      <c r="H162" s="7" t="str">
        <f ca="1">+WORLDCUP!BD63</f>
        <v>Japón</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Egipto</v>
      </c>
      <c r="E163" s="7" t="str">
        <f ca="1">+WORLDCUP!BD59</f>
        <v>Catar</v>
      </c>
      <c r="F163" s="7" t="str">
        <f ca="1">+WORLDCUP!BD61</f>
        <v>Turquía</v>
      </c>
      <c r="G163" s="7" t="str">
        <f ca="1">+WORLDCUP!BD65</f>
        <v>Arabia Saudita</v>
      </c>
      <c r="H163" s="7" t="str">
        <f ca="1">+WORLDCUP!BD63</f>
        <v>Japón</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Egipto</v>
      </c>
      <c r="E164" s="7" t="str">
        <f ca="1">+WORLDCUP!BD59</f>
        <v>Catar</v>
      </c>
      <c r="F164" s="7" t="str">
        <f ca="1">+WORLDCUP!BD61</f>
        <v>Turquía</v>
      </c>
      <c r="G164" s="7" t="str">
        <f ca="1">+WORLDCUP!BD65</f>
        <v>Arabia Saudita</v>
      </c>
      <c r="H164" s="7" t="str">
        <f ca="1">+WORLDCUP!BD63</f>
        <v>Japón</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Egipto</v>
      </c>
      <c r="E165" s="7" t="str">
        <f ca="1">+WORLDCUP!BD59</f>
        <v>Catar</v>
      </c>
      <c r="F165" s="7" t="str">
        <f ca="1">+WORLDCUP!BD60</f>
        <v>Escocia</v>
      </c>
      <c r="G165" s="7" t="str">
        <f ca="1">+WORLDCUP!BD67</f>
        <v>Jordania</v>
      </c>
      <c r="H165" s="7" t="str">
        <f ca="1">+WORLDCUP!BD63</f>
        <v>Japón</v>
      </c>
      <c r="I165" s="7" t="str">
        <f ca="1">+WORLDCUP!BD61</f>
        <v>Turquía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Egipto</v>
      </c>
      <c r="E166" s="7" t="str">
        <f ca="1">+WORLDCUP!BD59</f>
        <v>Catar</v>
      </c>
      <c r="F166" s="7" t="str">
        <f ca="1">+WORLDCUP!BD61</f>
        <v>Turquía</v>
      </c>
      <c r="G166" s="7" t="str">
        <f ca="1">+WORLDCUP!BD65</f>
        <v>Arabia Saudita</v>
      </c>
      <c r="H166" s="7" t="str">
        <f ca="1">+WORLDCUP!BD63</f>
        <v>Japón</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Jordania</v>
      </c>
      <c r="E167" s="7" t="str">
        <f ca="1">+WORLDCUP!BD66</f>
        <v>Senegal</v>
      </c>
      <c r="F167" s="7" t="str">
        <f ca="1">+WORLDCUP!BD63</f>
        <v>Japón</v>
      </c>
      <c r="G167" s="7" t="str">
        <f ca="1">+WORLDCUP!BD58</f>
        <v>Sudáfrica</v>
      </c>
      <c r="H167" s="7" t="str">
        <f ca="1">+WORLDCUP!BD64</f>
        <v>Egipto</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Jordania</v>
      </c>
      <c r="E168" s="7" t="str">
        <f ca="1">+WORLDCUP!BD66</f>
        <v>Senegal</v>
      </c>
      <c r="F168" s="7" t="str">
        <f ca="1">+WORLDCUP!BD58</f>
        <v>Sudáfrica</v>
      </c>
      <c r="G168" s="7" t="str">
        <f ca="1">+WORLDCUP!BD65</f>
        <v>Arabia Saudita</v>
      </c>
      <c r="H168" s="7" t="str">
        <f ca="1">+WORLDCUP!BD64</f>
        <v>Egipto</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Jordania</v>
      </c>
      <c r="E169" s="7" t="str">
        <f ca="1">+WORLDCUP!BD66</f>
        <v>Senegal</v>
      </c>
      <c r="F169" s="7" t="str">
        <f ca="1">+WORLDCUP!BD63</f>
        <v>Japón</v>
      </c>
      <c r="G169" s="7" t="str">
        <f ca="1">+WORLDCUP!BD58</f>
        <v>Sudáfrica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Jordania</v>
      </c>
      <c r="E170" s="7" t="str">
        <f ca="1">+WORLDCUP!BD66</f>
        <v>Senegal</v>
      </c>
      <c r="F170" s="7" t="str">
        <f ca="1">+WORLDCUP!BD63</f>
        <v>Japón</v>
      </c>
      <c r="G170" s="7" t="str">
        <f ca="1">+WORLDCUP!BD58</f>
        <v>Sudáfrica</v>
      </c>
      <c r="H170" s="7" t="str">
        <f ca="1">+WORLDCUP!BD64</f>
        <v>Egipto</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Egipto</v>
      </c>
      <c r="E171" s="7" t="str">
        <f ca="1">+WORLDCUP!BD67</f>
        <v>Jordania</v>
      </c>
      <c r="F171" s="7" t="str">
        <f ca="1">+WORLDCUP!BD63</f>
        <v>Japón</v>
      </c>
      <c r="G171" s="7" t="str">
        <f ca="1">+WORLDCUP!BD58</f>
        <v>Sudáfrica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Egipto</v>
      </c>
      <c r="E172" s="7" t="str">
        <f ca="1">+WORLDCUP!BD66</f>
        <v>Senegal</v>
      </c>
      <c r="F172" s="7" t="str">
        <f ca="1">+WORLDCUP!BD63</f>
        <v>Japón</v>
      </c>
      <c r="G172" s="7" t="str">
        <f ca="1">+WORLDCUP!BD58</f>
        <v>Sudáfrica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Egipto</v>
      </c>
      <c r="E173" s="7" t="str">
        <f ca="1">+WORLDCUP!BD67</f>
        <v>Jordania</v>
      </c>
      <c r="F173" s="7" t="str">
        <f ca="1">+WORLDCUP!BD63</f>
        <v>Japón</v>
      </c>
      <c r="G173" s="7" t="str">
        <f ca="1">+WORLDCUP!BD58</f>
        <v>Sudáfrica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Egipto</v>
      </c>
      <c r="E174" s="7" t="str">
        <f ca="1">+WORLDCUP!BD67</f>
        <v>Jordania</v>
      </c>
      <c r="F174" s="7" t="str">
        <f ca="1">+WORLDCUP!BD63</f>
        <v>Japón</v>
      </c>
      <c r="G174" s="7" t="str">
        <f ca="1">+WORLDCUP!BD58</f>
        <v>Sudáfrica</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Jordania</v>
      </c>
      <c r="E175" s="7" t="str">
        <f ca="1">+WORLDCUP!BD66</f>
        <v>Senegal</v>
      </c>
      <c r="F175" s="7" t="str">
        <f ca="1">+WORLDCUP!BD61</f>
        <v>Turquía</v>
      </c>
      <c r="G175" s="7" t="str">
        <f ca="1">+WORLDCUP!BD58</f>
        <v>Sudáfrica</v>
      </c>
      <c r="H175" s="7" t="str">
        <f ca="1">+WORLDCUP!BD64</f>
        <v>Egipto</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Jordania</v>
      </c>
      <c r="E176" s="7" t="str">
        <f ca="1">+WORLDCUP!BD66</f>
        <v>Senegal</v>
      </c>
      <c r="F176" s="7" t="str">
        <f ca="1">+WORLDCUP!BD61</f>
        <v>Turquía</v>
      </c>
      <c r="G176" s="7" t="str">
        <f ca="1">+WORLDCUP!BD58</f>
        <v>Sudáfrica</v>
      </c>
      <c r="H176" s="7" t="str">
        <f ca="1">+WORLDCUP!BD63</f>
        <v>Japón</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Egipto</v>
      </c>
      <c r="E177" s="7" t="str">
        <f ca="1">+WORLDCUP!BD67</f>
        <v>Jordania</v>
      </c>
      <c r="F177" s="7" t="str">
        <f ca="1">+WORLDCUP!BD61</f>
        <v>Turquía</v>
      </c>
      <c r="G177" s="7" t="str">
        <f ca="1">+WORLDCUP!BD58</f>
        <v>Sudáfrica</v>
      </c>
      <c r="H177" s="7" t="str">
        <f ca="1">+WORLDCUP!BD63</f>
        <v>Japón</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Egipto</v>
      </c>
      <c r="E178" s="7" t="str">
        <f ca="1">+WORLDCUP!BD67</f>
        <v>Jordania</v>
      </c>
      <c r="F178" s="7" t="str">
        <f ca="1">+WORLDCUP!BD61</f>
        <v>Turquía</v>
      </c>
      <c r="G178" s="7" t="str">
        <f ca="1">+WORLDCUP!BD58</f>
        <v>Sudáfrica</v>
      </c>
      <c r="H178" s="7" t="str">
        <f ca="1">+WORLDCUP!BD63</f>
        <v>Japón</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Egipto</v>
      </c>
      <c r="E179" s="7" t="str">
        <f ca="1">+WORLDCUP!BD66</f>
        <v>Senegal</v>
      </c>
      <c r="F179" s="7" t="str">
        <f ca="1">+WORLDCUP!BD61</f>
        <v>Turquía</v>
      </c>
      <c r="G179" s="7" t="str">
        <f ca="1">+WORLDCUP!BD58</f>
        <v>Sudáfrica</v>
      </c>
      <c r="H179" s="7" t="str">
        <f ca="1">+WORLDCUP!BD63</f>
        <v>Japón</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Egipto</v>
      </c>
      <c r="E180" s="7" t="str">
        <f ca="1">+WORLDCUP!BD67</f>
        <v>Jordania</v>
      </c>
      <c r="F180" s="7" t="str">
        <f ca="1">+WORLDCUP!BD61</f>
        <v>Turquía</v>
      </c>
      <c r="G180" s="7" t="str">
        <f ca="1">+WORLDCUP!BD58</f>
        <v>Sudáfrica</v>
      </c>
      <c r="H180" s="7" t="str">
        <f ca="1">+WORLDCUP!BD63</f>
        <v>Japón</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Egipto</v>
      </c>
      <c r="E181" s="7" t="str">
        <f ca="1">+WORLDCUP!BD67</f>
        <v>Jordania</v>
      </c>
      <c r="F181" s="7" t="str">
        <f ca="1">+WORLDCUP!BD61</f>
        <v>Turquía</v>
      </c>
      <c r="G181" s="7" t="str">
        <f ca="1">+WORLDCUP!BD58</f>
        <v>Sudáfrica</v>
      </c>
      <c r="H181" s="7" t="str">
        <f ca="1">+WORLDCUP!BD63</f>
        <v>Japón</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Jordania</v>
      </c>
      <c r="E182" s="7" t="str">
        <f ca="1">+WORLDCUP!BD66</f>
        <v>Senegal</v>
      </c>
      <c r="F182" s="7" t="str">
        <f ca="1">+WORLDCUP!BD61</f>
        <v>Turquía</v>
      </c>
      <c r="G182" s="7" t="str">
        <f ca="1">+WORLDCUP!BD58</f>
        <v>Sudáfrica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Jordania</v>
      </c>
      <c r="E183" s="7" t="str">
        <f ca="1">+WORLDCUP!BD66</f>
        <v>Senegal</v>
      </c>
      <c r="F183" s="7" t="str">
        <f ca="1">+WORLDCUP!BD61</f>
        <v>Turquía</v>
      </c>
      <c r="G183" s="7" t="str">
        <f ca="1">+WORLDCUP!BD58</f>
        <v>Sudáfrica</v>
      </c>
      <c r="H183" s="7" t="str">
        <f ca="1">+WORLDCUP!BD64</f>
        <v>Egipto</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Egipto</v>
      </c>
      <c r="E184" s="7" t="str">
        <f ca="1">+WORLDCUP!BD67</f>
        <v>Jordania</v>
      </c>
      <c r="F184" s="7" t="str">
        <f ca="1">+WORLDCUP!BD61</f>
        <v>Turquía</v>
      </c>
      <c r="G184" s="7" t="str">
        <f ca="1">+WORLDCUP!BD58</f>
        <v>Sudáfrica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Egipto</v>
      </c>
      <c r="E185" s="7" t="str">
        <f ca="1">+WORLDCUP!BD66</f>
        <v>Senegal</v>
      </c>
      <c r="F185" s="7" t="str">
        <f ca="1">+WORLDCUP!BD61</f>
        <v>Turquía</v>
      </c>
      <c r="G185" s="7" t="str">
        <f ca="1">+WORLDCUP!BD58</f>
        <v>Sudáfrica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Egipto</v>
      </c>
      <c r="E186" s="7" t="str">
        <f ca="1">+WORLDCUP!BD67</f>
        <v>Jordania</v>
      </c>
      <c r="F186" s="7" t="str">
        <f ca="1">+WORLDCUP!BD61</f>
        <v>Turquía</v>
      </c>
      <c r="G186" s="7" t="str">
        <f ca="1">+WORLDCUP!BD58</f>
        <v>Sudáfrica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Egipto</v>
      </c>
      <c r="E187" s="7" t="str">
        <f ca="1">+WORLDCUP!BD67</f>
        <v>Jordania</v>
      </c>
      <c r="F187" s="7" t="str">
        <f ca="1">+WORLDCUP!BD61</f>
        <v>Turquía</v>
      </c>
      <c r="G187" s="7" t="str">
        <f ca="1">+WORLDCUP!BD58</f>
        <v>Sudáfrica</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Jordania</v>
      </c>
      <c r="E188" s="7" t="str">
        <f ca="1">+WORLDCUP!BD66</f>
        <v>Senegal</v>
      </c>
      <c r="F188" s="7" t="str">
        <f ca="1">+WORLDCUP!BD61</f>
        <v>Turquía</v>
      </c>
      <c r="G188" s="7" t="str">
        <f ca="1">+WORLDCUP!BD58</f>
        <v>Sudáfrica</v>
      </c>
      <c r="H188" s="7" t="str">
        <f ca="1">+WORLDCUP!BD63</f>
        <v>Japón</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Jordania</v>
      </c>
      <c r="E189" s="7" t="str">
        <f ca="1">+WORLDCUP!BD62</f>
        <v>Costa de Marfil</v>
      </c>
      <c r="F189" s="7" t="str">
        <f ca="1">+WORLDCUP!BD61</f>
        <v>Turquía</v>
      </c>
      <c r="G189" s="7" t="str">
        <f ca="1">+WORLDCUP!BD58</f>
        <v>Sudáfrica</v>
      </c>
      <c r="H189" s="7" t="str">
        <f ca="1">+WORLDCUP!BD63</f>
        <v>Japón</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Turquía</v>
      </c>
      <c r="G190" s="7" t="str">
        <f ca="1">+WORLDCUP!BD58</f>
        <v>Sudáfrica</v>
      </c>
      <c r="H190" s="7" t="str">
        <f ca="1">+WORLDCUP!BD63</f>
        <v>Japón</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Jordania</v>
      </c>
      <c r="E191" s="7" t="str">
        <f ca="1">+WORLDCUP!BD62</f>
        <v>Costa de Marfil</v>
      </c>
      <c r="F191" s="7" t="str">
        <f ca="1">+WORLDCUP!BD61</f>
        <v>Turquía</v>
      </c>
      <c r="G191" s="7" t="str">
        <f ca="1">+WORLDCUP!BD58</f>
        <v>Sudáfrica</v>
      </c>
      <c r="H191" s="7" t="str">
        <f ca="1">+WORLDCUP!BD63</f>
        <v>Japón</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Jordania</v>
      </c>
      <c r="E192" s="7" t="str">
        <f ca="1">+WORLDCUP!BD62</f>
        <v>Costa de Marfil</v>
      </c>
      <c r="F192" s="7" t="str">
        <f ca="1">+WORLDCUP!BD61</f>
        <v>Turquía</v>
      </c>
      <c r="G192" s="7" t="str">
        <f ca="1">+WORLDCUP!BD58</f>
        <v>Sudáfrica</v>
      </c>
      <c r="H192" s="7" t="str">
        <f ca="1">+WORLDCUP!BD63</f>
        <v>Japón</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Egipto</v>
      </c>
      <c r="E193" s="7" t="str">
        <f ca="1">+WORLDCUP!BD67</f>
        <v>Jordania</v>
      </c>
      <c r="F193" s="7" t="str">
        <f ca="1">+WORLDCUP!BD61</f>
        <v>Turquía</v>
      </c>
      <c r="G193" s="7" t="str">
        <f ca="1">+WORLDCUP!BD58</f>
        <v>Sudáfrica</v>
      </c>
      <c r="H193" s="7" t="str">
        <f ca="1">+WORLDCUP!BD63</f>
        <v>Japón</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Egipto</v>
      </c>
      <c r="E194" s="7" t="str">
        <f ca="1">+WORLDCUP!BD66</f>
        <v>Senegal</v>
      </c>
      <c r="F194" s="7" t="str">
        <f ca="1">+WORLDCUP!BD61</f>
        <v>Turquía</v>
      </c>
      <c r="G194" s="7" t="str">
        <f ca="1">+WORLDCUP!BD58</f>
        <v>Sudáfrica</v>
      </c>
      <c r="H194" s="7" t="str">
        <f ca="1">+WORLDCUP!BD63</f>
        <v>Japón</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Egipto</v>
      </c>
      <c r="E195" s="7" t="str">
        <f ca="1">+WORLDCUP!BD67</f>
        <v>Jordania</v>
      </c>
      <c r="F195" s="7" t="str">
        <f ca="1">+WORLDCUP!BD61</f>
        <v>Turquía</v>
      </c>
      <c r="G195" s="7" t="str">
        <f ca="1">+WORLDCUP!BD58</f>
        <v>Sudáfrica</v>
      </c>
      <c r="H195" s="7" t="str">
        <f ca="1">+WORLDCUP!BD63</f>
        <v>Japón</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Egipto</v>
      </c>
      <c r="E196" s="7" t="str">
        <f ca="1">+WORLDCUP!BD67</f>
        <v>Jordania</v>
      </c>
      <c r="F196" s="7" t="str">
        <f ca="1">+WORLDCUP!BD61</f>
        <v>Turquía</v>
      </c>
      <c r="G196" s="7" t="str">
        <f ca="1">+WORLDCUP!BD58</f>
        <v>Sudáfrica</v>
      </c>
      <c r="H196" s="7" t="str">
        <f ca="1">+WORLDCUP!BD63</f>
        <v>Japón</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Egipto</v>
      </c>
      <c r="E197" s="7" t="str">
        <f ca="1">+WORLDCUP!BD62</f>
        <v>Costa de Marfil</v>
      </c>
      <c r="F197" s="7" t="str">
        <f ca="1">+WORLDCUP!BD61</f>
        <v>Turquía</v>
      </c>
      <c r="G197" s="7" t="str">
        <f ca="1">+WORLDCUP!BD58</f>
        <v>Sudáfrica</v>
      </c>
      <c r="H197" s="7" t="str">
        <f ca="1">+WORLDCUP!BD63</f>
        <v>Japón</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Egipto</v>
      </c>
      <c r="E198" s="7" t="str">
        <f ca="1">+WORLDCUP!BD67</f>
        <v>Jordania</v>
      </c>
      <c r="F198" s="7" t="str">
        <f ca="1">+WORLDCUP!BD61</f>
        <v>Turquía</v>
      </c>
      <c r="G198" s="7" t="str">
        <f ca="1">+WORLDCUP!BD58</f>
        <v>Sudáfrica</v>
      </c>
      <c r="H198" s="7" t="str">
        <f ca="1">+WORLDCUP!BD63</f>
        <v>Japón</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Egipto</v>
      </c>
      <c r="E199" s="7" t="str">
        <f ca="1">+WORLDCUP!BD67</f>
        <v>Jordania</v>
      </c>
      <c r="F199" s="7" t="str">
        <f ca="1">+WORLDCUP!BD61</f>
        <v>Turquía</v>
      </c>
      <c r="G199" s="7" t="str">
        <f ca="1">+WORLDCUP!BD58</f>
        <v>Sudáfrica</v>
      </c>
      <c r="H199" s="7" t="str">
        <f ca="1">+WORLDCUP!BD63</f>
        <v>Japón</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Egipto</v>
      </c>
      <c r="E200" s="7" t="str">
        <f ca="1">+WORLDCUP!BD62</f>
        <v>Costa de Marfil</v>
      </c>
      <c r="F200" s="7" t="str">
        <f ca="1">+WORLDCUP!BD61</f>
        <v>Turquía</v>
      </c>
      <c r="G200" s="7" t="str">
        <f ca="1">+WORLDCUP!BD58</f>
        <v>Sudáfrica</v>
      </c>
      <c r="H200" s="7" t="str">
        <f ca="1">+WORLDCUP!BD63</f>
        <v>Japón</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Egipto</v>
      </c>
      <c r="E201" s="7" t="str">
        <f ca="1">+WORLDCUP!BD62</f>
        <v>Costa de Marfil</v>
      </c>
      <c r="F201" s="7" t="str">
        <f ca="1">+WORLDCUP!BD61</f>
        <v>Turquía</v>
      </c>
      <c r="G201" s="7" t="str">
        <f ca="1">+WORLDCUP!BD58</f>
        <v>Sudáfrica</v>
      </c>
      <c r="H201" s="7" t="str">
        <f ca="1">+WORLDCUP!BD63</f>
        <v>Japón</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Egipto</v>
      </c>
      <c r="E202" s="7" t="str">
        <f ca="1">+WORLDCUP!BD67</f>
        <v>Jordania</v>
      </c>
      <c r="F202" s="7" t="str">
        <f ca="1">+WORLDCUP!BD61</f>
        <v>Turquía</v>
      </c>
      <c r="G202" s="7" t="str">
        <f ca="1">+WORLDCUP!BD58</f>
        <v>Sudáfrica</v>
      </c>
      <c r="H202" s="7" t="str">
        <f ca="1">+WORLDCUP!BD63</f>
        <v>Japón</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Jordania</v>
      </c>
      <c r="E203" s="7" t="str">
        <f ca="1">+WORLDCUP!BD66</f>
        <v>Senegal</v>
      </c>
      <c r="F203" s="7" t="str">
        <f ca="1">+WORLDCUP!BD60</f>
        <v>Escocia</v>
      </c>
      <c r="G203" s="7" t="str">
        <f ca="1">+WORLDCUP!BD58</f>
        <v>Sudáfrica</v>
      </c>
      <c r="H203" s="7" t="str">
        <f ca="1">+WORLDCUP!BD64</f>
        <v>Egipto</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Jordania</v>
      </c>
      <c r="E204" s="7" t="str">
        <f ca="1">+WORLDCUP!BD66</f>
        <v>Senegal</v>
      </c>
      <c r="F204" s="7" t="str">
        <f ca="1">+WORLDCUP!BD60</f>
        <v>Escocia</v>
      </c>
      <c r="G204" s="7" t="str">
        <f ca="1">+WORLDCUP!BD58</f>
        <v>Sudáfrica</v>
      </c>
      <c r="H204" s="7" t="str">
        <f ca="1">+WORLDCUP!BD63</f>
        <v>Japón</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Egipto</v>
      </c>
      <c r="E205" s="7" t="str">
        <f ca="1">+WORLDCUP!BD67</f>
        <v>Jordania</v>
      </c>
      <c r="F205" s="7" t="str">
        <f ca="1">+WORLDCUP!BD60</f>
        <v>Escocia</v>
      </c>
      <c r="G205" s="7" t="str">
        <f ca="1">+WORLDCUP!BD58</f>
        <v>Sudáfrica</v>
      </c>
      <c r="H205" s="7" t="str">
        <f ca="1">+WORLDCUP!BD63</f>
        <v>Japón</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Egipto</v>
      </c>
      <c r="E206" s="7" t="str">
        <f ca="1">+WORLDCUP!BD67</f>
        <v>Jordania</v>
      </c>
      <c r="F206" s="7" t="str">
        <f ca="1">+WORLDCUP!BD60</f>
        <v>Escocia</v>
      </c>
      <c r="G206" s="7" t="str">
        <f ca="1">+WORLDCUP!BD58</f>
        <v>Sudáfrica</v>
      </c>
      <c r="H206" s="7" t="str">
        <f ca="1">+WORLDCUP!BD63</f>
        <v>Japón</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Egipto</v>
      </c>
      <c r="E207" s="7" t="str">
        <f ca="1">+WORLDCUP!BD66</f>
        <v>Senegal</v>
      </c>
      <c r="F207" s="7" t="str">
        <f ca="1">+WORLDCUP!BD60</f>
        <v>Escocia</v>
      </c>
      <c r="G207" s="7" t="str">
        <f ca="1">+WORLDCUP!BD58</f>
        <v>Sudáfrica</v>
      </c>
      <c r="H207" s="7" t="str">
        <f ca="1">+WORLDCUP!BD63</f>
        <v>Japón</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Egipto</v>
      </c>
      <c r="E208" s="7" t="str">
        <f ca="1">+WORLDCUP!BD67</f>
        <v>Jordania</v>
      </c>
      <c r="F208" s="7" t="str">
        <f ca="1">+WORLDCUP!BD60</f>
        <v>Escocia</v>
      </c>
      <c r="G208" s="7" t="str">
        <f ca="1">+WORLDCUP!BD58</f>
        <v>Sudáfrica</v>
      </c>
      <c r="H208" s="7" t="str">
        <f ca="1">+WORLDCUP!BD63</f>
        <v>Japón</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Egipto</v>
      </c>
      <c r="E209" s="7" t="str">
        <f ca="1">+WORLDCUP!BD67</f>
        <v>Jordania</v>
      </c>
      <c r="F209" s="7" t="str">
        <f ca="1">+WORLDCUP!BD60</f>
        <v>Escocia</v>
      </c>
      <c r="G209" s="7" t="str">
        <f ca="1">+WORLDCUP!BD58</f>
        <v>Sudáfrica</v>
      </c>
      <c r="H209" s="7" t="str">
        <f ca="1">+WORLDCUP!BD63</f>
        <v>Japón</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Jordania</v>
      </c>
      <c r="E210" s="7" t="str">
        <f ca="1">+WORLDCUP!BD66</f>
        <v>Senegal</v>
      </c>
      <c r="F210" s="7" t="str">
        <f ca="1">+WORLDCUP!BD60</f>
        <v>Escocia</v>
      </c>
      <c r="G210" s="7" t="str">
        <f ca="1">+WORLDCUP!BD58</f>
        <v>Sudáfrica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Jordania</v>
      </c>
      <c r="E211" s="7" t="str">
        <f ca="1">+WORLDCUP!BD66</f>
        <v>Senegal</v>
      </c>
      <c r="F211" s="7" t="str">
        <f ca="1">+WORLDCUP!BD60</f>
        <v>Escocia</v>
      </c>
      <c r="G211" s="7" t="str">
        <f ca="1">+WORLDCUP!BD58</f>
        <v>Sudáfrica</v>
      </c>
      <c r="H211" s="7" t="str">
        <f ca="1">+WORLDCUP!BD64</f>
        <v>Egipto</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Egipto</v>
      </c>
      <c r="E212" s="7" t="str">
        <f ca="1">+WORLDCUP!BD67</f>
        <v>Jordania</v>
      </c>
      <c r="F212" s="7" t="str">
        <f ca="1">+WORLDCUP!BD60</f>
        <v>Escocia</v>
      </c>
      <c r="G212" s="7" t="str">
        <f ca="1">+WORLDCUP!BD58</f>
        <v>Sudáfrica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Egipto</v>
      </c>
      <c r="E213" s="7" t="str">
        <f ca="1">+WORLDCUP!BD66</f>
        <v>Senegal</v>
      </c>
      <c r="F213" s="7" t="str">
        <f ca="1">+WORLDCUP!BD60</f>
        <v>Escocia</v>
      </c>
      <c r="G213" s="7" t="str">
        <f ca="1">+WORLDCUP!BD58</f>
        <v>Sudáfrica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Egipto</v>
      </c>
      <c r="E214" s="7" t="str">
        <f ca="1">+WORLDCUP!BD67</f>
        <v>Jordania</v>
      </c>
      <c r="F214" s="7" t="str">
        <f ca="1">+WORLDCUP!BD60</f>
        <v>Escocia</v>
      </c>
      <c r="G214" s="7" t="str">
        <f ca="1">+WORLDCUP!BD58</f>
        <v>Sudáfrica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Egipto</v>
      </c>
      <c r="E215" s="7" t="str">
        <f ca="1">+WORLDCUP!BD67</f>
        <v>Jordania</v>
      </c>
      <c r="F215" s="7" t="str">
        <f ca="1">+WORLDCUP!BD60</f>
        <v>Escocia</v>
      </c>
      <c r="G215" s="7" t="str">
        <f ca="1">+WORLDCUP!BD58</f>
        <v>Sudáfrica</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Jordania</v>
      </c>
      <c r="E216" s="7" t="str">
        <f ca="1">+WORLDCUP!BD66</f>
        <v>Senegal</v>
      </c>
      <c r="F216" s="7" t="str">
        <f ca="1">+WORLDCUP!BD60</f>
        <v>Escocia</v>
      </c>
      <c r="G216" s="7" t="str">
        <f ca="1">+WORLDCUP!BD58</f>
        <v>Sudáfrica</v>
      </c>
      <c r="H216" s="7" t="str">
        <f ca="1">+WORLDCUP!BD63</f>
        <v>Japón</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Jordania</v>
      </c>
      <c r="E217" s="7" t="str">
        <f ca="1">+WORLDCUP!BD62</f>
        <v>Costa de Marfil</v>
      </c>
      <c r="F217" s="7" t="str">
        <f ca="1">+WORLDCUP!BD60</f>
        <v>Escocia</v>
      </c>
      <c r="G217" s="7" t="str">
        <f ca="1">+WORLDCUP!BD58</f>
        <v>Sudáfrica</v>
      </c>
      <c r="H217" s="7" t="str">
        <f ca="1">+WORLDCUP!BD63</f>
        <v>Japón</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Sudáfrica</v>
      </c>
      <c r="H218" s="7" t="str">
        <f ca="1">+WORLDCUP!BD63</f>
        <v>Japón</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Jordania</v>
      </c>
      <c r="E219" s="7" t="str">
        <f ca="1">+WORLDCUP!BD62</f>
        <v>Costa de Marfil</v>
      </c>
      <c r="F219" s="7" t="str">
        <f ca="1">+WORLDCUP!BD60</f>
        <v>Escocia</v>
      </c>
      <c r="G219" s="7" t="str">
        <f ca="1">+WORLDCUP!BD58</f>
        <v>Sudáfrica</v>
      </c>
      <c r="H219" s="7" t="str">
        <f ca="1">+WORLDCUP!BD63</f>
        <v>Japón</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Jordania</v>
      </c>
      <c r="E220" s="7" t="str">
        <f ca="1">+WORLDCUP!BD62</f>
        <v>Costa de Marfil</v>
      </c>
      <c r="F220" s="7" t="str">
        <f ca="1">+WORLDCUP!BD60</f>
        <v>Escocia</v>
      </c>
      <c r="G220" s="7" t="str">
        <f ca="1">+WORLDCUP!BD58</f>
        <v>Sudáfrica</v>
      </c>
      <c r="H220" s="7" t="str">
        <f ca="1">+WORLDCUP!BD63</f>
        <v>Japón</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Egipto</v>
      </c>
      <c r="E221" s="7" t="str">
        <f ca="1">+WORLDCUP!BD67</f>
        <v>Jordania</v>
      </c>
      <c r="F221" s="7" t="str">
        <f ca="1">+WORLDCUP!BD60</f>
        <v>Escocia</v>
      </c>
      <c r="G221" s="7" t="str">
        <f ca="1">+WORLDCUP!BD58</f>
        <v>Sudáfrica</v>
      </c>
      <c r="H221" s="7" t="str">
        <f ca="1">+WORLDCUP!BD63</f>
        <v>Japón</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Egipto</v>
      </c>
      <c r="E222" s="7" t="str">
        <f ca="1">+WORLDCUP!BD66</f>
        <v>Senegal</v>
      </c>
      <c r="F222" s="7" t="str">
        <f ca="1">+WORLDCUP!BD60</f>
        <v>Escocia</v>
      </c>
      <c r="G222" s="7" t="str">
        <f ca="1">+WORLDCUP!BD58</f>
        <v>Sudáfrica</v>
      </c>
      <c r="H222" s="7" t="str">
        <f ca="1">+WORLDCUP!BD63</f>
        <v>Japón</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Egipto</v>
      </c>
      <c r="E223" s="7" t="str">
        <f ca="1">+WORLDCUP!BD67</f>
        <v>Jordania</v>
      </c>
      <c r="F223" s="7" t="str">
        <f ca="1">+WORLDCUP!BD60</f>
        <v>Escocia</v>
      </c>
      <c r="G223" s="7" t="str">
        <f ca="1">+WORLDCUP!BD58</f>
        <v>Sudáfrica</v>
      </c>
      <c r="H223" s="7" t="str">
        <f ca="1">+WORLDCUP!BD63</f>
        <v>Japón</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Egipto</v>
      </c>
      <c r="E224" s="7" t="str">
        <f ca="1">+WORLDCUP!BD67</f>
        <v>Jordania</v>
      </c>
      <c r="F224" s="7" t="str">
        <f ca="1">+WORLDCUP!BD60</f>
        <v>Escocia</v>
      </c>
      <c r="G224" s="7" t="str">
        <f ca="1">+WORLDCUP!BD58</f>
        <v>Sudáfrica</v>
      </c>
      <c r="H224" s="7" t="str">
        <f ca="1">+WORLDCUP!BD63</f>
        <v>Japón</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Egipto</v>
      </c>
      <c r="E225" s="7" t="str">
        <f ca="1">+WORLDCUP!BD62</f>
        <v>Costa de Marfil</v>
      </c>
      <c r="F225" s="7" t="str">
        <f ca="1">+WORLDCUP!BD60</f>
        <v>Escocia</v>
      </c>
      <c r="G225" s="7" t="str">
        <f ca="1">+WORLDCUP!BD58</f>
        <v>Sudáfrica</v>
      </c>
      <c r="H225" s="7" t="str">
        <f ca="1">+WORLDCUP!BD63</f>
        <v>Japón</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Egipto</v>
      </c>
      <c r="E226" s="7" t="str">
        <f ca="1">+WORLDCUP!BD67</f>
        <v>Jordania</v>
      </c>
      <c r="F226" s="7" t="str">
        <f ca="1">+WORLDCUP!BD60</f>
        <v>Escocia</v>
      </c>
      <c r="G226" s="7" t="str">
        <f ca="1">+WORLDCUP!BD58</f>
        <v>Sudáfrica</v>
      </c>
      <c r="H226" s="7" t="str">
        <f ca="1">+WORLDCUP!BD63</f>
        <v>Japón</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Egipto</v>
      </c>
      <c r="E227" s="7" t="str">
        <f ca="1">+WORLDCUP!BD67</f>
        <v>Jordania</v>
      </c>
      <c r="F227" s="7" t="str">
        <f ca="1">+WORLDCUP!BD60</f>
        <v>Escocia</v>
      </c>
      <c r="G227" s="7" t="str">
        <f ca="1">+WORLDCUP!BD58</f>
        <v>Sudáfrica</v>
      </c>
      <c r="H227" s="7" t="str">
        <f ca="1">+WORLDCUP!BD63</f>
        <v>Japón</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Egipto</v>
      </c>
      <c r="E228" s="7" t="str">
        <f ca="1">+WORLDCUP!BD62</f>
        <v>Costa de Marfil</v>
      </c>
      <c r="F228" s="7" t="str">
        <f ca="1">+WORLDCUP!BD60</f>
        <v>Escocia</v>
      </c>
      <c r="G228" s="7" t="str">
        <f ca="1">+WORLDCUP!BD58</f>
        <v>Sudáfrica</v>
      </c>
      <c r="H228" s="7" t="str">
        <f ca="1">+WORLDCUP!BD63</f>
        <v>Japón</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1</v>
      </c>
      <c r="C229" s="7" t="str">
        <f ca="1">+WORLDCUP!BD65</f>
        <v>Arabia Saudita</v>
      </c>
      <c r="D229" s="7" t="str">
        <f ca="1">+WORLDCUP!BD64</f>
        <v>Egipto</v>
      </c>
      <c r="E229" s="7" t="str">
        <f ca="1">+WORLDCUP!BD62</f>
        <v>Costa de Marfil</v>
      </c>
      <c r="F229" s="7" t="str">
        <f ca="1">+WORLDCUP!BD60</f>
        <v>Escocia</v>
      </c>
      <c r="G229" s="7" t="str">
        <f ca="1">+WORLDCUP!BD58</f>
        <v>Sudáfrica</v>
      </c>
      <c r="H229" s="7" t="str">
        <f ca="1">+WORLDCUP!BD63</f>
        <v>Japón</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Egipto</v>
      </c>
      <c r="E230" s="7" t="str">
        <f ca="1">+WORLDCUP!BD67</f>
        <v>Jordania</v>
      </c>
      <c r="F230" s="7" t="str">
        <f ca="1">+WORLDCUP!BD60</f>
        <v>Escocia</v>
      </c>
      <c r="G230" s="7" t="str">
        <f ca="1">+WORLDCUP!BD58</f>
        <v>Sudáfrica</v>
      </c>
      <c r="H230" s="7" t="str">
        <f ca="1">+WORLDCUP!BD63</f>
        <v>Japón</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Jordania</v>
      </c>
      <c r="E231" s="7" t="str">
        <f ca="1">+WORLDCUP!BD66</f>
        <v>Senegal</v>
      </c>
      <c r="F231" s="7" t="str">
        <f ca="1">+WORLDCUP!BD60</f>
        <v>Escocia</v>
      </c>
      <c r="G231" s="7" t="str">
        <f ca="1">+WORLDCUP!BD58</f>
        <v>Sudáfrica</v>
      </c>
      <c r="H231" s="7" t="str">
        <f ca="1">+WORLDCUP!BD61</f>
        <v>Turquía</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Egipto</v>
      </c>
      <c r="E232" s="7" t="str">
        <f ca="1">+WORLDCUP!BD67</f>
        <v>Jordania</v>
      </c>
      <c r="F232" s="7" t="str">
        <f ca="1">+WORLDCUP!BD60</f>
        <v>Escocia</v>
      </c>
      <c r="G232" s="7" t="str">
        <f ca="1">+WORLDCUP!BD58</f>
        <v>Sudáfrica</v>
      </c>
      <c r="H232" s="7" t="str">
        <f ca="1">+WORLDCUP!BD61</f>
        <v>Turquía</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Egipto</v>
      </c>
      <c r="E233" s="7" t="str">
        <f ca="1">+WORLDCUP!BD67</f>
        <v>Jordania</v>
      </c>
      <c r="F233" s="7" t="str">
        <f ca="1">+WORLDCUP!BD60</f>
        <v>Escocia</v>
      </c>
      <c r="G233" s="7" t="str">
        <f ca="1">+WORLDCUP!BD58</f>
        <v>Sudáfrica</v>
      </c>
      <c r="H233" s="7" t="str">
        <f ca="1">+WORLDCUP!BD61</f>
        <v>Turquía</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Egipto</v>
      </c>
      <c r="E234" s="7" t="str">
        <f ca="1">+WORLDCUP!BD66</f>
        <v>Senegal</v>
      </c>
      <c r="F234" s="7" t="str">
        <f ca="1">+WORLDCUP!BD60</f>
        <v>Escocia</v>
      </c>
      <c r="G234" s="7" t="str">
        <f ca="1">+WORLDCUP!BD58</f>
        <v>Sudáfrica</v>
      </c>
      <c r="H234" s="7" t="str">
        <f ca="1">+WORLDCUP!BD61</f>
        <v>Turquía</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Egipto</v>
      </c>
      <c r="E235" s="7" t="str">
        <f ca="1">+WORLDCUP!BD67</f>
        <v>Jordania</v>
      </c>
      <c r="F235" s="7" t="str">
        <f ca="1">+WORLDCUP!BD60</f>
        <v>Escocia</v>
      </c>
      <c r="G235" s="7" t="str">
        <f ca="1">+WORLDCUP!BD58</f>
        <v>Sudáfrica</v>
      </c>
      <c r="H235" s="7" t="str">
        <f ca="1">+WORLDCUP!BD61</f>
        <v>Turquía</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Egipto</v>
      </c>
      <c r="E236" s="7" t="str">
        <f ca="1">+WORLDCUP!BD67</f>
        <v>Jordania</v>
      </c>
      <c r="F236" s="7" t="str">
        <f ca="1">+WORLDCUP!BD60</f>
        <v>Escocia</v>
      </c>
      <c r="G236" s="7" t="str">
        <f ca="1">+WORLDCUP!BD58</f>
        <v>Sudáfrica</v>
      </c>
      <c r="H236" s="7" t="str">
        <f ca="1">+WORLDCUP!BD61</f>
        <v>Turquía</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Jordania</v>
      </c>
      <c r="E237" s="7" t="str">
        <f ca="1">+WORLDCUP!BD66</f>
        <v>Senegal</v>
      </c>
      <c r="F237" s="7" t="str">
        <f ca="1">+WORLDCUP!BD61</f>
        <v>Turquía</v>
      </c>
      <c r="G237" s="7" t="str">
        <f ca="1">+WORLDCUP!BD58</f>
        <v>Sudáfrica</v>
      </c>
      <c r="H237" s="7" t="str">
        <f ca="1">+WORLDCUP!BD63</f>
        <v>Japón</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Jordania</v>
      </c>
      <c r="E238" s="7" t="str">
        <f ca="1">+WORLDCUP!BD63</f>
        <v>Japón</v>
      </c>
      <c r="F238" s="7" t="str">
        <f ca="1">+WORLDCUP!BD60</f>
        <v>Escocia</v>
      </c>
      <c r="G238" s="7" t="str">
        <f ca="1">+WORLDCUP!BD58</f>
        <v>Sudáfrica</v>
      </c>
      <c r="H238" s="7" t="str">
        <f ca="1">+WORLDCUP!BD61</f>
        <v>Turquía</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Japón</v>
      </c>
      <c r="E239" s="7" t="str">
        <f ca="1">+WORLDCUP!BD66</f>
        <v>Senegal</v>
      </c>
      <c r="F239" s="7" t="str">
        <f ca="1">+WORLDCUP!BD60</f>
        <v>Escocia</v>
      </c>
      <c r="G239" s="7" t="str">
        <f ca="1">+WORLDCUP!BD58</f>
        <v>Sudáfrica</v>
      </c>
      <c r="H239" s="7" t="str">
        <f ca="1">+WORLDCUP!BD61</f>
        <v>Turquía</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Jordania</v>
      </c>
      <c r="E240" s="7" t="str">
        <f ca="1">+WORLDCUP!BD63</f>
        <v>Japón</v>
      </c>
      <c r="F240" s="7" t="str">
        <f ca="1">+WORLDCUP!BD60</f>
        <v>Escocia</v>
      </c>
      <c r="G240" s="7" t="str">
        <f ca="1">+WORLDCUP!BD58</f>
        <v>Sudáfrica</v>
      </c>
      <c r="H240" s="7" t="str">
        <f ca="1">+WORLDCUP!BD61</f>
        <v>Turquía</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Jordania</v>
      </c>
      <c r="E241" s="7" t="str">
        <f ca="1">+WORLDCUP!BD63</f>
        <v>Japón</v>
      </c>
      <c r="F241" s="7" t="str">
        <f ca="1">+WORLDCUP!BD60</f>
        <v>Escocia</v>
      </c>
      <c r="G241" s="7" t="str">
        <f ca="1">+WORLDCUP!BD58</f>
        <v>Sudáfrica</v>
      </c>
      <c r="H241" s="7" t="str">
        <f ca="1">+WORLDCUP!BD61</f>
        <v>Turquía</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Egipto</v>
      </c>
      <c r="E242" s="7" t="str">
        <f ca="1">+WORLDCUP!BD67</f>
        <v>Jordania</v>
      </c>
      <c r="F242" s="7" t="str">
        <f ca="1">+WORLDCUP!BD61</f>
        <v>Turquía</v>
      </c>
      <c r="G242" s="7" t="str">
        <f ca="1">+WORLDCUP!BD58</f>
        <v>Sudáfrica</v>
      </c>
      <c r="H242" s="7" t="str">
        <f ca="1">+WORLDCUP!BD63</f>
        <v>Japón</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Egipto</v>
      </c>
      <c r="E243" s="7" t="str">
        <f ca="1">+WORLDCUP!BD66</f>
        <v>Senegal</v>
      </c>
      <c r="F243" s="7" t="str">
        <f ca="1">+WORLDCUP!BD61</f>
        <v>Turquía</v>
      </c>
      <c r="G243" s="7" t="str">
        <f ca="1">+WORLDCUP!BD58</f>
        <v>Sudáfrica</v>
      </c>
      <c r="H243" s="7" t="str">
        <f ca="1">+WORLDCUP!BD63</f>
        <v>Japón</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Egipto</v>
      </c>
      <c r="E244" s="7" t="str">
        <f ca="1">+WORLDCUP!BD67</f>
        <v>Jordania</v>
      </c>
      <c r="F244" s="7" t="str">
        <f ca="1">+WORLDCUP!BD61</f>
        <v>Turquía</v>
      </c>
      <c r="G244" s="7" t="str">
        <f ca="1">+WORLDCUP!BD58</f>
        <v>Sudáfrica</v>
      </c>
      <c r="H244" s="7" t="str">
        <f ca="1">+WORLDCUP!BD63</f>
        <v>Japón</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Egipto</v>
      </c>
      <c r="E245" s="7" t="str">
        <f ca="1">+WORLDCUP!BD67</f>
        <v>Jordania</v>
      </c>
      <c r="F245" s="7" t="str">
        <f ca="1">+WORLDCUP!BD61</f>
        <v>Turquía</v>
      </c>
      <c r="G245" s="7" t="str">
        <f ca="1">+WORLDCUP!BD58</f>
        <v>Sudáfrica</v>
      </c>
      <c r="H245" s="7" t="str">
        <f ca="1">+WORLDCUP!BD63</f>
        <v>Japón</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Egipto</v>
      </c>
      <c r="E246" s="7" t="str">
        <f ca="1">+WORLDCUP!BD63</f>
        <v>Japón</v>
      </c>
      <c r="F246" s="7" t="str">
        <f ca="1">+WORLDCUP!BD60</f>
        <v>Escocia</v>
      </c>
      <c r="G246" s="7" t="str">
        <f ca="1">+WORLDCUP!BD58</f>
        <v>Sudáfrica</v>
      </c>
      <c r="H246" s="7" t="str">
        <f ca="1">+WORLDCUP!BD61</f>
        <v>Turquía</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Egipto</v>
      </c>
      <c r="E247" s="7" t="str">
        <f ca="1">+WORLDCUP!BD67</f>
        <v>Jordania</v>
      </c>
      <c r="F247" s="7" t="str">
        <f ca="1">+WORLDCUP!BD61</f>
        <v>Turquía</v>
      </c>
      <c r="G247" s="7" t="str">
        <f ca="1">+WORLDCUP!BD58</f>
        <v>Sudáfrica</v>
      </c>
      <c r="H247" s="7" t="str">
        <f ca="1">+WORLDCUP!BD63</f>
        <v>Japón</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Egipto</v>
      </c>
      <c r="E248" s="7" t="str">
        <f ca="1">+WORLDCUP!BD67</f>
        <v>Jordania</v>
      </c>
      <c r="F248" s="7" t="str">
        <f ca="1">+WORLDCUP!BD60</f>
        <v>Escocia</v>
      </c>
      <c r="G248" s="7" t="str">
        <f ca="1">+WORLDCUP!BD58</f>
        <v>Sudáfrica</v>
      </c>
      <c r="H248" s="7" t="str">
        <f ca="1">+WORLDCUP!BD63</f>
        <v>Japón</v>
      </c>
      <c r="I248" s="7" t="str">
        <f ca="1">+WORLDCUP!BD61</f>
        <v>Turquía</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Egipto</v>
      </c>
      <c r="E249" s="7" t="str">
        <f ca="1">+WORLDCUP!BD63</f>
        <v>Japón</v>
      </c>
      <c r="F249" s="7" t="str">
        <f ca="1">+WORLDCUP!BD60</f>
        <v>Escocia</v>
      </c>
      <c r="G249" s="7" t="str">
        <f ca="1">+WORLDCUP!BD58</f>
        <v>Sudáfrica</v>
      </c>
      <c r="H249" s="7" t="str">
        <f ca="1">+WORLDCUP!BD61</f>
        <v>Turquía</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Egipto</v>
      </c>
      <c r="E250" s="7" t="str">
        <f ca="1">+WORLDCUP!BD63</f>
        <v>Japón</v>
      </c>
      <c r="F250" s="7" t="str">
        <f ca="1">+WORLDCUP!BD60</f>
        <v>Escocia</v>
      </c>
      <c r="G250" s="7" t="str">
        <f ca="1">+WORLDCUP!BD58</f>
        <v>Sudáfrica</v>
      </c>
      <c r="H250" s="7" t="str">
        <f ca="1">+WORLDCUP!BD61</f>
        <v>Turquía</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Egipto</v>
      </c>
      <c r="E251" s="7" t="str">
        <f ca="1">+WORLDCUP!BD67</f>
        <v>Jordania</v>
      </c>
      <c r="F251" s="7" t="str">
        <f ca="1">+WORLDCUP!BD60</f>
        <v>Escocia</v>
      </c>
      <c r="G251" s="7" t="str">
        <f ca="1">+WORLDCUP!BD58</f>
        <v>Sudáfrica</v>
      </c>
      <c r="H251" s="7" t="str">
        <f ca="1">+WORLDCUP!BD63</f>
        <v>Japón</v>
      </c>
      <c r="I251" s="7" t="str">
        <f ca="1">+WORLDCUP!BD61</f>
        <v>Turquía</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Jordania</v>
      </c>
      <c r="E252" s="7" t="str">
        <f ca="1">+WORLDCUP!BD66</f>
        <v>Senegal</v>
      </c>
      <c r="F252" s="7" t="str">
        <f ca="1">+WORLDCUP!BD60</f>
        <v>Escocia</v>
      </c>
      <c r="G252" s="7" t="str">
        <f ca="1">+WORLDCUP!BD58</f>
        <v>Sudáfrica</v>
      </c>
      <c r="H252" s="7" t="str">
        <f ca="1">+WORLDCUP!BD61</f>
        <v>Turquía</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Jordania</v>
      </c>
      <c r="E253" s="7" t="str">
        <f ca="1">+WORLDCUP!BD62</f>
        <v>Costa de Marfil</v>
      </c>
      <c r="F253" s="7" t="str">
        <f ca="1">+WORLDCUP!BD60</f>
        <v>Escocia</v>
      </c>
      <c r="G253" s="7" t="str">
        <f ca="1">+WORLDCUP!BD58</f>
        <v>Sudáfrica</v>
      </c>
      <c r="H253" s="7" t="str">
        <f ca="1">+WORLDCUP!BD61</f>
        <v>Turquía</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Sudáfrica</v>
      </c>
      <c r="H254" s="7" t="str">
        <f ca="1">+WORLDCUP!BD61</f>
        <v>Turquía</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Jordania</v>
      </c>
      <c r="E255" s="7" t="str">
        <f ca="1">+WORLDCUP!BD62</f>
        <v>Costa de Marfil</v>
      </c>
      <c r="F255" s="7" t="str">
        <f ca="1">+WORLDCUP!BD60</f>
        <v>Escocia</v>
      </c>
      <c r="G255" s="7" t="str">
        <f ca="1">+WORLDCUP!BD58</f>
        <v>Sudáfrica</v>
      </c>
      <c r="H255" s="7" t="str">
        <f ca="1">+WORLDCUP!BD61</f>
        <v>Turquía</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Jordania</v>
      </c>
      <c r="E256" s="7" t="str">
        <f ca="1">+WORLDCUP!BD62</f>
        <v>Costa de Marfil</v>
      </c>
      <c r="F256" s="7" t="str">
        <f ca="1">+WORLDCUP!BD60</f>
        <v>Escocia</v>
      </c>
      <c r="G256" s="7" t="str">
        <f ca="1">+WORLDCUP!BD58</f>
        <v>Sudáfrica</v>
      </c>
      <c r="H256" s="7" t="str">
        <f ca="1">+WORLDCUP!BD61</f>
        <v>Turquía</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Egipto</v>
      </c>
      <c r="E257" s="7" t="str">
        <f ca="1">+WORLDCUP!BD67</f>
        <v>Jordania</v>
      </c>
      <c r="F257" s="7" t="str">
        <f ca="1">+WORLDCUP!BD60</f>
        <v>Escocia</v>
      </c>
      <c r="G257" s="7" t="str">
        <f ca="1">+WORLDCUP!BD58</f>
        <v>Sudáfrica</v>
      </c>
      <c r="H257" s="7" t="str">
        <f ca="1">+WORLDCUP!BD61</f>
        <v>Turquía</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Egipto</v>
      </c>
      <c r="E258" s="7" t="str">
        <f ca="1">+WORLDCUP!BD66</f>
        <v>Senegal</v>
      </c>
      <c r="F258" s="7" t="str">
        <f ca="1">+WORLDCUP!BD60</f>
        <v>Escocia</v>
      </c>
      <c r="G258" s="7" t="str">
        <f ca="1">+WORLDCUP!BD58</f>
        <v>Sudáfrica</v>
      </c>
      <c r="H258" s="7" t="str">
        <f ca="1">+WORLDCUP!BD61</f>
        <v>Turquía</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Egipto</v>
      </c>
      <c r="E259" s="7" t="str">
        <f ca="1">+WORLDCUP!BD67</f>
        <v>Jordania</v>
      </c>
      <c r="F259" s="7" t="str">
        <f ca="1">+WORLDCUP!BD60</f>
        <v>Escocia</v>
      </c>
      <c r="G259" s="7" t="str">
        <f ca="1">+WORLDCUP!BD58</f>
        <v>Sudáfrica</v>
      </c>
      <c r="H259" s="7" t="str">
        <f ca="1">+WORLDCUP!BD61</f>
        <v>Turquía</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Egipto</v>
      </c>
      <c r="E260" s="7" t="str">
        <f ca="1">+WORLDCUP!BD67</f>
        <v>Jordania</v>
      </c>
      <c r="F260" s="7" t="str">
        <f ca="1">+WORLDCUP!BD60</f>
        <v>Escocia</v>
      </c>
      <c r="G260" s="7" t="str">
        <f ca="1">+WORLDCUP!BD58</f>
        <v>Sudáfrica</v>
      </c>
      <c r="H260" s="7" t="str">
        <f ca="1">+WORLDCUP!BD61</f>
        <v>Turquía</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Egipto</v>
      </c>
      <c r="E261" s="7" t="str">
        <f ca="1">+WORLDCUP!BD62</f>
        <v>Costa de Marfil</v>
      </c>
      <c r="F261" s="7" t="str">
        <f ca="1">+WORLDCUP!BD60</f>
        <v>Escocia</v>
      </c>
      <c r="G261" s="7" t="str">
        <f ca="1">+WORLDCUP!BD58</f>
        <v>Sudáfrica</v>
      </c>
      <c r="H261" s="7" t="str">
        <f ca="1">+WORLDCUP!BD61</f>
        <v>Turquía</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Egipto</v>
      </c>
      <c r="E262" s="7" t="str">
        <f ca="1">+WORLDCUP!BD67</f>
        <v>Jordania</v>
      </c>
      <c r="F262" s="7" t="str">
        <f ca="1">+WORLDCUP!BD60</f>
        <v>Escocia</v>
      </c>
      <c r="G262" s="7" t="str">
        <f ca="1">+WORLDCUP!BD58</f>
        <v>Sudáfrica</v>
      </c>
      <c r="H262" s="7" t="str">
        <f ca="1">+WORLDCUP!BD61</f>
        <v>Turquía</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Egipto</v>
      </c>
      <c r="E263" s="7" t="str">
        <f ca="1">+WORLDCUP!BD67</f>
        <v>Jordania</v>
      </c>
      <c r="F263" s="7" t="str">
        <f ca="1">+WORLDCUP!BD60</f>
        <v>Escocia</v>
      </c>
      <c r="G263" s="7" t="str">
        <f ca="1">+WORLDCUP!BD58</f>
        <v>Sudáfrica</v>
      </c>
      <c r="H263" s="7" t="str">
        <f ca="1">+WORLDCUP!BD61</f>
        <v>Turquía</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Egipto</v>
      </c>
      <c r="E264" s="7" t="str">
        <f ca="1">+WORLDCUP!BD62</f>
        <v>Costa de Marfil</v>
      </c>
      <c r="F264" s="7" t="str">
        <f ca="1">+WORLDCUP!BD60</f>
        <v>Escocia</v>
      </c>
      <c r="G264" s="7" t="str">
        <f ca="1">+WORLDCUP!BD58</f>
        <v>Sudáfrica</v>
      </c>
      <c r="H264" s="7" t="str">
        <f ca="1">+WORLDCUP!BD61</f>
        <v>Turquía</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Egipto</v>
      </c>
      <c r="E265" s="7" t="str">
        <f ca="1">+WORLDCUP!BD62</f>
        <v>Costa de Marfil</v>
      </c>
      <c r="F265" s="7" t="str">
        <f ca="1">+WORLDCUP!BD60</f>
        <v>Escocia</v>
      </c>
      <c r="G265" s="7" t="str">
        <f ca="1">+WORLDCUP!BD58</f>
        <v>Sudáfrica</v>
      </c>
      <c r="H265" s="7" t="str">
        <f ca="1">+WORLDCUP!BD61</f>
        <v>Turquía</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Egipto</v>
      </c>
      <c r="E266" s="7" t="str">
        <f ca="1">+WORLDCUP!BD67</f>
        <v>Jordania</v>
      </c>
      <c r="F266" s="7" t="str">
        <f ca="1">+WORLDCUP!BD60</f>
        <v>Escocia</v>
      </c>
      <c r="G266" s="7" t="str">
        <f ca="1">+WORLDCUP!BD58</f>
        <v>Sudáfrica</v>
      </c>
      <c r="H266" s="7" t="str">
        <f ca="1">+WORLDCUP!BD61</f>
        <v>Turquía</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Jordania</v>
      </c>
      <c r="E267" s="7" t="str">
        <f ca="1">+WORLDCUP!BD62</f>
        <v>Costa de Marfil</v>
      </c>
      <c r="F267" s="7" t="str">
        <f ca="1">+WORLDCUP!BD61</f>
        <v>Turquía</v>
      </c>
      <c r="G267" s="7" t="str">
        <f ca="1">+WORLDCUP!BD58</f>
        <v>Sudáfrica</v>
      </c>
      <c r="H267" s="7" t="str">
        <f ca="1">+WORLDCUP!BD63</f>
        <v>Japón</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Turquía</v>
      </c>
      <c r="G268" s="7" t="str">
        <f ca="1">+WORLDCUP!BD58</f>
        <v>Sudáfrica</v>
      </c>
      <c r="H268" s="7" t="str">
        <f ca="1">+WORLDCUP!BD63</f>
        <v>Japón</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Jordania</v>
      </c>
      <c r="E269" s="7" t="str">
        <f ca="1">+WORLDCUP!BD62</f>
        <v>Costa de Marfil</v>
      </c>
      <c r="F269" s="7" t="str">
        <f ca="1">+WORLDCUP!BD61</f>
        <v>Turquía</v>
      </c>
      <c r="G269" s="7" t="str">
        <f ca="1">+WORLDCUP!BD58</f>
        <v>Sudáfrica</v>
      </c>
      <c r="H269" s="7" t="str">
        <f ca="1">+WORLDCUP!BD63</f>
        <v>Japón</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Jordania</v>
      </c>
      <c r="E270" s="7" t="str">
        <f ca="1">+WORLDCUP!BD62</f>
        <v>Costa de Marfil</v>
      </c>
      <c r="F270" s="7" t="str">
        <f ca="1">+WORLDCUP!BD61</f>
        <v>Turquía</v>
      </c>
      <c r="G270" s="7" t="str">
        <f ca="1">+WORLDCUP!BD58</f>
        <v>Sudáfrica</v>
      </c>
      <c r="H270" s="7" t="str">
        <f ca="1">+WORLDCUP!BD63</f>
        <v>Japón</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Japón</v>
      </c>
      <c r="F271" s="7" t="str">
        <f ca="1">+WORLDCUP!BD60</f>
        <v>Escocia</v>
      </c>
      <c r="G271" s="7" t="str">
        <f ca="1">+WORLDCUP!BD58</f>
        <v>Sudáfrica</v>
      </c>
      <c r="H271" s="7" t="str">
        <f ca="1">+WORLDCUP!BD61</f>
        <v>Turquía</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Jordania</v>
      </c>
      <c r="E272" s="7" t="str">
        <f ca="1">+WORLDCUP!BD63</f>
        <v>Japón</v>
      </c>
      <c r="F272" s="7" t="str">
        <f ca="1">+WORLDCUP!BD60</f>
        <v>Escocia</v>
      </c>
      <c r="G272" s="7" t="str">
        <f ca="1">+WORLDCUP!BD58</f>
        <v>Sudáfrica</v>
      </c>
      <c r="H272" s="7" t="str">
        <f ca="1">+WORLDCUP!BD61</f>
        <v>Turquía</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Jordania</v>
      </c>
      <c r="E273" s="7" t="str">
        <f ca="1">+WORLDCUP!BD62</f>
        <v>Costa de Marfil</v>
      </c>
      <c r="F273" s="7" t="str">
        <f ca="1">+WORLDCUP!BD60</f>
        <v>Escocia</v>
      </c>
      <c r="G273" s="7" t="str">
        <f ca="1">+WORLDCUP!BD58</f>
        <v>Sudáfrica</v>
      </c>
      <c r="H273" s="7" t="str">
        <f ca="1">+WORLDCUP!BD63</f>
        <v>Japón</v>
      </c>
      <c r="I273" s="7" t="str">
        <f ca="1">+WORLDCUP!BD61</f>
        <v>Turquía</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Japón</v>
      </c>
      <c r="F274" s="7" t="str">
        <f ca="1">+WORLDCUP!BD60</f>
        <v>Escocia</v>
      </c>
      <c r="G274" s="7" t="str">
        <f ca="1">+WORLDCUP!BD58</f>
        <v>Sudáfrica</v>
      </c>
      <c r="H274" s="7" t="str">
        <f ca="1">+WORLDCUP!BD61</f>
        <v>Turquía</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Japón</v>
      </c>
      <c r="F275" s="7" t="str">
        <f ca="1">+WORLDCUP!BD60</f>
        <v>Escocia</v>
      </c>
      <c r="G275" s="7" t="str">
        <f ca="1">+WORLDCUP!BD58</f>
        <v>Sudáfrica</v>
      </c>
      <c r="H275" s="7" t="str">
        <f ca="1">+WORLDCUP!BD61</f>
        <v>Turquía</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Jordania</v>
      </c>
      <c r="E276" s="7" t="str">
        <f ca="1">+WORLDCUP!BD62</f>
        <v>Costa de Marfil</v>
      </c>
      <c r="F276" s="7" t="str">
        <f ca="1">+WORLDCUP!BD60</f>
        <v>Escocia</v>
      </c>
      <c r="G276" s="7" t="str">
        <f ca="1">+WORLDCUP!BD58</f>
        <v>Sudáfrica</v>
      </c>
      <c r="H276" s="7" t="str">
        <f ca="1">+WORLDCUP!BD63</f>
        <v>Japón</v>
      </c>
      <c r="I276" s="7" t="str">
        <f ca="1">+WORLDCUP!BD61</f>
        <v>Turquía</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Egipto</v>
      </c>
      <c r="E277" s="7" t="str">
        <f ca="1">+WORLDCUP!BD62</f>
        <v>Costa de Marfil</v>
      </c>
      <c r="F277" s="7" t="str">
        <f ca="1">+WORLDCUP!BD61</f>
        <v>Turquía</v>
      </c>
      <c r="G277" s="7" t="str">
        <f ca="1">+WORLDCUP!BD58</f>
        <v>Sudáfrica</v>
      </c>
      <c r="H277" s="7" t="str">
        <f ca="1">+WORLDCUP!BD63</f>
        <v>Japón</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Egipto</v>
      </c>
      <c r="E278" s="7" t="str">
        <f ca="1">+WORLDCUP!BD67</f>
        <v>Jordania</v>
      </c>
      <c r="F278" s="7" t="str">
        <f ca="1">+WORLDCUP!BD61</f>
        <v>Turquía</v>
      </c>
      <c r="G278" s="7" t="str">
        <f ca="1">+WORLDCUP!BD58</f>
        <v>Sudáfrica</v>
      </c>
      <c r="H278" s="7" t="str">
        <f ca="1">+WORLDCUP!BD63</f>
        <v>Japón</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Egipto</v>
      </c>
      <c r="E279" s="7" t="str">
        <f ca="1">+WORLDCUP!BD67</f>
        <v>Jordania</v>
      </c>
      <c r="F279" s="7" t="str">
        <f ca="1">+WORLDCUP!BD61</f>
        <v>Turquía</v>
      </c>
      <c r="G279" s="7" t="str">
        <f ca="1">+WORLDCUP!BD58</f>
        <v>Sudáfrica</v>
      </c>
      <c r="H279" s="7" t="str">
        <f ca="1">+WORLDCUP!BD63</f>
        <v>Japón</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Egipto</v>
      </c>
      <c r="E280" s="7" t="str">
        <f ca="1">+WORLDCUP!BD62</f>
        <v>Costa de Marfil</v>
      </c>
      <c r="F280" s="7" t="str">
        <f ca="1">+WORLDCUP!BD61</f>
        <v>Turquía</v>
      </c>
      <c r="G280" s="7" t="str">
        <f ca="1">+WORLDCUP!BD58</f>
        <v>Sudáfrica</v>
      </c>
      <c r="H280" s="7" t="str">
        <f ca="1">+WORLDCUP!BD63</f>
        <v>Japón</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Egipto</v>
      </c>
      <c r="E281" s="7" t="str">
        <f ca="1">+WORLDCUP!BD62</f>
        <v>Costa de Marfil</v>
      </c>
      <c r="F281" s="7" t="str">
        <f ca="1">+WORLDCUP!BD61</f>
        <v>Turquía</v>
      </c>
      <c r="G281" s="7" t="str">
        <f ca="1">+WORLDCUP!BD58</f>
        <v>Sudáfrica</v>
      </c>
      <c r="H281" s="7" t="str">
        <f ca="1">+WORLDCUP!BD63</f>
        <v>Japón</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Egipto</v>
      </c>
      <c r="E282" s="7" t="str">
        <f ca="1">+WORLDCUP!BD67</f>
        <v>Jordania</v>
      </c>
      <c r="F282" s="7" t="str">
        <f ca="1">+WORLDCUP!BD61</f>
        <v>Turquía</v>
      </c>
      <c r="G282" s="7" t="str">
        <f ca="1">+WORLDCUP!BD58</f>
        <v>Sudáfrica</v>
      </c>
      <c r="H282" s="7" t="str">
        <f ca="1">+WORLDCUP!BD63</f>
        <v>Japón</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Egipto</v>
      </c>
      <c r="E283" s="7" t="str">
        <f ca="1">+WORLDCUP!BD63</f>
        <v>Japón</v>
      </c>
      <c r="F283" s="7" t="str">
        <f ca="1">+WORLDCUP!BD60</f>
        <v>Escocia</v>
      </c>
      <c r="G283" s="7" t="str">
        <f ca="1">+WORLDCUP!BD58</f>
        <v>Sudáfrica</v>
      </c>
      <c r="H283" s="7" t="str">
        <f ca="1">+WORLDCUP!BD61</f>
        <v>Turquía</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Egipto</v>
      </c>
      <c r="E284" s="7" t="str">
        <f ca="1">+WORLDCUP!BD62</f>
        <v>Costa de Marfil</v>
      </c>
      <c r="F284" s="7" t="str">
        <f ca="1">+WORLDCUP!BD60</f>
        <v>Escocia</v>
      </c>
      <c r="G284" s="7" t="str">
        <f ca="1">+WORLDCUP!BD58</f>
        <v>Sudáfrica</v>
      </c>
      <c r="H284" s="7" t="str">
        <f ca="1">+WORLDCUP!BD63</f>
        <v>Japón</v>
      </c>
      <c r="I284" s="7" t="str">
        <f ca="1">+WORLDCUP!BD61</f>
        <v>Turquía</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Egipto</v>
      </c>
      <c r="E285" s="7" t="str">
        <f ca="1">+WORLDCUP!BD67</f>
        <v>Jordania</v>
      </c>
      <c r="F285" s="7" t="str">
        <f ca="1">+WORLDCUP!BD60</f>
        <v>Escocia</v>
      </c>
      <c r="G285" s="7" t="str">
        <f ca="1">+WORLDCUP!BD58</f>
        <v>Sudáfrica</v>
      </c>
      <c r="H285" s="7" t="str">
        <f ca="1">+WORLDCUP!BD63</f>
        <v>Japón</v>
      </c>
      <c r="I285" s="7" t="str">
        <f ca="1">+WORLDCUP!BD61</f>
        <v>Turquía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Egipto</v>
      </c>
      <c r="E286" s="7" t="str">
        <f ca="1">+WORLDCUP!BD62</f>
        <v>Costa de Marfil</v>
      </c>
      <c r="F286" s="7" t="str">
        <f ca="1">+WORLDCUP!BD60</f>
        <v>Escocia</v>
      </c>
      <c r="G286" s="7" t="str">
        <f ca="1">+WORLDCUP!BD58</f>
        <v>Sudáfrica</v>
      </c>
      <c r="H286" s="7" t="str">
        <f ca="1">+WORLDCUP!BD63</f>
        <v>Japón</v>
      </c>
      <c r="I286" s="7" t="str">
        <f ca="1">+WORLDCUP!BD61</f>
        <v>Turquía</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Jordania</v>
      </c>
      <c r="E287" s="7" t="str">
        <f ca="1">+WORLDCUP!BD59</f>
        <v>Catar</v>
      </c>
      <c r="F287" s="7" t="str">
        <f ca="1">+WORLDCUP!BD58</f>
        <v>Sudáfrica</v>
      </c>
      <c r="G287" s="7" t="str">
        <f ca="1">+WORLDCUP!BD66</f>
        <v>Senegal</v>
      </c>
      <c r="H287" s="7" t="str">
        <f ca="1">+WORLDCUP!BD64</f>
        <v>Egipto</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Jordania</v>
      </c>
      <c r="E288" s="7" t="str">
        <f ca="1">+WORLDCUP!BD59</f>
        <v>Catar</v>
      </c>
      <c r="F288" s="7" t="str">
        <f ca="1">+WORLDCUP!BD58</f>
        <v>Sudáfrica</v>
      </c>
      <c r="G288" s="7" t="str">
        <f ca="1">+WORLDCUP!BD66</f>
        <v>Senegal</v>
      </c>
      <c r="H288" s="7" t="str">
        <f ca="1">+WORLDCUP!BD63</f>
        <v>Japón</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Jordania</v>
      </c>
      <c r="E289" s="7" t="str">
        <f ca="1">+WORLDCUP!BD59</f>
        <v>Catar</v>
      </c>
      <c r="F289" s="7" t="str">
        <f ca="1">+WORLDCUP!BD63</f>
        <v>Japón</v>
      </c>
      <c r="G289" s="7" t="str">
        <f ca="1">+WORLDCUP!BD58</f>
        <v>Sudáfrica</v>
      </c>
      <c r="H289" s="7" t="str">
        <f ca="1">+WORLDCUP!BD64</f>
        <v>Egipto</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Jordania</v>
      </c>
      <c r="E290" s="7" t="str">
        <f ca="1">+WORLDCUP!BD59</f>
        <v>Catar</v>
      </c>
      <c r="F290" s="7" t="str">
        <f ca="1">+WORLDCUP!BD63</f>
        <v>Japón</v>
      </c>
      <c r="G290" s="7" t="str">
        <f ca="1">+WORLDCUP!BD58</f>
        <v>Sudáfrica</v>
      </c>
      <c r="H290" s="7" t="str">
        <f ca="1">+WORLDCUP!BD64</f>
        <v>Egipto</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Egipto</v>
      </c>
      <c r="E291" s="7" t="str">
        <f ca="1">+WORLDCUP!BD59</f>
        <v>Catar</v>
      </c>
      <c r="F291" s="7" t="str">
        <f ca="1">+WORLDCUP!BD58</f>
        <v>Sudáfrica</v>
      </c>
      <c r="G291" s="7" t="str">
        <f ca="1">+WORLDCUP!BD66</f>
        <v>Senegal</v>
      </c>
      <c r="H291" s="7" t="str">
        <f ca="1">+WORLDCUP!BD63</f>
        <v>Japón</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Jordania</v>
      </c>
      <c r="E292" s="7" t="str">
        <f ca="1">+WORLDCUP!BD59</f>
        <v>Catar</v>
      </c>
      <c r="F292" s="7" t="str">
        <f ca="1">+WORLDCUP!BD63</f>
        <v>Japón</v>
      </c>
      <c r="G292" s="7" t="str">
        <f ca="1">+WORLDCUP!BD58</f>
        <v>Sudáfrica</v>
      </c>
      <c r="H292" s="7" t="str">
        <f ca="1">+WORLDCUP!BD64</f>
        <v>Egipto</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Jordania</v>
      </c>
      <c r="E293" s="7" t="str">
        <f ca="1">+WORLDCUP!BD59</f>
        <v>Catar</v>
      </c>
      <c r="F293" s="7" t="str">
        <f ca="1">+WORLDCUP!BD63</f>
        <v>Japón</v>
      </c>
      <c r="G293" s="7" t="str">
        <f ca="1">+WORLDCUP!BD58</f>
        <v>Sudáfrica</v>
      </c>
      <c r="H293" s="7" t="str">
        <f ca="1">+WORLDCUP!BD64</f>
        <v>Egipto</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Jordania</v>
      </c>
      <c r="E294" s="7" t="str">
        <f ca="1">+WORLDCUP!BD59</f>
        <v>Catar</v>
      </c>
      <c r="F294" s="7" t="str">
        <f ca="1">+WORLDCUP!BD58</f>
        <v>Sudáfrica</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Jordania</v>
      </c>
      <c r="E295" s="7" t="str">
        <f ca="1">+WORLDCUP!BD59</f>
        <v>Catar</v>
      </c>
      <c r="F295" s="7" t="str">
        <f ca="1">+WORLDCUP!BD58</f>
        <v>Sudáfrica</v>
      </c>
      <c r="G295" s="7" t="str">
        <f ca="1">+WORLDCUP!BD66</f>
        <v>Senegal</v>
      </c>
      <c r="H295" s="7" t="str">
        <f ca="1">+WORLDCUP!BD64</f>
        <v>Egipto</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Jordania</v>
      </c>
      <c r="E296" s="7" t="str">
        <f ca="1">+WORLDCUP!BD59</f>
        <v>Catar</v>
      </c>
      <c r="F296" s="7" t="str">
        <f ca="1">+WORLDCUP!BD58</f>
        <v>Sudáfrica</v>
      </c>
      <c r="G296" s="7" t="str">
        <f ca="1">+WORLDCUP!BD65</f>
        <v>Arabia Saudita</v>
      </c>
      <c r="H296" s="7" t="str">
        <f ca="1">+WORLDCUP!BD64</f>
        <v>Egipto</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Egipto</v>
      </c>
      <c r="E297" s="7" t="str">
        <f ca="1">+WORLDCUP!BD59</f>
        <v>Catar</v>
      </c>
      <c r="F297" s="7" t="str">
        <f ca="1">+WORLDCUP!BD58</f>
        <v>Sudáfrica</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Jordania</v>
      </c>
      <c r="E298" s="7" t="str">
        <f ca="1">+WORLDCUP!BD59</f>
        <v>Catar</v>
      </c>
      <c r="F298" s="7" t="str">
        <f ca="1">+WORLDCUP!BD58</f>
        <v>Sudáfrica</v>
      </c>
      <c r="G298" s="7" t="str">
        <f ca="1">+WORLDCUP!BD65</f>
        <v>Arabia Saudita</v>
      </c>
      <c r="H298" s="7" t="str">
        <f ca="1">+WORLDCUP!BD64</f>
        <v>Egipto</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Jordania</v>
      </c>
      <c r="E299" s="7" t="str">
        <f ca="1">+WORLDCUP!BD59</f>
        <v>Catar</v>
      </c>
      <c r="F299" s="7" t="str">
        <f ca="1">+WORLDCUP!BD58</f>
        <v>Sudáfrica</v>
      </c>
      <c r="G299" s="7" t="str">
        <f ca="1">+WORLDCUP!BD65</f>
        <v>Arabia Saudita</v>
      </c>
      <c r="H299" s="7" t="str">
        <f ca="1">+WORLDCUP!BD64</f>
        <v>Egipto</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Jordania</v>
      </c>
      <c r="E300" s="7" t="str">
        <f ca="1">+WORLDCUP!BD59</f>
        <v>Catar</v>
      </c>
      <c r="F300" s="7" t="str">
        <f ca="1">+WORLDCUP!BD58</f>
        <v>Sudáfrica</v>
      </c>
      <c r="G300" s="7" t="str">
        <f ca="1">+WORLDCUP!BD66</f>
        <v>Senegal</v>
      </c>
      <c r="H300" s="7" t="str">
        <f ca="1">+WORLDCUP!BD63</f>
        <v>Japón</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Jordania</v>
      </c>
      <c r="E301" s="7" t="str">
        <f ca="1">+WORLDCUP!BD59</f>
        <v>Catar</v>
      </c>
      <c r="F301" s="7" t="str">
        <f ca="1">+WORLDCUP!BD63</f>
        <v>Japón</v>
      </c>
      <c r="G301" s="7" t="str">
        <f ca="1">+WORLDCUP!BD58</f>
        <v>Sudáfrica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Catar</v>
      </c>
      <c r="F302" s="7" t="str">
        <f ca="1">+WORLDCUP!BD63</f>
        <v>Japón</v>
      </c>
      <c r="G302" s="7" t="str">
        <f ca="1">+WORLDCUP!BD58</f>
        <v>Sudáfrica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Jordania</v>
      </c>
      <c r="E303" s="7" t="str">
        <f ca="1">+WORLDCUP!BD59</f>
        <v>Catar</v>
      </c>
      <c r="F303" s="7" t="str">
        <f ca="1">+WORLDCUP!BD63</f>
        <v>Japón</v>
      </c>
      <c r="G303" s="7" t="str">
        <f ca="1">+WORLDCUP!BD58</f>
        <v>Sudáfrica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Jordania</v>
      </c>
      <c r="E304" s="7" t="str">
        <f ca="1">+WORLDCUP!BD59</f>
        <v>Catar</v>
      </c>
      <c r="F304" s="7" t="str">
        <f ca="1">+WORLDCUP!BD63</f>
        <v>Japón</v>
      </c>
      <c r="G304" s="7" t="str">
        <f ca="1">+WORLDCUP!BD58</f>
        <v>Sudáfrica</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Jordania</v>
      </c>
      <c r="E305" s="7" t="str">
        <f ca="1">+WORLDCUP!BD59</f>
        <v>Catar</v>
      </c>
      <c r="F305" s="7" t="str">
        <f ca="1">+WORLDCUP!BD63</f>
        <v>Japón</v>
      </c>
      <c r="G305" s="7" t="str">
        <f ca="1">+WORLDCUP!BD58</f>
        <v>Sudáfrica</v>
      </c>
      <c r="H305" s="7" t="str">
        <f ca="1">+WORLDCUP!BD64</f>
        <v>Egipto</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Egipto</v>
      </c>
      <c r="E306" s="7" t="str">
        <f ca="1">+WORLDCUP!BD59</f>
        <v>Catar</v>
      </c>
      <c r="F306" s="7" t="str">
        <f ca="1">+WORLDCUP!BD58</f>
        <v>Sudáfrica</v>
      </c>
      <c r="G306" s="7" t="str">
        <f ca="1">+WORLDCUP!BD66</f>
        <v>Senegal</v>
      </c>
      <c r="H306" s="7" t="str">
        <f ca="1">+WORLDCUP!BD63</f>
        <v>Japón</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Jordania</v>
      </c>
      <c r="E307" s="7" t="str">
        <f ca="1">+WORLDCUP!BD59</f>
        <v>Catar</v>
      </c>
      <c r="F307" s="7" t="str">
        <f ca="1">+WORLDCUP!BD63</f>
        <v>Japón</v>
      </c>
      <c r="G307" s="7" t="str">
        <f ca="1">+WORLDCUP!BD58</f>
        <v>Sudáfrica</v>
      </c>
      <c r="H307" s="7" t="str">
        <f ca="1">+WORLDCUP!BD64</f>
        <v>Egipto</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Jordania</v>
      </c>
      <c r="E308" s="7" t="str">
        <f ca="1">+WORLDCUP!BD59</f>
        <v>Catar</v>
      </c>
      <c r="F308" s="7" t="str">
        <f ca="1">+WORLDCUP!BD63</f>
        <v>Japón</v>
      </c>
      <c r="G308" s="7" t="str">
        <f ca="1">+WORLDCUP!BD58</f>
        <v>Sudáfrica</v>
      </c>
      <c r="H308" s="7" t="str">
        <f ca="1">+WORLDCUP!BD64</f>
        <v>Egipto</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Egipto</v>
      </c>
      <c r="E309" s="7" t="str">
        <f ca="1">+WORLDCUP!BD59</f>
        <v>Catar</v>
      </c>
      <c r="F309" s="7" t="str">
        <f ca="1">+WORLDCUP!BD63</f>
        <v>Japón</v>
      </c>
      <c r="G309" s="7" t="str">
        <f ca="1">+WORLDCUP!BD58</f>
        <v>Sudáfrica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Jordania</v>
      </c>
      <c r="E310" s="7" t="str">
        <f ca="1">+WORLDCUP!BD59</f>
        <v>Catar</v>
      </c>
      <c r="F310" s="7" t="str">
        <f ca="1">+WORLDCUP!BD63</f>
        <v>Japón</v>
      </c>
      <c r="G310" s="7" t="str">
        <f ca="1">+WORLDCUP!BD58</f>
        <v>Sudáfrica</v>
      </c>
      <c r="H310" s="7" t="str">
        <f ca="1">+WORLDCUP!BD64</f>
        <v>Egipto</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Jordania</v>
      </c>
      <c r="E311" s="7" t="str">
        <f ca="1">+WORLDCUP!BD59</f>
        <v>Catar</v>
      </c>
      <c r="F311" s="7" t="str">
        <f ca="1">+WORLDCUP!BD63</f>
        <v>Japón</v>
      </c>
      <c r="G311" s="7" t="str">
        <f ca="1">+WORLDCUP!BD58</f>
        <v>Sudáfrica</v>
      </c>
      <c r="H311" s="7" t="str">
        <f ca="1">+WORLDCUP!BD64</f>
        <v>Egipto</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Egipto</v>
      </c>
      <c r="E312" s="7" t="str">
        <f ca="1">+WORLDCUP!BD59</f>
        <v>Catar</v>
      </c>
      <c r="F312" s="7" t="str">
        <f ca="1">+WORLDCUP!BD63</f>
        <v>Japón</v>
      </c>
      <c r="G312" s="7" t="str">
        <f ca="1">+WORLDCUP!BD58</f>
        <v>Sudáfrica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Egipto</v>
      </c>
      <c r="E313" s="7" t="str">
        <f ca="1">+WORLDCUP!BD59</f>
        <v>Catar</v>
      </c>
      <c r="F313" s="7" t="str">
        <f ca="1">+WORLDCUP!BD63</f>
        <v>Japón</v>
      </c>
      <c r="G313" s="7" t="str">
        <f ca="1">+WORLDCUP!BD58</f>
        <v>Sudáfrica</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Jordania</v>
      </c>
      <c r="E314" s="7" t="str">
        <f ca="1">+WORLDCUP!BD59</f>
        <v>Catar</v>
      </c>
      <c r="F314" s="7" t="str">
        <f ca="1">+WORLDCUP!BD63</f>
        <v>Japón</v>
      </c>
      <c r="G314" s="7" t="str">
        <f ca="1">+WORLDCUP!BD58</f>
        <v>Sudáfrica</v>
      </c>
      <c r="H314" s="7" t="str">
        <f ca="1">+WORLDCUP!BD64</f>
        <v>Egipto</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Jordania</v>
      </c>
      <c r="E315" s="7" t="str">
        <f ca="1">+WORLDCUP!BD59</f>
        <v>Catar</v>
      </c>
      <c r="F315" s="7" t="str">
        <f ca="1">+WORLDCUP!BD61</f>
        <v>Turquía</v>
      </c>
      <c r="G315" s="7" t="str">
        <f ca="1">+WORLDCUP!BD58</f>
        <v>Sudáfrica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Jordania</v>
      </c>
      <c r="E316" s="7" t="str">
        <f ca="1">+WORLDCUP!BD59</f>
        <v>Catar</v>
      </c>
      <c r="F316" s="7" t="str">
        <f ca="1">+WORLDCUP!BD61</f>
        <v>Turquía</v>
      </c>
      <c r="G316" s="7" t="str">
        <f ca="1">+WORLDCUP!BD58</f>
        <v>Sudáfrica</v>
      </c>
      <c r="H316" s="7" t="str">
        <f ca="1">+WORLDCUP!BD64</f>
        <v>Egipto</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Jordania</v>
      </c>
      <c r="E317" s="7" t="str">
        <f ca="1">+WORLDCUP!BD59</f>
        <v>Catar</v>
      </c>
      <c r="F317" s="7" t="str">
        <f ca="1">+WORLDCUP!BD61</f>
        <v>Turquía</v>
      </c>
      <c r="G317" s="7" t="str">
        <f ca="1">+WORLDCUP!BD58</f>
        <v>Sudáfrica</v>
      </c>
      <c r="H317" s="7" t="str">
        <f ca="1">+WORLDCUP!BD64</f>
        <v>Egipto</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Egipto</v>
      </c>
      <c r="E318" s="7" t="str">
        <f ca="1">+WORLDCUP!BD59</f>
        <v>Catar</v>
      </c>
      <c r="F318" s="7" t="str">
        <f ca="1">+WORLDCUP!BD61</f>
        <v>Turquía</v>
      </c>
      <c r="G318" s="7" t="str">
        <f ca="1">+WORLDCUP!BD58</f>
        <v>Sudáfrica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Jordania</v>
      </c>
      <c r="E319" s="7" t="str">
        <f ca="1">+WORLDCUP!BD59</f>
        <v>Catar</v>
      </c>
      <c r="F319" s="7" t="str">
        <f ca="1">+WORLDCUP!BD61</f>
        <v>Turquía</v>
      </c>
      <c r="G319" s="7" t="str">
        <f ca="1">+WORLDCUP!BD58</f>
        <v>Sudáfrica</v>
      </c>
      <c r="H319" s="7" t="str">
        <f ca="1">+WORLDCUP!BD64</f>
        <v>Egipto</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Jordania</v>
      </c>
      <c r="E320" s="7" t="str">
        <f ca="1">+WORLDCUP!BD59</f>
        <v>Catar</v>
      </c>
      <c r="F320" s="7" t="str">
        <f ca="1">+WORLDCUP!BD61</f>
        <v>Turquía</v>
      </c>
      <c r="G320" s="7" t="str">
        <f ca="1">+WORLDCUP!BD58</f>
        <v>Sudáfrica</v>
      </c>
      <c r="H320" s="7" t="str">
        <f ca="1">+WORLDCUP!BD64</f>
        <v>Egipto</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Jordania</v>
      </c>
      <c r="E321" s="7" t="str">
        <f ca="1">+WORLDCUP!BD59</f>
        <v>Catar</v>
      </c>
      <c r="F321" s="7" t="str">
        <f ca="1">+WORLDCUP!BD61</f>
        <v>Turquía</v>
      </c>
      <c r="G321" s="7" t="str">
        <f ca="1">+WORLDCUP!BD58</f>
        <v>Sudáfrica</v>
      </c>
      <c r="H321" s="7" t="str">
        <f ca="1">+WORLDCUP!BD63</f>
        <v>Japón</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Jordania</v>
      </c>
      <c r="E322" s="7" t="str">
        <f ca="1">+WORLDCUP!BD59</f>
        <v>Catar</v>
      </c>
      <c r="F322" s="7" t="str">
        <f ca="1">+WORLDCUP!BD61</f>
        <v>Turquía</v>
      </c>
      <c r="G322" s="7" t="str">
        <f ca="1">+WORLDCUP!BD58</f>
        <v>Sudáfrica</v>
      </c>
      <c r="H322" s="7" t="str">
        <f ca="1">+WORLDCUP!BD63</f>
        <v>Japón</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Catar</v>
      </c>
      <c r="F323" s="7" t="str">
        <f ca="1">+WORLDCUP!BD61</f>
        <v>Turquía</v>
      </c>
      <c r="G323" s="7" t="str">
        <f ca="1">+WORLDCUP!BD58</f>
        <v>Sudáfrica</v>
      </c>
      <c r="H323" s="7" t="str">
        <f ca="1">+WORLDCUP!BD63</f>
        <v>Japón</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Jordania</v>
      </c>
      <c r="E324" s="7" t="str">
        <f ca="1">+WORLDCUP!BD59</f>
        <v>Catar</v>
      </c>
      <c r="F324" s="7" t="str">
        <f ca="1">+WORLDCUP!BD61</f>
        <v>Turquía</v>
      </c>
      <c r="G324" s="7" t="str">
        <f ca="1">+WORLDCUP!BD58</f>
        <v>Sudáfrica</v>
      </c>
      <c r="H324" s="7" t="str">
        <f ca="1">+WORLDCUP!BD63</f>
        <v>Japón</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Jordania</v>
      </c>
      <c r="E325" s="7" t="str">
        <f ca="1">+WORLDCUP!BD59</f>
        <v>Catar</v>
      </c>
      <c r="F325" s="7" t="str">
        <f ca="1">+WORLDCUP!BD61</f>
        <v>Turquía</v>
      </c>
      <c r="G325" s="7" t="str">
        <f ca="1">+WORLDCUP!BD58</f>
        <v>Sudáfrica</v>
      </c>
      <c r="H325" s="7" t="str">
        <f ca="1">+WORLDCUP!BD63</f>
        <v>Japón</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Japón</v>
      </c>
      <c r="D326" s="7" t="str">
        <f ca="1">+WORLDCUP!BD67</f>
        <v>Jordania</v>
      </c>
      <c r="E326" s="7" t="str">
        <f ca="1">+WORLDCUP!BD59</f>
        <v>Catar</v>
      </c>
      <c r="F326" s="7" t="str">
        <f ca="1">+WORLDCUP!BD61</f>
        <v>Turquía</v>
      </c>
      <c r="G326" s="7" t="str">
        <f ca="1">+WORLDCUP!BD58</f>
        <v>Sudáfrica</v>
      </c>
      <c r="H326" s="7" t="str">
        <f ca="1">+WORLDCUP!BD64</f>
        <v>Egipto</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Egipto</v>
      </c>
      <c r="E327" s="7" t="str">
        <f ca="1">+WORLDCUP!BD59</f>
        <v>Catar</v>
      </c>
      <c r="F327" s="7" t="str">
        <f ca="1">+WORLDCUP!BD61</f>
        <v>Turquía</v>
      </c>
      <c r="G327" s="7" t="str">
        <f ca="1">+WORLDCUP!BD58</f>
        <v>Sudáfrica</v>
      </c>
      <c r="H327" s="7" t="str">
        <f ca="1">+WORLDCUP!BD63</f>
        <v>Japón</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Japón</v>
      </c>
      <c r="D328" s="7" t="str">
        <f ca="1">+WORLDCUP!BD67</f>
        <v>Jordania</v>
      </c>
      <c r="E328" s="7" t="str">
        <f ca="1">+WORLDCUP!BD59</f>
        <v>Catar</v>
      </c>
      <c r="F328" s="7" t="str">
        <f ca="1">+WORLDCUP!BD61</f>
        <v>Turquía</v>
      </c>
      <c r="G328" s="7" t="str">
        <f ca="1">+WORLDCUP!BD58</f>
        <v>Sudáfrica</v>
      </c>
      <c r="H328" s="7" t="str">
        <f ca="1">+WORLDCUP!BD64</f>
        <v>Egipto</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Japón</v>
      </c>
      <c r="D329" s="7" t="str">
        <f ca="1">+WORLDCUP!BD67</f>
        <v>Jordania</v>
      </c>
      <c r="E329" s="7" t="str">
        <f ca="1">+WORLDCUP!BD59</f>
        <v>Catar</v>
      </c>
      <c r="F329" s="7" t="str">
        <f ca="1">+WORLDCUP!BD61</f>
        <v>Turquía</v>
      </c>
      <c r="G329" s="7" t="str">
        <f ca="1">+WORLDCUP!BD58</f>
        <v>Sudáfrica</v>
      </c>
      <c r="H329" s="7" t="str">
        <f ca="1">+WORLDCUP!BD64</f>
        <v>Egipto</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Egipto</v>
      </c>
      <c r="E330" s="7" t="str">
        <f ca="1">+WORLDCUP!BD59</f>
        <v>Catar</v>
      </c>
      <c r="F330" s="7" t="str">
        <f ca="1">+WORLDCUP!BD61</f>
        <v>Turquía</v>
      </c>
      <c r="G330" s="7" t="str">
        <f ca="1">+WORLDCUP!BD58</f>
        <v>Sudáfrica</v>
      </c>
      <c r="H330" s="7" t="str">
        <f ca="1">+WORLDCUP!BD63</f>
        <v>Japón</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Egipto</v>
      </c>
      <c r="E331" s="7" t="str">
        <f ca="1">+WORLDCUP!BD59</f>
        <v>Catar</v>
      </c>
      <c r="F331" s="7" t="str">
        <f ca="1">+WORLDCUP!BD61</f>
        <v>Turquía</v>
      </c>
      <c r="G331" s="7" t="str">
        <f ca="1">+WORLDCUP!BD58</f>
        <v>Sudáfrica</v>
      </c>
      <c r="H331" s="7" t="str">
        <f ca="1">+WORLDCUP!BD63</f>
        <v>Japón</v>
      </c>
      <c r="I331" s="7" t="str">
        <f ca="1">+WORLDCUP!BD69</f>
        <v>Ghana</v>
      </c>
      <c r="J331" s="7" t="str">
        <f ca="1">+WORLDCUP!BD67</f>
        <v>Jordania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Egipto</v>
      </c>
      <c r="E332" s="7" t="str">
        <f ca="1">+WORLDCUP!BD59</f>
        <v>Catar</v>
      </c>
      <c r="F332" s="7" t="str">
        <f ca="1">+WORLDCUP!BD61</f>
        <v>Turquía</v>
      </c>
      <c r="G332" s="7" t="str">
        <f ca="1">+WORLDCUP!BD58</f>
        <v>Sudáfrica</v>
      </c>
      <c r="H332" s="7" t="str">
        <f ca="1">+WORLDCUP!BD63</f>
        <v>Japón</v>
      </c>
      <c r="I332" s="7" t="str">
        <f ca="1">+WORLDCUP!BD67</f>
        <v>Jordania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Egipto</v>
      </c>
      <c r="E333" s="7" t="str">
        <f ca="1">+WORLDCUP!BD59</f>
        <v>Catar</v>
      </c>
      <c r="F333" s="7" t="str">
        <f ca="1">+WORLDCUP!BD61</f>
        <v>Turquía</v>
      </c>
      <c r="G333" s="7" t="str">
        <f ca="1">+WORLDCUP!BD58</f>
        <v>Sudáfrica</v>
      </c>
      <c r="H333" s="7" t="str">
        <f ca="1">+WORLDCUP!BD63</f>
        <v>Japón</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Egipto</v>
      </c>
      <c r="E334" s="7" t="str">
        <f ca="1">+WORLDCUP!BD59</f>
        <v>Catar</v>
      </c>
      <c r="F334" s="7" t="str">
        <f ca="1">+WORLDCUP!BD61</f>
        <v>Turquía</v>
      </c>
      <c r="G334" s="7" t="str">
        <f ca="1">+WORLDCUP!BD58</f>
        <v>Sudáfrica</v>
      </c>
      <c r="H334" s="7" t="str">
        <f ca="1">+WORLDCUP!BD63</f>
        <v>Japón</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Egipto</v>
      </c>
      <c r="E335" s="7" t="str">
        <f ca="1">+WORLDCUP!BD59</f>
        <v>Catar</v>
      </c>
      <c r="F335" s="7" t="str">
        <f ca="1">+WORLDCUP!BD61</f>
        <v>Turquía</v>
      </c>
      <c r="G335" s="7" t="str">
        <f ca="1">+WORLDCUP!BD58</f>
        <v>Sudáfrica</v>
      </c>
      <c r="H335" s="7" t="str">
        <f ca="1">+WORLDCUP!BD63</f>
        <v>Japón</v>
      </c>
      <c r="I335" s="7" t="str">
        <f ca="1">+WORLDCUP!BD66</f>
        <v>Senegal</v>
      </c>
      <c r="J335" s="7" t="str">
        <f ca="1">+WORLDCUP!BD67</f>
        <v>Jordania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Jordania</v>
      </c>
      <c r="E336" s="7" t="str">
        <f ca="1">+WORLDCUP!BD59</f>
        <v>Catar</v>
      </c>
      <c r="F336" s="7" t="str">
        <f ca="1">+WORLDCUP!BD58</f>
        <v>Sudáfrica</v>
      </c>
      <c r="G336" s="7" t="str">
        <f ca="1">+WORLDCUP!BD66</f>
        <v>Senegal</v>
      </c>
      <c r="H336" s="7" t="str">
        <f ca="1">+WORLDCUP!BD61</f>
        <v>Turquía</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Jordania</v>
      </c>
      <c r="E337" s="7" t="str">
        <f ca="1">+WORLDCUP!BD59</f>
        <v>Catar</v>
      </c>
      <c r="F337" s="7" t="str">
        <f ca="1">+WORLDCUP!BD61</f>
        <v>Turquía</v>
      </c>
      <c r="G337" s="7" t="str">
        <f ca="1">+WORLDCUP!BD58</f>
        <v>Sudáfrica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Catar</v>
      </c>
      <c r="F338" s="7" t="str">
        <f ca="1">+WORLDCUP!BD61</f>
        <v>Turquía</v>
      </c>
      <c r="G338" s="7" t="str">
        <f ca="1">+WORLDCUP!BD58</f>
        <v>Sudáfrica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Jordania</v>
      </c>
      <c r="E339" s="7" t="str">
        <f ca="1">+WORLDCUP!BD59</f>
        <v>Catar</v>
      </c>
      <c r="F339" s="7" t="str">
        <f ca="1">+WORLDCUP!BD61</f>
        <v>Turquía</v>
      </c>
      <c r="G339" s="7" t="str">
        <f ca="1">+WORLDCUP!BD58</f>
        <v>Sudáfrica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Jordania</v>
      </c>
      <c r="E340" s="7" t="str">
        <f ca="1">+WORLDCUP!BD59</f>
        <v>Catar</v>
      </c>
      <c r="F340" s="7" t="str">
        <f ca="1">+WORLDCUP!BD61</f>
        <v>Turquía</v>
      </c>
      <c r="G340" s="7" t="str">
        <f ca="1">+WORLDCUP!BD58</f>
        <v>Sudáfrica</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Jordania</v>
      </c>
      <c r="E341" s="7" t="str">
        <f ca="1">+WORLDCUP!BD59</f>
        <v>Catar</v>
      </c>
      <c r="F341" s="7" t="str">
        <f ca="1">+WORLDCUP!BD61</f>
        <v>Turquía</v>
      </c>
      <c r="G341" s="7" t="str">
        <f ca="1">+WORLDCUP!BD58</f>
        <v>Sudáfrica</v>
      </c>
      <c r="H341" s="7" t="str">
        <f ca="1">+WORLDCUP!BD64</f>
        <v>Egipto</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Egipto</v>
      </c>
      <c r="E342" s="7" t="str">
        <f ca="1">+WORLDCUP!BD59</f>
        <v>Catar</v>
      </c>
      <c r="F342" s="7" t="str">
        <f ca="1">+WORLDCUP!BD58</f>
        <v>Sudáfrica</v>
      </c>
      <c r="G342" s="7" t="str">
        <f ca="1">+WORLDCUP!BD66</f>
        <v>Senegal</v>
      </c>
      <c r="H342" s="7" t="str">
        <f ca="1">+WORLDCUP!BD61</f>
        <v>Turquía</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Jordania</v>
      </c>
      <c r="E343" s="7" t="str">
        <f ca="1">+WORLDCUP!BD59</f>
        <v>Catar</v>
      </c>
      <c r="F343" s="7" t="str">
        <f ca="1">+WORLDCUP!BD61</f>
        <v>Turquía</v>
      </c>
      <c r="G343" s="7" t="str">
        <f ca="1">+WORLDCUP!BD58</f>
        <v>Sudáfrica</v>
      </c>
      <c r="H343" s="7" t="str">
        <f ca="1">+WORLDCUP!BD64</f>
        <v>Egipto</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Jordania</v>
      </c>
      <c r="E344" s="7" t="str">
        <f ca="1">+WORLDCUP!BD59</f>
        <v>Catar</v>
      </c>
      <c r="F344" s="7" t="str">
        <f ca="1">+WORLDCUP!BD61</f>
        <v>Turquía</v>
      </c>
      <c r="G344" s="7" t="str">
        <f ca="1">+WORLDCUP!BD58</f>
        <v>Sudáfrica</v>
      </c>
      <c r="H344" s="7" t="str">
        <f ca="1">+WORLDCUP!BD64</f>
        <v>Egipto</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Egipto</v>
      </c>
      <c r="E345" s="7" t="str">
        <f ca="1">+WORLDCUP!BD59</f>
        <v>Catar</v>
      </c>
      <c r="F345" s="7" t="str">
        <f ca="1">+WORLDCUP!BD61</f>
        <v>Turquía</v>
      </c>
      <c r="G345" s="7" t="str">
        <f ca="1">+WORLDCUP!BD58</f>
        <v>Sudáfrica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Jordania</v>
      </c>
      <c r="E346" s="7" t="str">
        <f ca="1">+WORLDCUP!BD59</f>
        <v>Catar</v>
      </c>
      <c r="F346" s="7" t="str">
        <f ca="1">+WORLDCUP!BD61</f>
        <v>Turquía</v>
      </c>
      <c r="G346" s="7" t="str">
        <f ca="1">+WORLDCUP!BD58</f>
        <v>Sudáfrica</v>
      </c>
      <c r="H346" s="7" t="str">
        <f ca="1">+WORLDCUP!BD64</f>
        <v>Egipto</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Jordania</v>
      </c>
      <c r="E347" s="7" t="str">
        <f ca="1">+WORLDCUP!BD59</f>
        <v>Catar</v>
      </c>
      <c r="F347" s="7" t="str">
        <f ca="1">+WORLDCUP!BD61</f>
        <v>Turquía</v>
      </c>
      <c r="G347" s="7" t="str">
        <f ca="1">+WORLDCUP!BD58</f>
        <v>Sudáfrica</v>
      </c>
      <c r="H347" s="7" t="str">
        <f ca="1">+WORLDCUP!BD64</f>
        <v>Egipto</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Egipto</v>
      </c>
      <c r="E348" s="7" t="str">
        <f ca="1">+WORLDCUP!BD59</f>
        <v>Catar</v>
      </c>
      <c r="F348" s="7" t="str">
        <f ca="1">+WORLDCUP!BD61</f>
        <v>Turquía</v>
      </c>
      <c r="G348" s="7" t="str">
        <f ca="1">+WORLDCUP!BD58</f>
        <v>Sudáfrica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Egipto</v>
      </c>
      <c r="E349" s="7" t="str">
        <f ca="1">+WORLDCUP!BD59</f>
        <v>Catar</v>
      </c>
      <c r="F349" s="7" t="str">
        <f ca="1">+WORLDCUP!BD61</f>
        <v>Turquía</v>
      </c>
      <c r="G349" s="7" t="str">
        <f ca="1">+WORLDCUP!BD58</f>
        <v>Sudáfrica</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Jordania</v>
      </c>
      <c r="E350" s="7" t="str">
        <f ca="1">+WORLDCUP!BD59</f>
        <v>Catar</v>
      </c>
      <c r="F350" s="7" t="str">
        <f ca="1">+WORLDCUP!BD61</f>
        <v>Turquía</v>
      </c>
      <c r="G350" s="7" t="str">
        <f ca="1">+WORLDCUP!BD58</f>
        <v>Sudáfrica</v>
      </c>
      <c r="H350" s="7" t="str">
        <f ca="1">+WORLDCUP!BD64</f>
        <v>Egipto</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Jordania</v>
      </c>
      <c r="E351" s="7" t="str">
        <f ca="1">+WORLDCUP!BD59</f>
        <v>Catar</v>
      </c>
      <c r="F351" s="7" t="str">
        <f ca="1">+WORLDCUP!BD61</f>
        <v>Turquía</v>
      </c>
      <c r="G351" s="7" t="str">
        <f ca="1">+WORLDCUP!BD58</f>
        <v>Sudáfrica</v>
      </c>
      <c r="H351" s="7" t="str">
        <f ca="1">+WORLDCUP!BD63</f>
        <v>Japón</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Catar</v>
      </c>
      <c r="F352" s="7" t="str">
        <f ca="1">+WORLDCUP!BD61</f>
        <v>Turquía</v>
      </c>
      <c r="G352" s="7" t="str">
        <f ca="1">+WORLDCUP!BD58</f>
        <v>Sudáfrica</v>
      </c>
      <c r="H352" s="7" t="str">
        <f ca="1">+WORLDCUP!BD63</f>
        <v>Japón</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Jordania</v>
      </c>
      <c r="E353" s="7" t="str">
        <f ca="1">+WORLDCUP!BD59</f>
        <v>Catar</v>
      </c>
      <c r="F353" s="7" t="str">
        <f ca="1">+WORLDCUP!BD61</f>
        <v>Turquía</v>
      </c>
      <c r="G353" s="7" t="str">
        <f ca="1">+WORLDCUP!BD58</f>
        <v>Sudáfrica</v>
      </c>
      <c r="H353" s="7" t="str">
        <f ca="1">+WORLDCUP!BD63</f>
        <v>Japón</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Jordania</v>
      </c>
      <c r="E354" s="7" t="str">
        <f ca="1">+WORLDCUP!BD59</f>
        <v>Catar</v>
      </c>
      <c r="F354" s="7" t="str">
        <f ca="1">+WORLDCUP!BD61</f>
        <v>Turquía</v>
      </c>
      <c r="G354" s="7" t="str">
        <f ca="1">+WORLDCUP!BD58</f>
        <v>Sudáfrica</v>
      </c>
      <c r="H354" s="7" t="str">
        <f ca="1">+WORLDCUP!BD63</f>
        <v>Japón</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Catar</v>
      </c>
      <c r="F355" s="7" t="str">
        <f ca="1">+WORLDCUP!BD61</f>
        <v>Turquía</v>
      </c>
      <c r="G355" s="7" t="str">
        <f ca="1">+WORLDCUP!BD58</f>
        <v>Sudáfrica</v>
      </c>
      <c r="H355" s="7" t="str">
        <f ca="1">+WORLDCUP!BD63</f>
        <v>Japón</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Jordania</v>
      </c>
      <c r="E356" s="7" t="str">
        <f ca="1">+WORLDCUP!BD59</f>
        <v>Catar</v>
      </c>
      <c r="F356" s="7" t="str">
        <f ca="1">+WORLDCUP!BD61</f>
        <v>Turquía</v>
      </c>
      <c r="G356" s="7" t="str">
        <f ca="1">+WORLDCUP!BD58</f>
        <v>Sudáfrica</v>
      </c>
      <c r="H356" s="7" t="str">
        <f ca="1">+WORLDCUP!BD63</f>
        <v>Japón</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Jordania</v>
      </c>
      <c r="E357" s="7" t="str">
        <f ca="1">+WORLDCUP!BD59</f>
        <v>Catar</v>
      </c>
      <c r="F357" s="7" t="str">
        <f ca="1">+WORLDCUP!BD61</f>
        <v>Turquía</v>
      </c>
      <c r="G357" s="7" t="str">
        <f ca="1">+WORLDCUP!BD58</f>
        <v>Sudáfrica</v>
      </c>
      <c r="H357" s="7" t="str">
        <f ca="1">+WORLDCUP!BD63</f>
        <v>Japón</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Catar</v>
      </c>
      <c r="F358" s="7" t="str">
        <f ca="1">+WORLDCUP!BD61</f>
        <v>Turquía</v>
      </c>
      <c r="G358" s="7" t="str">
        <f ca="1">+WORLDCUP!BD58</f>
        <v>Sudáfrica</v>
      </c>
      <c r="H358" s="7" t="str">
        <f ca="1">+WORLDCUP!BD63</f>
        <v>Japón</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Catar</v>
      </c>
      <c r="F359" s="7" t="str">
        <f ca="1">+WORLDCUP!BD61</f>
        <v>Turquía</v>
      </c>
      <c r="G359" s="7" t="str">
        <f ca="1">+WORLDCUP!BD58</f>
        <v>Sudáfrica</v>
      </c>
      <c r="H359" s="7" t="str">
        <f ca="1">+WORLDCUP!BD63</f>
        <v>Japón</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Jordania</v>
      </c>
      <c r="E360" s="7" t="str">
        <f ca="1">+WORLDCUP!BD59</f>
        <v>Catar</v>
      </c>
      <c r="F360" s="7" t="str">
        <f ca="1">+WORLDCUP!BD61</f>
        <v>Turquía</v>
      </c>
      <c r="G360" s="7" t="str">
        <f ca="1">+WORLDCUP!BD58</f>
        <v>Sudáfrica</v>
      </c>
      <c r="H360" s="7" t="str">
        <f ca="1">+WORLDCUP!BD63</f>
        <v>Japón</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Egipto</v>
      </c>
      <c r="E361" s="7" t="str">
        <f ca="1">+WORLDCUP!BD59</f>
        <v>Catar</v>
      </c>
      <c r="F361" s="7" t="str">
        <f ca="1">+WORLDCUP!BD61</f>
        <v>Turquía</v>
      </c>
      <c r="G361" s="7" t="str">
        <f ca="1">+WORLDCUP!BD58</f>
        <v>Sudáfrica</v>
      </c>
      <c r="H361" s="7" t="str">
        <f ca="1">+WORLDCUP!BD63</f>
        <v>Japón</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Egipto</v>
      </c>
      <c r="E362" s="7" t="str">
        <f ca="1">+WORLDCUP!BD59</f>
        <v>Catar</v>
      </c>
      <c r="F362" s="7" t="str">
        <f ca="1">+WORLDCUP!BD61</f>
        <v>Turquía</v>
      </c>
      <c r="G362" s="7" t="str">
        <f ca="1">+WORLDCUP!BD58</f>
        <v>Sudáfrica</v>
      </c>
      <c r="H362" s="7" t="str">
        <f ca="1">+WORLDCUP!BD63</f>
        <v>Japón</v>
      </c>
      <c r="I362" s="7" t="str">
        <f ca="1">+WORLDCUP!BD69</f>
        <v>Ghana</v>
      </c>
      <c r="J362" s="7" t="str">
        <f ca="1">+WORLDCUP!BD67</f>
        <v>Jordania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Egipto</v>
      </c>
      <c r="E363" s="7" t="str">
        <f ca="1">+WORLDCUP!BD59</f>
        <v>Catar</v>
      </c>
      <c r="F363" s="7" t="str">
        <f ca="1">+WORLDCUP!BD61</f>
        <v>Turquía</v>
      </c>
      <c r="G363" s="7" t="str">
        <f ca="1">+WORLDCUP!BD58</f>
        <v>Sudáfrica</v>
      </c>
      <c r="H363" s="7" t="str">
        <f ca="1">+WORLDCUP!BD63</f>
        <v>Japón</v>
      </c>
      <c r="I363" s="7" t="str">
        <f ca="1">+WORLDCUP!BD67</f>
        <v>Jordania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Egipto</v>
      </c>
      <c r="E364" s="7" t="str">
        <f ca="1">+WORLDCUP!BD59</f>
        <v>Catar</v>
      </c>
      <c r="F364" s="7" t="str">
        <f ca="1">+WORLDCUP!BD61</f>
        <v>Turquía</v>
      </c>
      <c r="G364" s="7" t="str">
        <f ca="1">+WORLDCUP!BD58</f>
        <v>Sudáfrica</v>
      </c>
      <c r="H364" s="7" t="str">
        <f ca="1">+WORLDCUP!BD63</f>
        <v>Japón</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Egipto</v>
      </c>
      <c r="E365" s="7" t="str">
        <f ca="1">+WORLDCUP!BD59</f>
        <v>Catar</v>
      </c>
      <c r="F365" s="7" t="str">
        <f ca="1">+WORLDCUP!BD61</f>
        <v>Turquía</v>
      </c>
      <c r="G365" s="7" t="str">
        <f ca="1">+WORLDCUP!BD58</f>
        <v>Sudáfrica</v>
      </c>
      <c r="H365" s="7" t="str">
        <f ca="1">+WORLDCUP!BD63</f>
        <v>Japón</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Egipto</v>
      </c>
      <c r="E366" s="7" t="str">
        <f ca="1">+WORLDCUP!BD59</f>
        <v>Catar</v>
      </c>
      <c r="F366" s="7" t="str">
        <f ca="1">+WORLDCUP!BD61</f>
        <v>Turquía</v>
      </c>
      <c r="G366" s="7" t="str">
        <f ca="1">+WORLDCUP!BD58</f>
        <v>Sudáfrica</v>
      </c>
      <c r="H366" s="7" t="str">
        <f ca="1">+WORLDCUP!BD63</f>
        <v>Japón</v>
      </c>
      <c r="I366" s="7" t="str">
        <f ca="1">+WORLDCUP!BD66</f>
        <v>Senegal</v>
      </c>
      <c r="J366" s="7" t="str">
        <f ca="1">+WORLDCUP!BD67</f>
        <v>Jordania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Egipto</v>
      </c>
      <c r="E367" s="7" t="str">
        <f ca="1">+WORLDCUP!BD59</f>
        <v>Catar</v>
      </c>
      <c r="F367" s="7" t="str">
        <f ca="1">+WORLDCUP!BD61</f>
        <v>Turquía</v>
      </c>
      <c r="G367" s="7" t="str">
        <f ca="1">+WORLDCUP!BD58</f>
        <v>Sudáfrica</v>
      </c>
      <c r="H367" s="7" t="str">
        <f ca="1">+WORLDCUP!BD63</f>
        <v>Japón</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Egipto</v>
      </c>
      <c r="E368" s="7" t="str">
        <f ca="1">+WORLDCUP!BD59</f>
        <v>Catar</v>
      </c>
      <c r="F368" s="7" t="str">
        <f ca="1">+WORLDCUP!BD61</f>
        <v>Turquía</v>
      </c>
      <c r="G368" s="7" t="str">
        <f ca="1">+WORLDCUP!BD58</f>
        <v>Sudáfrica</v>
      </c>
      <c r="H368" s="7" t="str">
        <f ca="1">+WORLDCUP!BD63</f>
        <v>Japón</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Egipto</v>
      </c>
      <c r="E369" s="7" t="str">
        <f ca="1">+WORLDCUP!BD59</f>
        <v>Catar</v>
      </c>
      <c r="F369" s="7" t="str">
        <f ca="1">+WORLDCUP!BD61</f>
        <v>Turquía</v>
      </c>
      <c r="G369" s="7" t="str">
        <f ca="1">+WORLDCUP!BD58</f>
        <v>Sudáfrica</v>
      </c>
      <c r="H369" s="7" t="str">
        <f ca="1">+WORLDCUP!BD63</f>
        <v>Japón</v>
      </c>
      <c r="I369" s="7" t="str">
        <f ca="1">+WORLDCUP!BD62</f>
        <v>Costa de Marfil</v>
      </c>
      <c r="J369" s="7" t="str">
        <f ca="1">+WORLDCUP!BD67</f>
        <v>Jordania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Egipto</v>
      </c>
      <c r="E370" s="7" t="str">
        <f ca="1">+WORLDCUP!BD59</f>
        <v>Catar</v>
      </c>
      <c r="F370" s="7" t="str">
        <f ca="1">+WORLDCUP!BD61</f>
        <v>Turquía</v>
      </c>
      <c r="G370" s="7" t="str">
        <f ca="1">+WORLDCUP!BD58</f>
        <v>Sudáfrica</v>
      </c>
      <c r="H370" s="7" t="str">
        <f ca="1">+WORLDCUP!BD63</f>
        <v>Japón</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Jordania</v>
      </c>
      <c r="E371" s="7" t="str">
        <f ca="1">+WORLDCUP!BD59</f>
        <v>Catar</v>
      </c>
      <c r="F371" s="7" t="str">
        <f ca="1">+WORLDCUP!BD60</f>
        <v>Escocia</v>
      </c>
      <c r="G371" s="7" t="str">
        <f ca="1">+WORLDCUP!BD58</f>
        <v>Sudáfrica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Jordania</v>
      </c>
      <c r="E372" s="7" t="str">
        <f ca="1">+WORLDCUP!BD59</f>
        <v>Catar</v>
      </c>
      <c r="F372" s="7" t="str">
        <f ca="1">+WORLDCUP!BD60</f>
        <v>Escocia</v>
      </c>
      <c r="G372" s="7" t="str">
        <f ca="1">+WORLDCUP!BD58</f>
        <v>Sudáfrica</v>
      </c>
      <c r="H372" s="7" t="str">
        <f ca="1">+WORLDCUP!BD64</f>
        <v>Egipto</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Jordania</v>
      </c>
      <c r="E373" s="7" t="str">
        <f ca="1">+WORLDCUP!BD59</f>
        <v>Catar</v>
      </c>
      <c r="F373" s="7" t="str">
        <f ca="1">+WORLDCUP!BD60</f>
        <v>Escocia</v>
      </c>
      <c r="G373" s="7" t="str">
        <f ca="1">+WORLDCUP!BD58</f>
        <v>Sudáfrica</v>
      </c>
      <c r="H373" s="7" t="str">
        <f ca="1">+WORLDCUP!BD64</f>
        <v>Egipto</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Egipto</v>
      </c>
      <c r="E374" s="7" t="str">
        <f ca="1">+WORLDCUP!BD59</f>
        <v>Catar</v>
      </c>
      <c r="F374" s="7" t="str">
        <f ca="1">+WORLDCUP!BD60</f>
        <v>Escocia</v>
      </c>
      <c r="G374" s="7" t="str">
        <f ca="1">+WORLDCUP!BD58</f>
        <v>Sudáfrica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Jordania</v>
      </c>
      <c r="E375" s="7" t="str">
        <f ca="1">+WORLDCUP!BD59</f>
        <v>Catar</v>
      </c>
      <c r="F375" s="7" t="str">
        <f ca="1">+WORLDCUP!BD60</f>
        <v>Escocia</v>
      </c>
      <c r="G375" s="7" t="str">
        <f ca="1">+WORLDCUP!BD58</f>
        <v>Sudáfrica</v>
      </c>
      <c r="H375" s="7" t="str">
        <f ca="1">+WORLDCUP!BD64</f>
        <v>Egipto</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Jordania</v>
      </c>
      <c r="E376" s="7" t="str">
        <f ca="1">+WORLDCUP!BD59</f>
        <v>Catar</v>
      </c>
      <c r="F376" s="7" t="str">
        <f ca="1">+WORLDCUP!BD60</f>
        <v>Escocia</v>
      </c>
      <c r="G376" s="7" t="str">
        <f ca="1">+WORLDCUP!BD58</f>
        <v>Sudáfrica</v>
      </c>
      <c r="H376" s="7" t="str">
        <f ca="1">+WORLDCUP!BD64</f>
        <v>Egipto</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Jordania</v>
      </c>
      <c r="E377" s="7" t="str">
        <f ca="1">+WORLDCUP!BD59</f>
        <v>Catar</v>
      </c>
      <c r="F377" s="7" t="str">
        <f ca="1">+WORLDCUP!BD60</f>
        <v>Escocia</v>
      </c>
      <c r="G377" s="7" t="str">
        <f ca="1">+WORLDCUP!BD58</f>
        <v>Sudáfrica</v>
      </c>
      <c r="H377" s="7" t="str">
        <f ca="1">+WORLDCUP!BD63</f>
        <v>Japón</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Jordania</v>
      </c>
      <c r="E378" s="7" t="str">
        <f ca="1">+WORLDCUP!BD59</f>
        <v>Catar</v>
      </c>
      <c r="F378" s="7" t="str">
        <f ca="1">+WORLDCUP!BD60</f>
        <v>Escocia</v>
      </c>
      <c r="G378" s="7" t="str">
        <f ca="1">+WORLDCUP!BD58</f>
        <v>Sudáfrica</v>
      </c>
      <c r="H378" s="7" t="str">
        <f ca="1">+WORLDCUP!BD63</f>
        <v>Japón</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Catar</v>
      </c>
      <c r="F379" s="7" t="str">
        <f ca="1">+WORLDCUP!BD60</f>
        <v>Escocia</v>
      </c>
      <c r="G379" s="7" t="str">
        <f ca="1">+WORLDCUP!BD58</f>
        <v>Sudáfrica</v>
      </c>
      <c r="H379" s="7" t="str">
        <f ca="1">+WORLDCUP!BD63</f>
        <v>Japón</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Jordania</v>
      </c>
      <c r="E380" s="7" t="str">
        <f ca="1">+WORLDCUP!BD59</f>
        <v>Catar</v>
      </c>
      <c r="F380" s="7" t="str">
        <f ca="1">+WORLDCUP!BD60</f>
        <v>Escocia</v>
      </c>
      <c r="G380" s="7" t="str">
        <f ca="1">+WORLDCUP!BD58</f>
        <v>Sudáfrica</v>
      </c>
      <c r="H380" s="7" t="str">
        <f ca="1">+WORLDCUP!BD63</f>
        <v>Japón</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Jordania</v>
      </c>
      <c r="E381" s="7" t="str">
        <f ca="1">+WORLDCUP!BD59</f>
        <v>Catar</v>
      </c>
      <c r="F381" s="7" t="str">
        <f ca="1">+WORLDCUP!BD60</f>
        <v>Escocia</v>
      </c>
      <c r="G381" s="7" t="str">
        <f ca="1">+WORLDCUP!BD58</f>
        <v>Sudáfrica</v>
      </c>
      <c r="H381" s="7" t="str">
        <f ca="1">+WORLDCUP!BD63</f>
        <v>Japón</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Jordania</v>
      </c>
      <c r="E382" s="7" t="str">
        <f ca="1">+WORLDCUP!BD59</f>
        <v>Catar</v>
      </c>
      <c r="F382" s="7" t="str">
        <f ca="1">+WORLDCUP!BD63</f>
        <v>Japón</v>
      </c>
      <c r="G382" s="7" t="str">
        <f ca="1">+WORLDCUP!BD58</f>
        <v>Sudáfrica</v>
      </c>
      <c r="H382" s="7" t="str">
        <f ca="1">+WORLDCUP!BD64</f>
        <v>Egipto</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Egipto</v>
      </c>
      <c r="E383" s="7" t="str">
        <f ca="1">+WORLDCUP!BD59</f>
        <v>Catar</v>
      </c>
      <c r="F383" s="7" t="str">
        <f ca="1">+WORLDCUP!BD60</f>
        <v>Escocia</v>
      </c>
      <c r="G383" s="7" t="str">
        <f ca="1">+WORLDCUP!BD58</f>
        <v>Sudáfrica</v>
      </c>
      <c r="H383" s="7" t="str">
        <f ca="1">+WORLDCUP!BD63</f>
        <v>Japón</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Jordania</v>
      </c>
      <c r="E384" s="7" t="str">
        <f ca="1">+WORLDCUP!BD59</f>
        <v>Catar</v>
      </c>
      <c r="F384" s="7" t="str">
        <f ca="1">+WORLDCUP!BD63</f>
        <v>Japón</v>
      </c>
      <c r="G384" s="7" t="str">
        <f ca="1">+WORLDCUP!BD58</f>
        <v>Sudáfrica</v>
      </c>
      <c r="H384" s="7" t="str">
        <f ca="1">+WORLDCUP!BD64</f>
        <v>Egipto</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Jordania</v>
      </c>
      <c r="E385" s="7" t="str">
        <f ca="1">+WORLDCUP!BD59</f>
        <v>Catar</v>
      </c>
      <c r="F385" s="7" t="str">
        <f ca="1">+WORLDCUP!BD63</f>
        <v>Japón</v>
      </c>
      <c r="G385" s="7" t="str">
        <f ca="1">+WORLDCUP!BD58</f>
        <v>Sudáfrica</v>
      </c>
      <c r="H385" s="7" t="str">
        <f ca="1">+WORLDCUP!BD64</f>
        <v>Egipto</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Egipto</v>
      </c>
      <c r="E386" s="7" t="str">
        <f ca="1">+WORLDCUP!BD59</f>
        <v>Catar</v>
      </c>
      <c r="F386" s="7" t="str">
        <f ca="1">+WORLDCUP!BD60</f>
        <v>Escocia</v>
      </c>
      <c r="G386" s="7" t="str">
        <f ca="1">+WORLDCUP!BD58</f>
        <v>Sudáfrica</v>
      </c>
      <c r="H386" s="7" t="str">
        <f ca="1">+WORLDCUP!BD63</f>
        <v>Japón</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Egipto</v>
      </c>
      <c r="E387" s="7" t="str">
        <f ca="1">+WORLDCUP!BD59</f>
        <v>Catar</v>
      </c>
      <c r="F387" s="7" t="str">
        <f ca="1">+WORLDCUP!BD60</f>
        <v>Escocia</v>
      </c>
      <c r="G387" s="7" t="str">
        <f ca="1">+WORLDCUP!BD58</f>
        <v>Sudáfrica</v>
      </c>
      <c r="H387" s="7" t="str">
        <f ca="1">+WORLDCUP!BD63</f>
        <v>Japón</v>
      </c>
      <c r="I387" s="7" t="str">
        <f ca="1">+WORLDCUP!BD69</f>
        <v>Ghana</v>
      </c>
      <c r="J387" s="7" t="str">
        <f ca="1">+WORLDCUP!BD67</f>
        <v>Jordania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Egipto</v>
      </c>
      <c r="E388" s="7" t="str">
        <f ca="1">+WORLDCUP!BD59</f>
        <v>Catar</v>
      </c>
      <c r="F388" s="7" t="str">
        <f ca="1">+WORLDCUP!BD60</f>
        <v>Escocia</v>
      </c>
      <c r="G388" s="7" t="str">
        <f ca="1">+WORLDCUP!BD58</f>
        <v>Sudáfrica</v>
      </c>
      <c r="H388" s="7" t="str">
        <f ca="1">+WORLDCUP!BD63</f>
        <v>Japón</v>
      </c>
      <c r="I388" s="7" t="str">
        <f ca="1">+WORLDCUP!BD67</f>
        <v>Jordania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Egipto</v>
      </c>
      <c r="E389" s="7" t="str">
        <f ca="1">+WORLDCUP!BD59</f>
        <v>Catar</v>
      </c>
      <c r="F389" s="7" t="str">
        <f ca="1">+WORLDCUP!BD60</f>
        <v>Escocia</v>
      </c>
      <c r="G389" s="7" t="str">
        <f ca="1">+WORLDCUP!BD58</f>
        <v>Sudáfrica</v>
      </c>
      <c r="H389" s="7" t="str">
        <f ca="1">+WORLDCUP!BD63</f>
        <v>Japón</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Egipto</v>
      </c>
      <c r="E390" s="7" t="str">
        <f ca="1">+WORLDCUP!BD59</f>
        <v>Catar</v>
      </c>
      <c r="F390" s="7" t="str">
        <f ca="1">+WORLDCUP!BD60</f>
        <v>Escocia</v>
      </c>
      <c r="G390" s="7" t="str">
        <f ca="1">+WORLDCUP!BD58</f>
        <v>Sudáfrica</v>
      </c>
      <c r="H390" s="7" t="str">
        <f ca="1">+WORLDCUP!BD63</f>
        <v>Japón</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Egipto</v>
      </c>
      <c r="E391" s="7" t="str">
        <f ca="1">+WORLDCUP!BD59</f>
        <v>Catar</v>
      </c>
      <c r="F391" s="7" t="str">
        <f ca="1">+WORLDCUP!BD60</f>
        <v>Escocia</v>
      </c>
      <c r="G391" s="7" t="str">
        <f ca="1">+WORLDCUP!BD58</f>
        <v>Sudáfrica</v>
      </c>
      <c r="H391" s="7" t="str">
        <f ca="1">+WORLDCUP!BD63</f>
        <v>Japón</v>
      </c>
      <c r="I391" s="7" t="str">
        <f ca="1">+WORLDCUP!BD66</f>
        <v>Senegal</v>
      </c>
      <c r="J391" s="7" t="str">
        <f ca="1">+WORLDCUP!BD67</f>
        <v>Jordania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Jordania</v>
      </c>
      <c r="E392" s="7" t="str">
        <f ca="1">+WORLDCUP!BD59</f>
        <v>Catar</v>
      </c>
      <c r="F392" s="7" t="str">
        <f ca="1">+WORLDCUP!BD58</f>
        <v>Sudáfrica</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Jordania</v>
      </c>
      <c r="E393" s="7" t="str">
        <f ca="1">+WORLDCUP!BD59</f>
        <v>Catar</v>
      </c>
      <c r="F393" s="7" t="str">
        <f ca="1">+WORLDCUP!BD60</f>
        <v>Escocia</v>
      </c>
      <c r="G393" s="7" t="str">
        <f ca="1">+WORLDCUP!BD58</f>
        <v>Sudáfrica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Catar</v>
      </c>
      <c r="F394" s="7" t="str">
        <f ca="1">+WORLDCUP!BD60</f>
        <v>Escocia</v>
      </c>
      <c r="G394" s="7" t="str">
        <f ca="1">+WORLDCUP!BD58</f>
        <v>Sudáfrica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Jordania</v>
      </c>
      <c r="E395" s="7" t="str">
        <f ca="1">+WORLDCUP!BD59</f>
        <v>Catar</v>
      </c>
      <c r="F395" s="7" t="str">
        <f ca="1">+WORLDCUP!BD60</f>
        <v>Escocia</v>
      </c>
      <c r="G395" s="7" t="str">
        <f ca="1">+WORLDCUP!BD58</f>
        <v>Sudáfrica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Jordania</v>
      </c>
      <c r="E396" s="7" t="str">
        <f ca="1">+WORLDCUP!BD59</f>
        <v>Catar</v>
      </c>
      <c r="F396" s="7" t="str">
        <f ca="1">+WORLDCUP!BD60</f>
        <v>Escocia</v>
      </c>
      <c r="G396" s="7" t="str">
        <f ca="1">+WORLDCUP!BD58</f>
        <v>Sudáfrica</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Jordania</v>
      </c>
      <c r="E397" s="7" t="str">
        <f ca="1">+WORLDCUP!BD59</f>
        <v>Catar</v>
      </c>
      <c r="F397" s="7" t="str">
        <f ca="1">+WORLDCUP!BD60</f>
        <v>Escocia</v>
      </c>
      <c r="G397" s="7" t="str">
        <f ca="1">+WORLDCUP!BD58</f>
        <v>Sudáfrica</v>
      </c>
      <c r="H397" s="7" t="str">
        <f ca="1">+WORLDCUP!BD64</f>
        <v>Egipto</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Egipto</v>
      </c>
      <c r="E398" s="7" t="str">
        <f ca="1">+WORLDCUP!BD59</f>
        <v>Catar</v>
      </c>
      <c r="F398" s="7" t="str">
        <f ca="1">+WORLDCUP!BD58</f>
        <v>Sudáfrica</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Jordania</v>
      </c>
      <c r="E399" s="7" t="str">
        <f ca="1">+WORLDCUP!BD59</f>
        <v>Catar</v>
      </c>
      <c r="F399" s="7" t="str">
        <f ca="1">+WORLDCUP!BD60</f>
        <v>Escocia</v>
      </c>
      <c r="G399" s="7" t="str">
        <f ca="1">+WORLDCUP!BD58</f>
        <v>Sudáfrica</v>
      </c>
      <c r="H399" s="7" t="str">
        <f ca="1">+WORLDCUP!BD64</f>
        <v>Egipto</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Jordania</v>
      </c>
      <c r="E400" s="7" t="str">
        <f ca="1">+WORLDCUP!BD59</f>
        <v>Catar</v>
      </c>
      <c r="F400" s="7" t="str">
        <f ca="1">+WORLDCUP!BD60</f>
        <v>Escocia</v>
      </c>
      <c r="G400" s="7" t="str">
        <f ca="1">+WORLDCUP!BD58</f>
        <v>Sudáfrica</v>
      </c>
      <c r="H400" s="7" t="str">
        <f ca="1">+WORLDCUP!BD64</f>
        <v>Egipto</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Egipto</v>
      </c>
      <c r="E401" s="7" t="str">
        <f ca="1">+WORLDCUP!BD59</f>
        <v>Catar</v>
      </c>
      <c r="F401" s="7" t="str">
        <f ca="1">+WORLDCUP!BD60</f>
        <v>Escocia</v>
      </c>
      <c r="G401" s="7" t="str">
        <f ca="1">+WORLDCUP!BD58</f>
        <v>Sudáfrica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Jordania</v>
      </c>
      <c r="E402" s="7" t="str">
        <f ca="1">+WORLDCUP!BD59</f>
        <v>Catar</v>
      </c>
      <c r="F402" s="7" t="str">
        <f ca="1">+WORLDCUP!BD60</f>
        <v>Escocia</v>
      </c>
      <c r="G402" s="7" t="str">
        <f ca="1">+WORLDCUP!BD58</f>
        <v>Sudáfrica</v>
      </c>
      <c r="H402" s="7" t="str">
        <f ca="1">+WORLDCUP!BD64</f>
        <v>Egipto</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Jordania</v>
      </c>
      <c r="E403" s="7" t="str">
        <f ca="1">+WORLDCUP!BD59</f>
        <v>Catar</v>
      </c>
      <c r="F403" s="7" t="str">
        <f ca="1">+WORLDCUP!BD60</f>
        <v>Escocia</v>
      </c>
      <c r="G403" s="7" t="str">
        <f ca="1">+WORLDCUP!BD58</f>
        <v>Sudáfrica</v>
      </c>
      <c r="H403" s="7" t="str">
        <f ca="1">+WORLDCUP!BD64</f>
        <v>Egipto</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Egipto</v>
      </c>
      <c r="E404" s="7" t="str">
        <f ca="1">+WORLDCUP!BD59</f>
        <v>Catar</v>
      </c>
      <c r="F404" s="7" t="str">
        <f ca="1">+WORLDCUP!BD60</f>
        <v>Escocia</v>
      </c>
      <c r="G404" s="7" t="str">
        <f ca="1">+WORLDCUP!BD58</f>
        <v>Sudáfrica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Egipto</v>
      </c>
      <c r="E405" s="7" t="str">
        <f ca="1">+WORLDCUP!BD59</f>
        <v>Catar</v>
      </c>
      <c r="F405" s="7" t="str">
        <f ca="1">+WORLDCUP!BD60</f>
        <v>Escocia</v>
      </c>
      <c r="G405" s="7" t="str">
        <f ca="1">+WORLDCUP!BD58</f>
        <v>Sudáfrica</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Jordania</v>
      </c>
      <c r="E406" s="7" t="str">
        <f ca="1">+WORLDCUP!BD59</f>
        <v>Catar</v>
      </c>
      <c r="F406" s="7" t="str">
        <f ca="1">+WORLDCUP!BD60</f>
        <v>Escocia</v>
      </c>
      <c r="G406" s="7" t="str">
        <f ca="1">+WORLDCUP!BD58</f>
        <v>Sudáfrica</v>
      </c>
      <c r="H406" s="7" t="str">
        <f ca="1">+WORLDCUP!BD64</f>
        <v>Egipto</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Jordania</v>
      </c>
      <c r="E407" s="7" t="str">
        <f ca="1">+WORLDCUP!BD59</f>
        <v>Catar</v>
      </c>
      <c r="F407" s="7" t="str">
        <f ca="1">+WORLDCUP!BD60</f>
        <v>Escocia</v>
      </c>
      <c r="G407" s="7" t="str">
        <f ca="1">+WORLDCUP!BD58</f>
        <v>Sudáfrica</v>
      </c>
      <c r="H407" s="7" t="str">
        <f ca="1">+WORLDCUP!BD63</f>
        <v>Japón</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Catar</v>
      </c>
      <c r="F408" s="7" t="str">
        <f ca="1">+WORLDCUP!BD60</f>
        <v>Escocia</v>
      </c>
      <c r="G408" s="7" t="str">
        <f ca="1">+WORLDCUP!BD58</f>
        <v>Sudáfrica</v>
      </c>
      <c r="H408" s="7" t="str">
        <f ca="1">+WORLDCUP!BD63</f>
        <v>Japón</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Jordania</v>
      </c>
      <c r="E409" s="7" t="str">
        <f ca="1">+WORLDCUP!BD59</f>
        <v>Catar</v>
      </c>
      <c r="F409" s="7" t="str">
        <f ca="1">+WORLDCUP!BD60</f>
        <v>Escocia</v>
      </c>
      <c r="G409" s="7" t="str">
        <f ca="1">+WORLDCUP!BD58</f>
        <v>Sudáfrica</v>
      </c>
      <c r="H409" s="7" t="str">
        <f ca="1">+WORLDCUP!BD63</f>
        <v>Japón</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Jordania</v>
      </c>
      <c r="E410" s="7" t="str">
        <f ca="1">+WORLDCUP!BD59</f>
        <v>Catar</v>
      </c>
      <c r="F410" s="7" t="str">
        <f ca="1">+WORLDCUP!BD60</f>
        <v>Escocia</v>
      </c>
      <c r="G410" s="7" t="str">
        <f ca="1">+WORLDCUP!BD58</f>
        <v>Sudáfrica</v>
      </c>
      <c r="H410" s="7" t="str">
        <f ca="1">+WORLDCUP!BD63</f>
        <v>Japón</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Catar</v>
      </c>
      <c r="F411" s="7" t="str">
        <f ca="1">+WORLDCUP!BD60</f>
        <v>Escocia</v>
      </c>
      <c r="G411" s="7" t="str">
        <f ca="1">+WORLDCUP!BD58</f>
        <v>Sudáfrica</v>
      </c>
      <c r="H411" s="7" t="str">
        <f ca="1">+WORLDCUP!BD63</f>
        <v>Japón</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Jordania</v>
      </c>
      <c r="E412" s="7" t="str">
        <f ca="1">+WORLDCUP!BD59</f>
        <v>Catar</v>
      </c>
      <c r="F412" s="7" t="str">
        <f ca="1">+WORLDCUP!BD60</f>
        <v>Escocia</v>
      </c>
      <c r="G412" s="7" t="str">
        <f ca="1">+WORLDCUP!BD58</f>
        <v>Sudáfrica</v>
      </c>
      <c r="H412" s="7" t="str">
        <f ca="1">+WORLDCUP!BD63</f>
        <v>Japón</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Jordania</v>
      </c>
      <c r="E413" s="7" t="str">
        <f ca="1">+WORLDCUP!BD59</f>
        <v>Catar</v>
      </c>
      <c r="F413" s="7" t="str">
        <f ca="1">+WORLDCUP!BD60</f>
        <v>Escocia</v>
      </c>
      <c r="G413" s="7" t="str">
        <f ca="1">+WORLDCUP!BD58</f>
        <v>Sudáfrica</v>
      </c>
      <c r="H413" s="7" t="str">
        <f ca="1">+WORLDCUP!BD63</f>
        <v>Japón</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Catar</v>
      </c>
      <c r="F414" s="7" t="str">
        <f ca="1">+WORLDCUP!BD60</f>
        <v>Escocia</v>
      </c>
      <c r="G414" s="7" t="str">
        <f ca="1">+WORLDCUP!BD58</f>
        <v>Sudáfrica</v>
      </c>
      <c r="H414" s="7" t="str">
        <f ca="1">+WORLDCUP!BD63</f>
        <v>Japón</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Catar</v>
      </c>
      <c r="F415" s="7" t="str">
        <f ca="1">+WORLDCUP!BD60</f>
        <v>Escocia</v>
      </c>
      <c r="G415" s="7" t="str">
        <f ca="1">+WORLDCUP!BD58</f>
        <v>Sudáfrica</v>
      </c>
      <c r="H415" s="7" t="str">
        <f ca="1">+WORLDCUP!BD63</f>
        <v>Japón</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Jordania</v>
      </c>
      <c r="E416" s="7" t="str">
        <f ca="1">+WORLDCUP!BD59</f>
        <v>Catar</v>
      </c>
      <c r="F416" s="7" t="str">
        <f ca="1">+WORLDCUP!BD60</f>
        <v>Escocia</v>
      </c>
      <c r="G416" s="7" t="str">
        <f ca="1">+WORLDCUP!BD58</f>
        <v>Sudáfrica</v>
      </c>
      <c r="H416" s="7" t="str">
        <f ca="1">+WORLDCUP!BD63</f>
        <v>Japón</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Egipto</v>
      </c>
      <c r="E417" s="7" t="str">
        <f ca="1">+WORLDCUP!BD59</f>
        <v>Catar</v>
      </c>
      <c r="F417" s="7" t="str">
        <f ca="1">+WORLDCUP!BD60</f>
        <v>Escocia</v>
      </c>
      <c r="G417" s="7" t="str">
        <f ca="1">+WORLDCUP!BD58</f>
        <v>Sudáfrica</v>
      </c>
      <c r="H417" s="7" t="str">
        <f ca="1">+WORLDCUP!BD63</f>
        <v>Japón</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Egipto</v>
      </c>
      <c r="E418" s="7" t="str">
        <f ca="1">+WORLDCUP!BD59</f>
        <v>Catar</v>
      </c>
      <c r="F418" s="7" t="str">
        <f ca="1">+WORLDCUP!BD60</f>
        <v>Escocia</v>
      </c>
      <c r="G418" s="7" t="str">
        <f ca="1">+WORLDCUP!BD58</f>
        <v>Sudáfrica</v>
      </c>
      <c r="H418" s="7" t="str">
        <f ca="1">+WORLDCUP!BD63</f>
        <v>Japón</v>
      </c>
      <c r="I418" s="7" t="str">
        <f ca="1">+WORLDCUP!BD69</f>
        <v>Ghana</v>
      </c>
      <c r="J418" s="7" t="str">
        <f ca="1">+WORLDCUP!BD67</f>
        <v>Jordania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Egipto</v>
      </c>
      <c r="E419" s="7" t="str">
        <f ca="1">+WORLDCUP!BD59</f>
        <v>Catar</v>
      </c>
      <c r="F419" s="7" t="str">
        <f ca="1">+WORLDCUP!BD60</f>
        <v>Escocia</v>
      </c>
      <c r="G419" s="7" t="str">
        <f ca="1">+WORLDCUP!BD58</f>
        <v>Sudáfrica</v>
      </c>
      <c r="H419" s="7" t="str">
        <f ca="1">+WORLDCUP!BD63</f>
        <v>Japón</v>
      </c>
      <c r="I419" s="7" t="str">
        <f ca="1">+WORLDCUP!BD67</f>
        <v>Jordania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Egipto</v>
      </c>
      <c r="E420" s="7" t="str">
        <f ca="1">+WORLDCUP!BD59</f>
        <v>Catar</v>
      </c>
      <c r="F420" s="7" t="str">
        <f ca="1">+WORLDCUP!BD60</f>
        <v>Escocia</v>
      </c>
      <c r="G420" s="7" t="str">
        <f ca="1">+WORLDCUP!BD58</f>
        <v>Sudáfrica</v>
      </c>
      <c r="H420" s="7" t="str">
        <f ca="1">+WORLDCUP!BD63</f>
        <v>Japón</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Egipto</v>
      </c>
      <c r="E421" s="7" t="str">
        <f ca="1">+WORLDCUP!BD59</f>
        <v>Catar</v>
      </c>
      <c r="F421" s="7" t="str">
        <f ca="1">+WORLDCUP!BD60</f>
        <v>Escocia</v>
      </c>
      <c r="G421" s="7" t="str">
        <f ca="1">+WORLDCUP!BD58</f>
        <v>Sudáfrica</v>
      </c>
      <c r="H421" s="7" t="str">
        <f ca="1">+WORLDCUP!BD63</f>
        <v>Japón</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Egipto</v>
      </c>
      <c r="E422" s="7" t="str">
        <f ca="1">+WORLDCUP!BD59</f>
        <v>Catar</v>
      </c>
      <c r="F422" s="7" t="str">
        <f ca="1">+WORLDCUP!BD60</f>
        <v>Escocia</v>
      </c>
      <c r="G422" s="7" t="str">
        <f ca="1">+WORLDCUP!BD58</f>
        <v>Sudáfrica</v>
      </c>
      <c r="H422" s="7" t="str">
        <f ca="1">+WORLDCUP!BD63</f>
        <v>Japón</v>
      </c>
      <c r="I422" s="7" t="str">
        <f ca="1">+WORLDCUP!BD66</f>
        <v>Senegal</v>
      </c>
      <c r="J422" s="7" t="str">
        <f ca="1">+WORLDCUP!BD67</f>
        <v>Jordania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Egipto</v>
      </c>
      <c r="E423" s="7" t="str">
        <f ca="1">+WORLDCUP!BD59</f>
        <v>Catar</v>
      </c>
      <c r="F423" s="7" t="str">
        <f ca="1">+WORLDCUP!BD60</f>
        <v>Escocia</v>
      </c>
      <c r="G423" s="7" t="str">
        <f ca="1">+WORLDCUP!BD58</f>
        <v>Sudáfrica</v>
      </c>
      <c r="H423" s="7" t="str">
        <f ca="1">+WORLDCUP!BD63</f>
        <v>Japón</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Egipto</v>
      </c>
      <c r="E424" s="7" t="str">
        <f ca="1">+WORLDCUP!BD59</f>
        <v>Catar</v>
      </c>
      <c r="F424" s="7" t="str">
        <f ca="1">+WORLDCUP!BD60</f>
        <v>Escocia</v>
      </c>
      <c r="G424" s="7" t="str">
        <f ca="1">+WORLDCUP!BD58</f>
        <v>Sudáfrica</v>
      </c>
      <c r="H424" s="7" t="str">
        <f ca="1">+WORLDCUP!BD63</f>
        <v>Japón</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Egipto</v>
      </c>
      <c r="E425" s="7" t="str">
        <f ca="1">+WORLDCUP!BD59</f>
        <v>Catar</v>
      </c>
      <c r="F425" s="7" t="str">
        <f ca="1">+WORLDCUP!BD60</f>
        <v>Escocia</v>
      </c>
      <c r="G425" s="7" t="str">
        <f ca="1">+WORLDCUP!BD58</f>
        <v>Sudáfrica</v>
      </c>
      <c r="H425" s="7" t="str">
        <f ca="1">+WORLDCUP!BD63</f>
        <v>Japón</v>
      </c>
      <c r="I425" s="7" t="str">
        <f ca="1">+WORLDCUP!BD62</f>
        <v>Costa de Marfil</v>
      </c>
      <c r="J425" s="7" t="str">
        <f ca="1">+WORLDCUP!BD67</f>
        <v>Jordania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Egipto</v>
      </c>
      <c r="E426" s="7" t="str">
        <f ca="1">+WORLDCUP!BD59</f>
        <v>Catar</v>
      </c>
      <c r="F426" s="7" t="str">
        <f ca="1">+WORLDCUP!BD60</f>
        <v>Escocia</v>
      </c>
      <c r="G426" s="7" t="str">
        <f ca="1">+WORLDCUP!BD58</f>
        <v>Sudáfrica</v>
      </c>
      <c r="H426" s="7" t="str">
        <f ca="1">+WORLDCUP!BD63</f>
        <v>Japón</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Jordania</v>
      </c>
      <c r="E427" s="7" t="str">
        <f ca="1">+WORLDCUP!BD59</f>
        <v>Catar</v>
      </c>
      <c r="F427" s="7" t="str">
        <f ca="1">+WORLDCUP!BD60</f>
        <v>Escocia</v>
      </c>
      <c r="G427" s="7" t="str">
        <f ca="1">+WORLDCUP!BD58</f>
        <v>Sudáfrica</v>
      </c>
      <c r="H427" s="7" t="str">
        <f ca="1">+WORLDCUP!BD61</f>
        <v>Turquía</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Jordania</v>
      </c>
      <c r="E428" s="7" t="str">
        <f ca="1">+WORLDCUP!BD59</f>
        <v>Catar</v>
      </c>
      <c r="F428" s="7" t="str">
        <f ca="1">+WORLDCUP!BD60</f>
        <v>Escocia</v>
      </c>
      <c r="G428" s="7" t="str">
        <f ca="1">+WORLDCUP!BD58</f>
        <v>Sudáfrica</v>
      </c>
      <c r="H428" s="7" t="str">
        <f ca="1">+WORLDCUP!BD61</f>
        <v>Turquía</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Catar</v>
      </c>
      <c r="F429" s="7" t="str">
        <f ca="1">+WORLDCUP!BD60</f>
        <v>Escocia</v>
      </c>
      <c r="G429" s="7" t="str">
        <f ca="1">+WORLDCUP!BD58</f>
        <v>Sudáfrica</v>
      </c>
      <c r="H429" s="7" t="str">
        <f ca="1">+WORLDCUP!BD61</f>
        <v>Turquía</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Jordania</v>
      </c>
      <c r="E430" s="7" t="str">
        <f ca="1">+WORLDCUP!BD59</f>
        <v>Catar</v>
      </c>
      <c r="F430" s="7" t="str">
        <f ca="1">+WORLDCUP!BD60</f>
        <v>Escocia</v>
      </c>
      <c r="G430" s="7" t="str">
        <f ca="1">+WORLDCUP!BD58</f>
        <v>Sudáfrica</v>
      </c>
      <c r="H430" s="7" t="str">
        <f ca="1">+WORLDCUP!BD61</f>
        <v>Turquía</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Jordania</v>
      </c>
      <c r="E431" s="7" t="str">
        <f ca="1">+WORLDCUP!BD59</f>
        <v>Catar</v>
      </c>
      <c r="F431" s="7" t="str">
        <f ca="1">+WORLDCUP!BD60</f>
        <v>Escocia</v>
      </c>
      <c r="G431" s="7" t="str">
        <f ca="1">+WORLDCUP!BD58</f>
        <v>Sudáfrica</v>
      </c>
      <c r="H431" s="7" t="str">
        <f ca="1">+WORLDCUP!BD61</f>
        <v>Turquía</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Jordania</v>
      </c>
      <c r="E432" s="7" t="str">
        <f ca="1">+WORLDCUP!BD59</f>
        <v>Catar</v>
      </c>
      <c r="F432" s="7" t="str">
        <f ca="1">+WORLDCUP!BD61</f>
        <v>Turquía</v>
      </c>
      <c r="G432" s="7" t="str">
        <f ca="1">+WORLDCUP!BD58</f>
        <v>Sudáfrica</v>
      </c>
      <c r="H432" s="7" t="str">
        <f ca="1">+WORLDCUP!BD64</f>
        <v>Egipto</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Egipto</v>
      </c>
      <c r="E433" s="7" t="str">
        <f ca="1">+WORLDCUP!BD59</f>
        <v>Catar</v>
      </c>
      <c r="F433" s="7" t="str">
        <f ca="1">+WORLDCUP!BD60</f>
        <v>Escocia</v>
      </c>
      <c r="G433" s="7" t="str">
        <f ca="1">+WORLDCUP!BD58</f>
        <v>Sudáfrica</v>
      </c>
      <c r="H433" s="7" t="str">
        <f ca="1">+WORLDCUP!BD61</f>
        <v>Turquía</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Jordania</v>
      </c>
      <c r="E434" s="7" t="str">
        <f ca="1">+WORLDCUP!BD59</f>
        <v>Catar</v>
      </c>
      <c r="F434" s="7" t="str">
        <f ca="1">+WORLDCUP!BD61</f>
        <v>Turquía</v>
      </c>
      <c r="G434" s="7" t="str">
        <f ca="1">+WORLDCUP!BD58</f>
        <v>Sudáfrica</v>
      </c>
      <c r="H434" s="7" t="str">
        <f ca="1">+WORLDCUP!BD64</f>
        <v>Egipto</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Jordania</v>
      </c>
      <c r="E435" s="7" t="str">
        <f ca="1">+WORLDCUP!BD59</f>
        <v>Catar</v>
      </c>
      <c r="F435" s="7" t="str">
        <f ca="1">+WORLDCUP!BD61</f>
        <v>Turquía</v>
      </c>
      <c r="G435" s="7" t="str">
        <f ca="1">+WORLDCUP!BD58</f>
        <v>Sudáfrica</v>
      </c>
      <c r="H435" s="7" t="str">
        <f ca="1">+WORLDCUP!BD64</f>
        <v>Egipto</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Egipto</v>
      </c>
      <c r="E436" s="7" t="str">
        <f ca="1">+WORLDCUP!BD59</f>
        <v>Catar</v>
      </c>
      <c r="F436" s="7" t="str">
        <f ca="1">+WORLDCUP!BD60</f>
        <v>Escocia</v>
      </c>
      <c r="G436" s="7" t="str">
        <f ca="1">+WORLDCUP!BD58</f>
        <v>Sudáfrica</v>
      </c>
      <c r="H436" s="7" t="str">
        <f ca="1">+WORLDCUP!BD61</f>
        <v>Turquía</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Egipto</v>
      </c>
      <c r="E437" s="7" t="str">
        <f ca="1">+WORLDCUP!BD59</f>
        <v>Catar</v>
      </c>
      <c r="F437" s="7" t="str">
        <f ca="1">+WORLDCUP!BD60</f>
        <v>Escocia</v>
      </c>
      <c r="G437" s="7" t="str">
        <f ca="1">+WORLDCUP!BD58</f>
        <v>Sudáfrica</v>
      </c>
      <c r="H437" s="7" t="str">
        <f ca="1">+WORLDCUP!BD61</f>
        <v>Turquía</v>
      </c>
      <c r="I437" s="7" t="str">
        <f ca="1">+WORLDCUP!BD69</f>
        <v>Ghana</v>
      </c>
      <c r="J437" s="7" t="str">
        <f ca="1">+WORLDCUP!BD67</f>
        <v>Jordania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Egipto</v>
      </c>
      <c r="E438" s="7" t="str">
        <f ca="1">+WORLDCUP!BD59</f>
        <v>Catar</v>
      </c>
      <c r="F438" s="7" t="str">
        <f ca="1">+WORLDCUP!BD60</f>
        <v>Escocia</v>
      </c>
      <c r="G438" s="7" t="str">
        <f ca="1">+WORLDCUP!BD58</f>
        <v>Sudáfrica</v>
      </c>
      <c r="H438" s="7" t="str">
        <f ca="1">+WORLDCUP!BD61</f>
        <v>Turquía</v>
      </c>
      <c r="I438" s="7" t="str">
        <f ca="1">+WORLDCUP!BD67</f>
        <v>Jordania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Egipto</v>
      </c>
      <c r="E439" s="7" t="str">
        <f ca="1">+WORLDCUP!BD59</f>
        <v>Catar</v>
      </c>
      <c r="F439" s="7" t="str">
        <f ca="1">+WORLDCUP!BD60</f>
        <v>Escocia</v>
      </c>
      <c r="G439" s="7" t="str">
        <f ca="1">+WORLDCUP!BD58</f>
        <v>Sudáfrica</v>
      </c>
      <c r="H439" s="7" t="str">
        <f ca="1">+WORLDCUP!BD61</f>
        <v>Turquía</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Egipto</v>
      </c>
      <c r="E440" s="7" t="str">
        <f ca="1">+WORLDCUP!BD59</f>
        <v>Catar</v>
      </c>
      <c r="F440" s="7" t="str">
        <f ca="1">+WORLDCUP!BD60</f>
        <v>Escocia</v>
      </c>
      <c r="G440" s="7" t="str">
        <f ca="1">+WORLDCUP!BD58</f>
        <v>Sudáfrica</v>
      </c>
      <c r="H440" s="7" t="str">
        <f ca="1">+WORLDCUP!BD61</f>
        <v>Turquía</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Egipto</v>
      </c>
      <c r="E441" s="7" t="str">
        <f ca="1">+WORLDCUP!BD59</f>
        <v>Catar</v>
      </c>
      <c r="F441" s="7" t="str">
        <f ca="1">+WORLDCUP!BD60</f>
        <v>Escocia</v>
      </c>
      <c r="G441" s="7" t="str">
        <f ca="1">+WORLDCUP!BD58</f>
        <v>Sudáfrica</v>
      </c>
      <c r="H441" s="7" t="str">
        <f ca="1">+WORLDCUP!BD61</f>
        <v>Turquía</v>
      </c>
      <c r="I441" s="7" t="str">
        <f ca="1">+WORLDCUP!BD66</f>
        <v>Senegal</v>
      </c>
      <c r="J441" s="7" t="str">
        <f ca="1">+WORLDCUP!BD67</f>
        <v>Jordania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Jordania</v>
      </c>
      <c r="E442" s="7" t="str">
        <f ca="1">+WORLDCUP!BD59</f>
        <v>Catar</v>
      </c>
      <c r="F442" s="7" t="str">
        <f ca="1">+WORLDCUP!BD61</f>
        <v>Turquía</v>
      </c>
      <c r="G442" s="7" t="str">
        <f ca="1">+WORLDCUP!BD58</f>
        <v>Sudáfrica</v>
      </c>
      <c r="H442" s="7" t="str">
        <f ca="1">+WORLDCUP!BD63</f>
        <v>Japón</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Catar</v>
      </c>
      <c r="F443" s="7" t="str">
        <f ca="1">+WORLDCUP!BD61</f>
        <v>Turquía</v>
      </c>
      <c r="G443" s="7" t="str">
        <f ca="1">+WORLDCUP!BD58</f>
        <v>Sudáfrica</v>
      </c>
      <c r="H443" s="7" t="str">
        <f ca="1">+WORLDCUP!BD63</f>
        <v>Japón</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Jordania</v>
      </c>
      <c r="E444" s="7" t="str">
        <f ca="1">+WORLDCUP!BD59</f>
        <v>Catar</v>
      </c>
      <c r="F444" s="7" t="str">
        <f ca="1">+WORLDCUP!BD61</f>
        <v>Turquía</v>
      </c>
      <c r="G444" s="7" t="str">
        <f ca="1">+WORLDCUP!BD58</f>
        <v>Sudáfrica</v>
      </c>
      <c r="H444" s="7" t="str">
        <f ca="1">+WORLDCUP!BD63</f>
        <v>Japón</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Jordania</v>
      </c>
      <c r="E445" s="7" t="str">
        <f ca="1">+WORLDCUP!BD59</f>
        <v>Catar</v>
      </c>
      <c r="F445" s="7" t="str">
        <f ca="1">+WORLDCUP!BD61</f>
        <v>Turquía</v>
      </c>
      <c r="G445" s="7" t="str">
        <f ca="1">+WORLDCUP!BD58</f>
        <v>Sudáfrica</v>
      </c>
      <c r="H445" s="7" t="str">
        <f ca="1">+WORLDCUP!BD63</f>
        <v>Japón</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Japón</v>
      </c>
      <c r="E446" s="7" t="str">
        <f ca="1">+WORLDCUP!BD59</f>
        <v>Catar</v>
      </c>
      <c r="F446" s="7" t="str">
        <f ca="1">+WORLDCUP!BD60</f>
        <v>Escocia</v>
      </c>
      <c r="G446" s="7" t="str">
        <f ca="1">+WORLDCUP!BD58</f>
        <v>Sudáfrica</v>
      </c>
      <c r="H446" s="7" t="str">
        <f ca="1">+WORLDCUP!BD61</f>
        <v>Turquía</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Jordania</v>
      </c>
      <c r="E447" s="7" t="str">
        <f ca="1">+WORLDCUP!BD59</f>
        <v>Catar</v>
      </c>
      <c r="F447" s="7" t="str">
        <f ca="1">+WORLDCUP!BD61</f>
        <v>Turquía</v>
      </c>
      <c r="G447" s="7" t="str">
        <f ca="1">+WORLDCUP!BD58</f>
        <v>Sudáfrica</v>
      </c>
      <c r="H447" s="7" t="str">
        <f ca="1">+WORLDCUP!BD63</f>
        <v>Japón</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Jordania</v>
      </c>
      <c r="E448" s="7" t="str">
        <f ca="1">+WORLDCUP!BD59</f>
        <v>Catar</v>
      </c>
      <c r="F448" s="7" t="str">
        <f ca="1">+WORLDCUP!BD60</f>
        <v>Escocia</v>
      </c>
      <c r="G448" s="7" t="str">
        <f ca="1">+WORLDCUP!BD58</f>
        <v>Sudáfrica</v>
      </c>
      <c r="H448" s="7" t="str">
        <f ca="1">+WORLDCUP!BD63</f>
        <v>Japón</v>
      </c>
      <c r="I448" s="7" t="str">
        <f ca="1">+WORLDCUP!BD61</f>
        <v>Turquía</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Japón</v>
      </c>
      <c r="E449" s="7" t="str">
        <f ca="1">+WORLDCUP!BD59</f>
        <v>Catar</v>
      </c>
      <c r="F449" s="7" t="str">
        <f ca="1">+WORLDCUP!BD60</f>
        <v>Escocia</v>
      </c>
      <c r="G449" s="7" t="str">
        <f ca="1">+WORLDCUP!BD58</f>
        <v>Sudáfrica</v>
      </c>
      <c r="H449" s="7" t="str">
        <f ca="1">+WORLDCUP!BD61</f>
        <v>Turquía</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Japón</v>
      </c>
      <c r="E450" s="7" t="str">
        <f ca="1">+WORLDCUP!BD59</f>
        <v>Catar</v>
      </c>
      <c r="F450" s="7" t="str">
        <f ca="1">+WORLDCUP!BD60</f>
        <v>Escocia</v>
      </c>
      <c r="G450" s="7" t="str">
        <f ca="1">+WORLDCUP!BD58</f>
        <v>Sudáfrica</v>
      </c>
      <c r="H450" s="7" t="str">
        <f ca="1">+WORLDCUP!BD61</f>
        <v>Turquía</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Jordania</v>
      </c>
      <c r="E451" s="7" t="str">
        <f ca="1">+WORLDCUP!BD59</f>
        <v>Catar</v>
      </c>
      <c r="F451" s="7" t="str">
        <f ca="1">+WORLDCUP!BD60</f>
        <v>Escocia</v>
      </c>
      <c r="G451" s="7" t="str">
        <f ca="1">+WORLDCUP!BD58</f>
        <v>Sudáfrica</v>
      </c>
      <c r="H451" s="7" t="str">
        <f ca="1">+WORLDCUP!BD63</f>
        <v>Japón</v>
      </c>
      <c r="I451" s="7" t="str">
        <f ca="1">+WORLDCUP!BD61</f>
        <v>Turquía</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Egipto</v>
      </c>
      <c r="E452" s="7" t="str">
        <f ca="1">+WORLDCUP!BD59</f>
        <v>Catar</v>
      </c>
      <c r="F452" s="7" t="str">
        <f ca="1">+WORLDCUP!BD61</f>
        <v>Turquía</v>
      </c>
      <c r="G452" s="7" t="str">
        <f ca="1">+WORLDCUP!BD58</f>
        <v>Sudáfrica</v>
      </c>
      <c r="H452" s="7" t="str">
        <f ca="1">+WORLDCUP!BD63</f>
        <v>Japón</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Egipto</v>
      </c>
      <c r="E453" s="7" t="str">
        <f ca="1">+WORLDCUP!BD59</f>
        <v>Catar</v>
      </c>
      <c r="F453" s="7" t="str">
        <f ca="1">+WORLDCUP!BD61</f>
        <v>Turquía</v>
      </c>
      <c r="G453" s="7" t="str">
        <f ca="1">+WORLDCUP!BD58</f>
        <v>Sudáfrica</v>
      </c>
      <c r="H453" s="7" t="str">
        <f ca="1">+WORLDCUP!BD63</f>
        <v>Japón</v>
      </c>
      <c r="I453" s="7" t="str">
        <f ca="1">+WORLDCUP!BD69</f>
        <v>Ghana</v>
      </c>
      <c r="J453" s="7" t="str">
        <f ca="1">+WORLDCUP!BD67</f>
        <v>Jordania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Egipto</v>
      </c>
      <c r="E454" s="7" t="str">
        <f ca="1">+WORLDCUP!BD59</f>
        <v>Catar</v>
      </c>
      <c r="F454" s="7" t="str">
        <f ca="1">+WORLDCUP!BD61</f>
        <v>Turquía</v>
      </c>
      <c r="G454" s="7" t="str">
        <f ca="1">+WORLDCUP!BD58</f>
        <v>Sudáfrica</v>
      </c>
      <c r="H454" s="7" t="str">
        <f ca="1">+WORLDCUP!BD63</f>
        <v>Japón</v>
      </c>
      <c r="I454" s="7" t="str">
        <f ca="1">+WORLDCUP!BD67</f>
        <v>Jordania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Egipto</v>
      </c>
      <c r="E455" s="7" t="str">
        <f ca="1">+WORLDCUP!BD59</f>
        <v>Catar</v>
      </c>
      <c r="F455" s="7" t="str">
        <f ca="1">+WORLDCUP!BD61</f>
        <v>Turquía</v>
      </c>
      <c r="G455" s="7" t="str">
        <f ca="1">+WORLDCUP!BD58</f>
        <v>Sudáfrica</v>
      </c>
      <c r="H455" s="7" t="str">
        <f ca="1">+WORLDCUP!BD63</f>
        <v>Japón</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Egipto</v>
      </c>
      <c r="E456" s="7" t="str">
        <f ca="1">+WORLDCUP!BD59</f>
        <v>Catar</v>
      </c>
      <c r="F456" s="7" t="str">
        <f ca="1">+WORLDCUP!BD61</f>
        <v>Turquía</v>
      </c>
      <c r="G456" s="7" t="str">
        <f ca="1">+WORLDCUP!BD58</f>
        <v>Sudáfrica</v>
      </c>
      <c r="H456" s="7" t="str">
        <f ca="1">+WORLDCUP!BD63</f>
        <v>Japón</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Egipto</v>
      </c>
      <c r="E457" s="7" t="str">
        <f ca="1">+WORLDCUP!BD59</f>
        <v>Catar</v>
      </c>
      <c r="F457" s="7" t="str">
        <f ca="1">+WORLDCUP!BD61</f>
        <v>Turquía</v>
      </c>
      <c r="G457" s="7" t="str">
        <f ca="1">+WORLDCUP!BD58</f>
        <v>Sudáfrica</v>
      </c>
      <c r="H457" s="7" t="str">
        <f ca="1">+WORLDCUP!BD63</f>
        <v>Japón</v>
      </c>
      <c r="I457" s="7" t="str">
        <f ca="1">+WORLDCUP!BD66</f>
        <v>Senegal</v>
      </c>
      <c r="J457" s="7" t="str">
        <f ca="1">+WORLDCUP!BD67</f>
        <v>Jordania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Egipto</v>
      </c>
      <c r="E458" s="7" t="str">
        <f ca="1">+WORLDCUP!BD59</f>
        <v>Catar</v>
      </c>
      <c r="F458" s="7" t="str">
        <f ca="1">+WORLDCUP!BD61</f>
        <v>Turquía</v>
      </c>
      <c r="G458" s="7" t="str">
        <f ca="1">+WORLDCUP!BD58</f>
        <v>Sudáfrica</v>
      </c>
      <c r="H458" s="7" t="str">
        <f ca="1">+WORLDCUP!BD63</f>
        <v>Japón</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Egipto</v>
      </c>
      <c r="E459" s="7" t="str">
        <f ca="1">+WORLDCUP!BD59</f>
        <v>Catar</v>
      </c>
      <c r="F459" s="7" t="str">
        <f ca="1">+WORLDCUP!BD60</f>
        <v>Escocia</v>
      </c>
      <c r="G459" s="7" t="str">
        <f ca="1">+WORLDCUP!BD58</f>
        <v>Sudáfrica</v>
      </c>
      <c r="H459" s="7" t="str">
        <f ca="1">+WORLDCUP!BD63</f>
        <v>Japón</v>
      </c>
      <c r="I459" s="7" t="str">
        <f ca="1">+WORLDCUP!BD61</f>
        <v>Turquía</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Egipto</v>
      </c>
      <c r="E460" s="7" t="str">
        <f ca="1">+WORLDCUP!BD59</f>
        <v>Catar</v>
      </c>
      <c r="F460" s="7" t="str">
        <f ca="1">+WORLDCUP!BD60</f>
        <v>Escocia</v>
      </c>
      <c r="G460" s="7" t="str">
        <f ca="1">+WORLDCUP!BD58</f>
        <v>Sudáfrica</v>
      </c>
      <c r="H460" s="7" t="str">
        <f ca="1">+WORLDCUP!BD63</f>
        <v>Japón</v>
      </c>
      <c r="I460" s="7" t="str">
        <f ca="1">+WORLDCUP!BD61</f>
        <v>Turquía</v>
      </c>
      <c r="J460" s="7" t="str">
        <f ca="1">+WORLDCUP!BD67</f>
        <v>Jordania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Egipto</v>
      </c>
      <c r="E461" s="7" t="str">
        <f ca="1">+WORLDCUP!BD59</f>
        <v>Catar</v>
      </c>
      <c r="F461" s="7" t="str">
        <f ca="1">+WORLDCUP!BD60</f>
        <v>Escocia</v>
      </c>
      <c r="G461" s="7" t="str">
        <f ca="1">+WORLDCUP!BD58</f>
        <v>Sudáfrica</v>
      </c>
      <c r="H461" s="7" t="str">
        <f ca="1">+WORLDCUP!BD63</f>
        <v>Japón</v>
      </c>
      <c r="I461" s="7" t="str">
        <f ca="1">+WORLDCUP!BD61</f>
        <v>Turquía</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Jordania</v>
      </c>
      <c r="E462" s="7" t="str">
        <f ca="1">+WORLDCUP!BD59</f>
        <v>Catar</v>
      </c>
      <c r="F462" s="7" t="str">
        <f ca="1">+WORLDCUP!BD60</f>
        <v>Escocia</v>
      </c>
      <c r="G462" s="7" t="str">
        <f ca="1">+WORLDCUP!BD58</f>
        <v>Sudáfrica</v>
      </c>
      <c r="H462" s="7" t="str">
        <f ca="1">+WORLDCUP!BD61</f>
        <v>Turquía</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Catar</v>
      </c>
      <c r="F463" s="7" t="str">
        <f ca="1">+WORLDCUP!BD60</f>
        <v>Escocia</v>
      </c>
      <c r="G463" s="7" t="str">
        <f ca="1">+WORLDCUP!BD58</f>
        <v>Sudáfrica</v>
      </c>
      <c r="H463" s="7" t="str">
        <f ca="1">+WORLDCUP!BD61</f>
        <v>Turquía</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Jordania</v>
      </c>
      <c r="E464" s="7" t="str">
        <f ca="1">+WORLDCUP!BD59</f>
        <v>Catar</v>
      </c>
      <c r="F464" s="7" t="str">
        <f ca="1">+WORLDCUP!BD60</f>
        <v>Escocia</v>
      </c>
      <c r="G464" s="7" t="str">
        <f ca="1">+WORLDCUP!BD58</f>
        <v>Sudáfrica</v>
      </c>
      <c r="H464" s="7" t="str">
        <f ca="1">+WORLDCUP!BD61</f>
        <v>Turquía</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Jordania</v>
      </c>
      <c r="E465" s="7" t="str">
        <f ca="1">+WORLDCUP!BD59</f>
        <v>Catar</v>
      </c>
      <c r="F465" s="7" t="str">
        <f ca="1">+WORLDCUP!BD60</f>
        <v>Escocia</v>
      </c>
      <c r="G465" s="7" t="str">
        <f ca="1">+WORLDCUP!BD58</f>
        <v>Sudáfrica</v>
      </c>
      <c r="H465" s="7" t="str">
        <f ca="1">+WORLDCUP!BD61</f>
        <v>Turquía</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Catar</v>
      </c>
      <c r="F466" s="7" t="str">
        <f ca="1">+WORLDCUP!BD60</f>
        <v>Escocia</v>
      </c>
      <c r="G466" s="7" t="str">
        <f ca="1">+WORLDCUP!BD58</f>
        <v>Sudáfrica</v>
      </c>
      <c r="H466" s="7" t="str">
        <f ca="1">+WORLDCUP!BD61</f>
        <v>Turquía</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Jordania</v>
      </c>
      <c r="E467" s="7" t="str">
        <f ca="1">+WORLDCUP!BD59</f>
        <v>Catar</v>
      </c>
      <c r="F467" s="7" t="str">
        <f ca="1">+WORLDCUP!BD60</f>
        <v>Escocia</v>
      </c>
      <c r="G467" s="7" t="str">
        <f ca="1">+WORLDCUP!BD58</f>
        <v>Sudáfrica</v>
      </c>
      <c r="H467" s="7" t="str">
        <f ca="1">+WORLDCUP!BD61</f>
        <v>Turquía</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Jordania</v>
      </c>
      <c r="E468" s="7" t="str">
        <f ca="1">+WORLDCUP!BD59</f>
        <v>Catar</v>
      </c>
      <c r="F468" s="7" t="str">
        <f ca="1">+WORLDCUP!BD60</f>
        <v>Escocia</v>
      </c>
      <c r="G468" s="7" t="str">
        <f ca="1">+WORLDCUP!BD58</f>
        <v>Sudáfrica</v>
      </c>
      <c r="H468" s="7" t="str">
        <f ca="1">+WORLDCUP!BD61</f>
        <v>Turquía</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Catar</v>
      </c>
      <c r="F469" s="7" t="str">
        <f ca="1">+WORLDCUP!BD60</f>
        <v>Escocia</v>
      </c>
      <c r="G469" s="7" t="str">
        <f ca="1">+WORLDCUP!BD58</f>
        <v>Sudáfrica</v>
      </c>
      <c r="H469" s="7" t="str">
        <f ca="1">+WORLDCUP!BD61</f>
        <v>Turquía</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Catar</v>
      </c>
      <c r="F470" s="7" t="str">
        <f ca="1">+WORLDCUP!BD60</f>
        <v>Escocia</v>
      </c>
      <c r="G470" s="7" t="str">
        <f ca="1">+WORLDCUP!BD58</f>
        <v>Sudáfrica</v>
      </c>
      <c r="H470" s="7" t="str">
        <f ca="1">+WORLDCUP!BD61</f>
        <v>Turquía</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Jordania</v>
      </c>
      <c r="E471" s="7" t="str">
        <f ca="1">+WORLDCUP!BD59</f>
        <v>Catar</v>
      </c>
      <c r="F471" s="7" t="str">
        <f ca="1">+WORLDCUP!BD60</f>
        <v>Escocia</v>
      </c>
      <c r="G471" s="7" t="str">
        <f ca="1">+WORLDCUP!BD58</f>
        <v>Sudáfrica</v>
      </c>
      <c r="H471" s="7" t="str">
        <f ca="1">+WORLDCUP!BD61</f>
        <v>Turquía</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Egipto</v>
      </c>
      <c r="E472" s="7" t="str">
        <f ca="1">+WORLDCUP!BD59</f>
        <v>Catar</v>
      </c>
      <c r="F472" s="7" t="str">
        <f ca="1">+WORLDCUP!BD60</f>
        <v>Escocia</v>
      </c>
      <c r="G472" s="7" t="str">
        <f ca="1">+WORLDCUP!BD58</f>
        <v>Sudáfrica</v>
      </c>
      <c r="H472" s="7" t="str">
        <f ca="1">+WORLDCUP!BD61</f>
        <v>Turquía</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Egipto</v>
      </c>
      <c r="E473" s="7" t="str">
        <f ca="1">+WORLDCUP!BD59</f>
        <v>Catar</v>
      </c>
      <c r="F473" s="7" t="str">
        <f ca="1">+WORLDCUP!BD60</f>
        <v>Escocia</v>
      </c>
      <c r="G473" s="7" t="str">
        <f ca="1">+WORLDCUP!BD58</f>
        <v>Sudáfrica</v>
      </c>
      <c r="H473" s="7" t="str">
        <f ca="1">+WORLDCUP!BD61</f>
        <v>Turquía</v>
      </c>
      <c r="I473" s="7" t="str">
        <f ca="1">+WORLDCUP!BD69</f>
        <v>Ghana</v>
      </c>
      <c r="J473" s="7" t="str">
        <f ca="1">+WORLDCUP!BD67</f>
        <v>Jordania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Egipto</v>
      </c>
      <c r="E474" s="7" t="str">
        <f ca="1">+WORLDCUP!BD59</f>
        <v>Catar</v>
      </c>
      <c r="F474" s="7" t="str">
        <f ca="1">+WORLDCUP!BD60</f>
        <v>Escocia</v>
      </c>
      <c r="G474" s="7" t="str">
        <f ca="1">+WORLDCUP!BD58</f>
        <v>Sudáfrica</v>
      </c>
      <c r="H474" s="7" t="str">
        <f ca="1">+WORLDCUP!BD61</f>
        <v>Turquía</v>
      </c>
      <c r="I474" s="7" t="str">
        <f ca="1">+WORLDCUP!BD67</f>
        <v>Jordania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Egipto</v>
      </c>
      <c r="E475" s="7" t="str">
        <f ca="1">+WORLDCUP!BD59</f>
        <v>Catar</v>
      </c>
      <c r="F475" s="7" t="str">
        <f ca="1">+WORLDCUP!BD60</f>
        <v>Escocia</v>
      </c>
      <c r="G475" s="7" t="str">
        <f ca="1">+WORLDCUP!BD58</f>
        <v>Sudáfrica</v>
      </c>
      <c r="H475" s="7" t="str">
        <f ca="1">+WORLDCUP!BD61</f>
        <v>Turquía</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Egipto</v>
      </c>
      <c r="E476" s="7" t="str">
        <f ca="1">+WORLDCUP!BD59</f>
        <v>Catar</v>
      </c>
      <c r="F476" s="7" t="str">
        <f ca="1">+WORLDCUP!BD60</f>
        <v>Escocia</v>
      </c>
      <c r="G476" s="7" t="str">
        <f ca="1">+WORLDCUP!BD58</f>
        <v>Sudáfrica</v>
      </c>
      <c r="H476" s="7" t="str">
        <f ca="1">+WORLDCUP!BD61</f>
        <v>Turquía</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Egipto</v>
      </c>
      <c r="E477" s="7" t="str">
        <f ca="1">+WORLDCUP!BD59</f>
        <v>Catar</v>
      </c>
      <c r="F477" s="7" t="str">
        <f ca="1">+WORLDCUP!BD60</f>
        <v>Escocia</v>
      </c>
      <c r="G477" s="7" t="str">
        <f ca="1">+WORLDCUP!BD58</f>
        <v>Sudáfrica</v>
      </c>
      <c r="H477" s="7" t="str">
        <f ca="1">+WORLDCUP!BD61</f>
        <v>Turquía</v>
      </c>
      <c r="I477" s="7" t="str">
        <f ca="1">+WORLDCUP!BD66</f>
        <v>Senegal</v>
      </c>
      <c r="J477" s="7" t="str">
        <f ca="1">+WORLDCUP!BD67</f>
        <v>Jordania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Egipto</v>
      </c>
      <c r="E478" s="7" t="str">
        <f ca="1">+WORLDCUP!BD59</f>
        <v>Catar</v>
      </c>
      <c r="F478" s="7" t="str">
        <f ca="1">+WORLDCUP!BD60</f>
        <v>Escocia</v>
      </c>
      <c r="G478" s="7" t="str">
        <f ca="1">+WORLDCUP!BD58</f>
        <v>Sudáfrica</v>
      </c>
      <c r="H478" s="7" t="str">
        <f ca="1">+WORLDCUP!BD61</f>
        <v>Turquía</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Egipto</v>
      </c>
      <c r="E479" s="7" t="str">
        <f ca="1">+WORLDCUP!BD59</f>
        <v>Catar</v>
      </c>
      <c r="F479" s="7" t="str">
        <f ca="1">+WORLDCUP!BD60</f>
        <v>Escocia</v>
      </c>
      <c r="G479" s="7" t="str">
        <f ca="1">+WORLDCUP!BD58</f>
        <v>Sudáfrica</v>
      </c>
      <c r="H479" s="7" t="str">
        <f ca="1">+WORLDCUP!BD61</f>
        <v>Turquía</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Egipto</v>
      </c>
      <c r="E480" s="7" t="str">
        <f ca="1">+WORLDCUP!BD59</f>
        <v>Catar</v>
      </c>
      <c r="F480" s="7" t="str">
        <f ca="1">+WORLDCUP!BD60</f>
        <v>Escocia</v>
      </c>
      <c r="G480" s="7" t="str">
        <f ca="1">+WORLDCUP!BD58</f>
        <v>Sudáfrica</v>
      </c>
      <c r="H480" s="7" t="str">
        <f ca="1">+WORLDCUP!BD61</f>
        <v>Turquía</v>
      </c>
      <c r="I480" s="7" t="str">
        <f ca="1">+WORLDCUP!BD62</f>
        <v>Costa de Marfil</v>
      </c>
      <c r="J480" s="7" t="str">
        <f ca="1">+WORLDCUP!BD67</f>
        <v>Jordania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Egipto</v>
      </c>
      <c r="E481" s="7" t="str">
        <f ca="1">+WORLDCUP!BD59</f>
        <v>Catar</v>
      </c>
      <c r="F481" s="7" t="str">
        <f ca="1">+WORLDCUP!BD60</f>
        <v>Escocia</v>
      </c>
      <c r="G481" s="7" t="str">
        <f ca="1">+WORLDCUP!BD58</f>
        <v>Sudáfrica</v>
      </c>
      <c r="H481" s="7" t="str">
        <f ca="1">+WORLDCUP!BD61</f>
        <v>Turquía</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Catar</v>
      </c>
      <c r="F482" s="7" t="str">
        <f ca="1">+WORLDCUP!BD61</f>
        <v>Turquía</v>
      </c>
      <c r="G482" s="7" t="str">
        <f ca="1">+WORLDCUP!BD58</f>
        <v>Sudáfrica</v>
      </c>
      <c r="H482" s="7" t="str">
        <f ca="1">+WORLDCUP!BD63</f>
        <v>Japón</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Jordania</v>
      </c>
      <c r="E483" s="7" t="str">
        <f ca="1">+WORLDCUP!BD59</f>
        <v>Catar</v>
      </c>
      <c r="F483" s="7" t="str">
        <f ca="1">+WORLDCUP!BD61</f>
        <v>Turquía</v>
      </c>
      <c r="G483" s="7" t="str">
        <f ca="1">+WORLDCUP!BD58</f>
        <v>Sudáfrica</v>
      </c>
      <c r="H483" s="7" t="str">
        <f ca="1">+WORLDCUP!BD63</f>
        <v>Japón</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Jordania</v>
      </c>
      <c r="E484" s="7" t="str">
        <f ca="1">+WORLDCUP!BD59</f>
        <v>Catar</v>
      </c>
      <c r="F484" s="7" t="str">
        <f ca="1">+WORLDCUP!BD61</f>
        <v>Turquía</v>
      </c>
      <c r="G484" s="7" t="str">
        <f ca="1">+WORLDCUP!BD58</f>
        <v>Sudáfrica</v>
      </c>
      <c r="H484" s="7" t="str">
        <f ca="1">+WORLDCUP!BD63</f>
        <v>Japón</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Catar</v>
      </c>
      <c r="F485" s="7" t="str">
        <f ca="1">+WORLDCUP!BD61</f>
        <v>Turquía</v>
      </c>
      <c r="G485" s="7" t="str">
        <f ca="1">+WORLDCUP!BD58</f>
        <v>Sudáfrica</v>
      </c>
      <c r="H485" s="7" t="str">
        <f ca="1">+WORLDCUP!BD63</f>
        <v>Japón</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Catar</v>
      </c>
      <c r="F486" s="7" t="str">
        <f ca="1">+WORLDCUP!BD61</f>
        <v>Turquía</v>
      </c>
      <c r="G486" s="7" t="str">
        <f ca="1">+WORLDCUP!BD58</f>
        <v>Sudáfrica</v>
      </c>
      <c r="H486" s="7" t="str">
        <f ca="1">+WORLDCUP!BD63</f>
        <v>Japón</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Jordania</v>
      </c>
      <c r="E487" s="7" t="str">
        <f ca="1">+WORLDCUP!BD59</f>
        <v>Catar</v>
      </c>
      <c r="F487" s="7" t="str">
        <f ca="1">+WORLDCUP!BD61</f>
        <v>Turquía</v>
      </c>
      <c r="G487" s="7" t="str">
        <f ca="1">+WORLDCUP!BD58</f>
        <v>Sudáfrica</v>
      </c>
      <c r="H487" s="7" t="str">
        <f ca="1">+WORLDCUP!BD63</f>
        <v>Japón</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Japón</v>
      </c>
      <c r="E488" s="7" t="str">
        <f ca="1">+WORLDCUP!BD59</f>
        <v>Catar</v>
      </c>
      <c r="F488" s="7" t="str">
        <f ca="1">+WORLDCUP!BD60</f>
        <v>Escocia</v>
      </c>
      <c r="G488" s="7" t="str">
        <f ca="1">+WORLDCUP!BD58</f>
        <v>Sudáfrica</v>
      </c>
      <c r="H488" s="7" t="str">
        <f ca="1">+WORLDCUP!BD61</f>
        <v>Turquía</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Catar</v>
      </c>
      <c r="F489" s="7" t="str">
        <f ca="1">+WORLDCUP!BD60</f>
        <v>Escocia</v>
      </c>
      <c r="G489" s="7" t="str">
        <f ca="1">+WORLDCUP!BD58</f>
        <v>Sudáfrica</v>
      </c>
      <c r="H489" s="7" t="str">
        <f ca="1">+WORLDCUP!BD63</f>
        <v>Japón</v>
      </c>
      <c r="I489" s="7" t="str">
        <f ca="1">+WORLDCUP!BD61</f>
        <v>Turquía</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Jordania</v>
      </c>
      <c r="E490" s="7" t="str">
        <f ca="1">+WORLDCUP!BD59</f>
        <v>Catar</v>
      </c>
      <c r="F490" s="7" t="str">
        <f ca="1">+WORLDCUP!BD60</f>
        <v>Escocia</v>
      </c>
      <c r="G490" s="7" t="str">
        <f ca="1">+WORLDCUP!BD58</f>
        <v>Sudáfrica</v>
      </c>
      <c r="H490" s="7" t="str">
        <f ca="1">+WORLDCUP!BD63</f>
        <v>Japón</v>
      </c>
      <c r="I490" s="7" t="str">
        <f ca="1">+WORLDCUP!BD61</f>
        <v>Turquía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Catar</v>
      </c>
      <c r="F491" s="7" t="str">
        <f ca="1">+WORLDCUP!BD60</f>
        <v>Escocia</v>
      </c>
      <c r="G491" s="7" t="str">
        <f ca="1">+WORLDCUP!BD58</f>
        <v>Sudáfrica</v>
      </c>
      <c r="H491" s="7" t="str">
        <f ca="1">+WORLDCUP!BD63</f>
        <v>Japón</v>
      </c>
      <c r="I491" s="7" t="str">
        <f ca="1">+WORLDCUP!BD61</f>
        <v>Turquía</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Egipto</v>
      </c>
      <c r="E492" s="7" t="str">
        <f ca="1">+WORLDCUP!BD59</f>
        <v>Catar</v>
      </c>
      <c r="F492" s="7" t="str">
        <f ca="1">+WORLDCUP!BD61</f>
        <v>Turquía</v>
      </c>
      <c r="G492" s="7" t="str">
        <f ca="1">+WORLDCUP!BD58</f>
        <v>Sudáfrica</v>
      </c>
      <c r="H492" s="7" t="str">
        <f ca="1">+WORLDCUP!BD63</f>
        <v>Japón</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Egipto</v>
      </c>
      <c r="E493" s="7" t="str">
        <f ca="1">+WORLDCUP!BD59</f>
        <v>Catar</v>
      </c>
      <c r="F493" s="7" t="str">
        <f ca="1">+WORLDCUP!BD61</f>
        <v>Turquía</v>
      </c>
      <c r="G493" s="7" t="str">
        <f ca="1">+WORLDCUP!BD58</f>
        <v>Sudáfrica</v>
      </c>
      <c r="H493" s="7" t="str">
        <f ca="1">+WORLDCUP!BD63</f>
        <v>Japón</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Egipto</v>
      </c>
      <c r="E494" s="7" t="str">
        <f ca="1">+WORLDCUP!BD59</f>
        <v>Catar</v>
      </c>
      <c r="F494" s="7" t="str">
        <f ca="1">+WORLDCUP!BD61</f>
        <v>Turquía</v>
      </c>
      <c r="G494" s="7" t="str">
        <f ca="1">+WORLDCUP!BD58</f>
        <v>Sudáfrica</v>
      </c>
      <c r="H494" s="7" t="str">
        <f ca="1">+WORLDCUP!BD63</f>
        <v>Japón</v>
      </c>
      <c r="I494" s="7" t="str">
        <f ca="1">+WORLDCUP!BD62</f>
        <v>Costa de Marfil</v>
      </c>
      <c r="J494" s="7" t="str">
        <f ca="1">+WORLDCUP!BD67</f>
        <v>Jordania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Egipto</v>
      </c>
      <c r="E495" s="7" t="str">
        <f ca="1">+WORLDCUP!BD59</f>
        <v>Catar</v>
      </c>
      <c r="F495" s="7" t="str">
        <f ca="1">+WORLDCUP!BD61</f>
        <v>Turquía</v>
      </c>
      <c r="G495" s="7" t="str">
        <f ca="1">+WORLDCUP!BD58</f>
        <v>Sudáfrica</v>
      </c>
      <c r="H495" s="7" t="str">
        <f ca="1">+WORLDCUP!BD63</f>
        <v>Japón</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Egipto</v>
      </c>
      <c r="E496" s="7" t="str">
        <f ca="1">+WORLDCUP!BD59</f>
        <v>Catar</v>
      </c>
      <c r="F496" s="7" t="str">
        <f ca="1">+WORLDCUP!BD60</f>
        <v>Escocia</v>
      </c>
      <c r="G496" s="7" t="str">
        <f ca="1">+WORLDCUP!BD58</f>
        <v>Sudáfrica</v>
      </c>
      <c r="H496" s="7" t="str">
        <f ca="1">+WORLDCUP!BD63</f>
        <v>Japón</v>
      </c>
      <c r="I496" s="7" t="str">
        <f ca="1">+WORLDCUP!BD61</f>
        <v>Turquía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2026-06-11T19:39:49Z</dcterms:modified>
</cp:coreProperties>
</file>