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https://d.docs.live.net/0bea95ebc8b3ddf1/Desktop/"/>
    </mc:Choice>
  </mc:AlternateContent>
  <xr:revisionPtr revIDLastSave="0" documentId="8_{9FAECA36-162D-43C8-A421-A7CCEA6B7970}"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80"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33" i="3" l="1"/>
  <c r="K3" i="45"/>
  <c r="K11" i="45" s="1"/>
  <c r="K19" i="45" s="1"/>
  <c r="K27" i="45" s="1"/>
  <c r="K35" i="45" s="1"/>
  <c r="K43" i="45" s="1"/>
  <c r="W3" i="45" s="1"/>
  <c r="W11" i="45" s="1"/>
  <c r="W19" i="45" s="1"/>
  <c r="W27" i="45" s="1"/>
  <c r="W35" i="45" s="1"/>
  <c r="W43" i="45" s="1"/>
  <c r="Z56" i="3"/>
  <c r="Z17" i="3"/>
  <c r="Z73" i="3"/>
  <c r="Z96" i="3"/>
  <c r="Z81" i="3"/>
  <c r="Z64" i="3"/>
  <c r="C254" i="31"/>
  <c r="C256" i="31"/>
  <c r="BK5" i="3"/>
  <c r="BK57" i="3" s="1"/>
  <c r="AD67" i="3"/>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F96" i="3"/>
  <c r="E94" i="3"/>
  <c r="BW52" i="3" s="1"/>
  <c r="E69" i="3"/>
  <c r="E33" i="3"/>
  <c r="F70" i="3"/>
  <c r="F28" i="3"/>
  <c r="F24" i="3"/>
  <c r="E23" i="3"/>
  <c r="E20" i="3"/>
  <c r="E96" i="3"/>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BW28" i="3"/>
  <c r="E45" i="3"/>
  <c r="BW29" i="3" s="1"/>
  <c r="F92" i="3"/>
  <c r="F95" i="3"/>
  <c r="BW53" i="3" s="1"/>
  <c r="E97" i="3"/>
  <c r="BV52" i="3" s="1"/>
  <c r="F81" i="3"/>
  <c r="E76" i="3"/>
  <c r="BW43" i="3" s="1"/>
  <c r="E78" i="3"/>
  <c r="BW44" i="3" s="1"/>
  <c r="E48" i="3"/>
  <c r="F44" i="3"/>
  <c r="F47" i="3"/>
  <c r="E38" i="3"/>
  <c r="F41" i="3"/>
  <c r="BU25" i="3" s="1"/>
  <c r="E36" i="3"/>
  <c r="BW23" i="3" s="1"/>
  <c r="E39" i="3"/>
  <c r="F37" i="3"/>
  <c r="BU24" i="3" s="1"/>
  <c r="E41" i="3"/>
  <c r="BW22" i="3" s="1"/>
  <c r="BW34" i="3"/>
  <c r="E62" i="3"/>
  <c r="E60" i="3"/>
  <c r="BW35" i="3" s="1"/>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BW38" i="3" s="1"/>
  <c r="F71" i="3"/>
  <c r="E71" i="3"/>
  <c r="E72" i="3"/>
  <c r="F69" i="3"/>
  <c r="BW40" i="3" s="1"/>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BU44" i="3" s="1"/>
  <c r="F61" i="3"/>
  <c r="E65" i="3"/>
  <c r="E63" i="3"/>
  <c r="E9" i="3"/>
  <c r="F4" i="3"/>
  <c r="F6" i="3"/>
  <c r="F79" i="3"/>
  <c r="E80" i="3"/>
  <c r="BU43" i="3"/>
  <c r="F76" i="3"/>
  <c r="BW42" i="3" s="1"/>
  <c r="F80" i="3"/>
  <c r="E77" i="3"/>
  <c r="F78" i="3"/>
  <c r="BW36" i="3"/>
  <c r="E61" i="3"/>
  <c r="BW37" i="3" s="1"/>
  <c r="F62" i="3"/>
  <c r="BU36" i="3"/>
  <c r="F64" i="3"/>
  <c r="BU35" i="3" s="1"/>
  <c r="F72" i="3"/>
  <c r="BU41" i="3" s="1"/>
  <c r="E68" i="3"/>
  <c r="BW39" i="3" s="1"/>
  <c r="BU38" i="3"/>
  <c r="E70" i="3"/>
  <c r="BW50" i="3" l="1"/>
  <c r="BU42" i="3"/>
  <c r="BW41" i="3"/>
  <c r="BU39" i="3"/>
  <c r="BU34" i="3"/>
  <c r="BU37" i="3"/>
  <c r="BU26" i="3"/>
  <c r="BU27" i="3"/>
  <c r="BW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6" i="3" l="1"/>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I24" i="3"/>
  <c r="H23" i="3"/>
  <c r="H20" i="3"/>
  <c r="H78" i="3" l="1"/>
  <c r="I20" i="3"/>
  <c r="I22" i="3"/>
  <c r="I5" i="3"/>
  <c r="H8"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13" i="3" l="1"/>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13" i="3"/>
  <c r="K14" i="3"/>
  <c r="L87" i="3"/>
  <c r="K12" i="3" l="1"/>
  <c r="K24"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31" i="3" l="1"/>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N56" i="3"/>
  <c r="N61" i="3"/>
  <c r="O64" i="3"/>
  <c r="N79" i="3"/>
  <c r="N96" i="3"/>
  <c r="O97" i="3"/>
  <c r="O93" i="3"/>
  <c r="N95" i="3"/>
  <c r="O95" i="3" l="1"/>
  <c r="O44" i="3"/>
  <c r="O47" i="3"/>
  <c r="CI42" i="3"/>
  <c r="CI36" i="3"/>
  <c r="N29" i="3"/>
  <c r="CJ50" i="3"/>
  <c r="CI9" i="3"/>
  <c r="O55" i="3"/>
  <c r="O33" i="3"/>
  <c r="CJ19" i="3" s="1"/>
  <c r="N9" i="3"/>
  <c r="N36" i="3"/>
  <c r="O41" i="3"/>
  <c r="O4" i="3"/>
  <c r="O69" i="3"/>
  <c r="CK40" i="3" s="1"/>
  <c r="CI35" i="3"/>
  <c r="N72" i="3"/>
  <c r="CK21" i="3"/>
  <c r="O30" i="3"/>
  <c r="N32" i="3"/>
  <c r="CJ18" i="3" s="1"/>
  <c r="N7" i="3"/>
  <c r="O29" i="3"/>
  <c r="CI20" i="3" s="1"/>
  <c r="N49" i="3"/>
  <c r="N52" i="3"/>
  <c r="N54" i="3"/>
  <c r="N37" i="3"/>
  <c r="CI25" i="3" s="1"/>
  <c r="N8" i="3"/>
  <c r="CK22" i="3"/>
  <c r="O52" i="3"/>
  <c r="CI30" i="3" s="1"/>
  <c r="N97" i="3"/>
  <c r="O77" i="3"/>
  <c r="CI44" i="3" s="1"/>
  <c r="N80" i="3"/>
  <c r="N55" i="3"/>
  <c r="CI31" i="3" s="1"/>
  <c r="N81" i="3"/>
  <c r="N84" i="3"/>
  <c r="CI45" i="3"/>
  <c r="O5" i="3"/>
  <c r="N47" i="3"/>
  <c r="CI27" i="3" s="1"/>
  <c r="CK46" i="3"/>
  <c r="CI33" i="3"/>
  <c r="O53" i="3"/>
  <c r="CI32" i="3" s="1"/>
  <c r="O79" i="3"/>
  <c r="N6" i="3"/>
  <c r="N86" i="3"/>
  <c r="O32" i="3"/>
  <c r="CI21" i="3" s="1"/>
  <c r="CI12" i="3"/>
  <c r="CI43" i="3"/>
  <c r="N88" i="3"/>
  <c r="N30" i="3"/>
  <c r="CK6" i="3"/>
  <c r="CK18" i="3"/>
  <c r="CI18" i="3"/>
  <c r="CK25" i="3"/>
  <c r="N73" i="3"/>
  <c r="CI15" i="3"/>
  <c r="N15" i="3"/>
  <c r="CK12" i="3" s="1"/>
  <c r="CI11" i="3"/>
  <c r="O96" i="3"/>
  <c r="CJ53" i="3" s="1"/>
  <c r="CL53" i="3" s="1"/>
  <c r="CK34" i="3"/>
  <c r="CK8" i="3"/>
  <c r="CI39" i="3"/>
  <c r="CK30" i="3"/>
  <c r="N68" i="3"/>
  <c r="CK50" i="3"/>
  <c r="O40" i="3"/>
  <c r="O15" i="3"/>
  <c r="CI10" i="3" s="1"/>
  <c r="N65" i="3"/>
  <c r="O9" i="3"/>
  <c r="CI7" i="3" s="1"/>
  <c r="CI23" i="3"/>
  <c r="O36" i="3"/>
  <c r="CJ22" i="3" s="1"/>
  <c r="CK23" i="3"/>
  <c r="O61" i="3"/>
  <c r="CJ36" i="3" s="1"/>
  <c r="CL36" i="3" s="1"/>
  <c r="CI47" i="3"/>
  <c r="CK37" i="3"/>
  <c r="N13" i="3"/>
  <c r="O68" i="3"/>
  <c r="O57" i="3"/>
  <c r="O65" i="3"/>
  <c r="N40" i="3"/>
  <c r="O31" i="3"/>
  <c r="CJ21" i="3" s="1"/>
  <c r="N92" i="3"/>
  <c r="CK51" i="3" s="1"/>
  <c r="N77" i="3"/>
  <c r="CK45" i="3" s="1"/>
  <c r="CI19" i="3"/>
  <c r="CI50" i="3"/>
  <c r="O25" i="3"/>
  <c r="O37" i="3"/>
  <c r="N5" i="3"/>
  <c r="CJ9" i="3" s="1"/>
  <c r="O72" i="3"/>
  <c r="CK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33" i="3" s="1"/>
  <c r="CK28" i="3"/>
  <c r="CK48" i="3"/>
  <c r="N85" i="3"/>
  <c r="CI49" i="3" s="1"/>
  <c r="N44" i="3"/>
  <c r="CK27" i="3" s="1"/>
  <c r="N12" i="3"/>
  <c r="O54" i="3"/>
  <c r="O89" i="3"/>
  <c r="O56" i="3"/>
  <c r="N24" i="3"/>
  <c r="O46" i="3"/>
  <c r="CI26" i="3" s="1"/>
  <c r="CI28" i="3"/>
  <c r="O21" i="3"/>
  <c r="CI16" i="3" s="1"/>
  <c r="N45" i="3"/>
  <c r="CK29" i="3" s="1"/>
  <c r="CK32" i="3"/>
  <c r="N16" i="3"/>
  <c r="CI48" i="3"/>
  <c r="CK26" i="3"/>
  <c r="CJ48" i="3"/>
  <c r="O20" i="3"/>
  <c r="CI14" i="3" s="1"/>
  <c r="N33" i="3"/>
  <c r="CK10" i="3"/>
  <c r="N69" i="3"/>
  <c r="O73" i="3"/>
  <c r="O60" i="3"/>
  <c r="CI34" i="3" s="1"/>
  <c r="O63" i="3"/>
  <c r="CI37" i="3" s="1"/>
  <c r="CI40" i="3"/>
  <c r="O70" i="3"/>
  <c r="CK17" i="3"/>
  <c r="N22" i="3"/>
  <c r="CK42" i="3"/>
  <c r="N78" i="3"/>
  <c r="CK44" i="3" s="1"/>
  <c r="O81" i="3"/>
  <c r="N14" i="3"/>
  <c r="CK11" i="3" s="1"/>
  <c r="CK13" i="3"/>
  <c r="N23" i="3"/>
  <c r="N20" i="3"/>
  <c r="CK15" i="3" s="1"/>
  <c r="O24" i="3"/>
  <c r="N17" i="3"/>
  <c r="O14" i="3"/>
  <c r="CI13" i="3" s="1"/>
  <c r="CK53" i="3"/>
  <c r="CK14" i="3"/>
  <c r="CK49" i="3"/>
  <c r="CK31" i="3"/>
  <c r="CI51" i="3" l="1"/>
  <c r="CK47" i="3"/>
  <c r="CI8" i="3"/>
  <c r="CK43" i="3"/>
  <c r="CI41" i="3"/>
  <c r="CK36" i="3"/>
  <c r="CI24" i="3"/>
  <c r="CI22" i="3"/>
  <c r="CL22" i="3" s="1"/>
  <c r="CK24" i="3"/>
  <c r="CI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J7" i="3"/>
  <c r="CL7" i="3" s="1"/>
  <c r="CJ23" i="3"/>
  <c r="CL23" i="3" s="1"/>
  <c r="CJ37" i="3"/>
  <c r="CL37" i="3" s="1"/>
  <c r="CJ39" i="3"/>
  <c r="CL39" i="3" s="1"/>
  <c r="CJ41" i="3"/>
  <c r="CL41" i="3" s="1"/>
  <c r="CJ29" i="3"/>
  <c r="CL29" i="3" s="1"/>
  <c r="CJ27" i="3"/>
  <c r="CL27" i="3" s="1"/>
  <c r="CL6" i="3" l="1"/>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R89" i="3"/>
  <c r="R37" i="3"/>
  <c r="Q17" i="3"/>
  <c r="R86" i="3"/>
  <c r="R14" i="3"/>
  <c r="R78" i="3" l="1"/>
  <c r="R29" i="3"/>
  <c r="Q9" i="3"/>
  <c r="R6" i="3"/>
  <c r="R80" i="3"/>
  <c r="CO43" i="3" s="1"/>
  <c r="R40" i="3"/>
  <c r="Q60" i="3"/>
  <c r="Q62" i="3"/>
  <c r="R38" i="3"/>
  <c r="CP22" i="3" s="1"/>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CP43" i="3"/>
  <c r="Q93" i="3"/>
  <c r="R16" i="3"/>
  <c r="R79" i="3"/>
  <c r="CP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Q65" i="3"/>
  <c r="R17" i="3"/>
  <c r="R30" i="3"/>
  <c r="CO18" i="3" s="1"/>
  <c r="R22" i="3"/>
  <c r="Q29" i="3"/>
  <c r="Q52" i="3"/>
  <c r="R20" i="3"/>
  <c r="Q54" i="3"/>
  <c r="Q81" i="3"/>
  <c r="CP42" i="3" s="1"/>
  <c r="R45" i="3"/>
  <c r="Q49" i="3"/>
  <c r="Q48" i="3"/>
  <c r="Q64" i="3"/>
  <c r="CP36" i="3" s="1"/>
  <c r="R68" i="3"/>
  <c r="R8" i="3"/>
  <c r="CO9" i="3" s="1"/>
  <c r="R60" i="3"/>
  <c r="Q4" i="3"/>
  <c r="CP30" i="3"/>
  <c r="CP53" i="3"/>
  <c r="CO30" i="3"/>
  <c r="CP47" i="3"/>
  <c r="CO47" i="3"/>
  <c r="CO12" i="3"/>
  <c r="CP23" i="3"/>
  <c r="CO22" i="3" l="1"/>
  <c r="CQ22" i="3" s="1"/>
  <c r="CO26" i="3"/>
  <c r="CO45" i="3"/>
  <c r="CQ45" i="3" s="1"/>
  <c r="CP50" i="3"/>
  <c r="CP49" i="3"/>
  <c r="CP35" i="3"/>
  <c r="CQ35" i="3" s="1"/>
  <c r="CP34" i="3"/>
  <c r="CP48" i="3"/>
  <c r="CO24" i="3"/>
  <c r="CO37" i="3"/>
  <c r="CQ37" i="3" s="1"/>
  <c r="CP38" i="3"/>
  <c r="CP14" i="3"/>
  <c r="CP46" i="3"/>
  <c r="CO34" i="3"/>
  <c r="CO50"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Q47" i="3"/>
  <c r="CQ50" i="3" l="1"/>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4" i="3"/>
  <c r="U57" i="3"/>
  <c r="U37" i="3" l="1"/>
  <c r="CT24" i="3" s="1"/>
  <c r="T41"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T44" i="3"/>
  <c r="T5" i="3"/>
  <c r="U39" i="3"/>
  <c r="T72" i="3"/>
  <c r="T57" i="3"/>
  <c r="U94" i="3"/>
  <c r="U36" i="3"/>
  <c r="CT22" i="3" s="1"/>
  <c r="T65" i="3"/>
  <c r="U61" i="3"/>
  <c r="U17" i="3"/>
  <c r="T23" i="3"/>
  <c r="U69" i="3"/>
  <c r="T55" i="3"/>
  <c r="U97" i="3"/>
  <c r="CT51" i="3" s="1"/>
  <c r="U6" i="3"/>
  <c r="T25" i="3"/>
  <c r="CT34" i="3"/>
  <c r="U79" i="3"/>
  <c r="T60" i="3"/>
  <c r="T4" i="3"/>
  <c r="T62" i="3"/>
  <c r="T7" i="3"/>
  <c r="U20" i="3"/>
  <c r="T48" i="3"/>
  <c r="CT28" i="3" s="1"/>
  <c r="U44" i="3"/>
  <c r="U76" i="3"/>
  <c r="CT43" i="3"/>
  <c r="U46" i="3"/>
  <c r="T45" i="3"/>
  <c r="T47" i="3"/>
  <c r="T9" i="3"/>
  <c r="T49" i="3"/>
  <c r="CT40" i="3"/>
  <c r="CT31" i="3"/>
  <c r="CT15" i="3"/>
  <c r="CT49" i="3"/>
  <c r="CT11" i="3" l="1"/>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M33" i="3" l="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AM38" i="3"/>
  <c r="I36" i="45" s="1"/>
  <c r="AT38" i="3"/>
  <c r="J36" i="45" s="1"/>
  <c r="H36" i="45"/>
  <c r="M102" i="3"/>
  <c r="AA103" i="3" s="1"/>
  <c r="D103" i="3" s="1"/>
  <c r="AK38" i="3" a="1"/>
  <c r="AK38" i="3" s="1"/>
  <c r="AS38" i="3"/>
  <c r="AO38" i="3"/>
  <c r="AQ38" i="3"/>
  <c r="AN38" i="3"/>
  <c r="AR38" i="3"/>
  <c r="AP38" i="3"/>
  <c r="D114" i="3" l="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D124" i="3" s="1"/>
  <c r="AG111" i="3"/>
  <c r="N124" i="3"/>
  <c r="AF124" i="3" s="1"/>
  <c r="N125" i="3"/>
  <c r="AF125" i="3" s="1"/>
  <c r="AG109" i="3"/>
  <c r="N122" i="3"/>
  <c r="AF122" i="3" s="1"/>
  <c r="AG105" i="3"/>
  <c r="AG103" i="3"/>
  <c r="M120" i="3"/>
  <c r="AA121" i="3" s="1"/>
  <c r="D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D122" i="3"/>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7" i="3"/>
  <c r="N134" i="3"/>
  <c r="AF134" i="3" s="1"/>
  <c r="AG122" i="3"/>
  <c r="M133" i="3"/>
  <c r="AA133" i="3" s="1"/>
  <c r="D133" i="3" s="1"/>
  <c r="M132" i="3"/>
  <c r="AA132" i="3" s="1"/>
  <c r="D132" i="3" s="1"/>
  <c r="AG124" i="3"/>
  <c r="M131" i="3"/>
  <c r="AA131" i="3" s="1"/>
  <c r="D131" i="3" s="1"/>
  <c r="AG121"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183" i="31"/>
  <c r="AE29" i="45"/>
  <c r="C192" i="31"/>
  <c r="C195" i="31"/>
  <c r="AE23" i="45"/>
  <c r="C182" i="31"/>
  <c r="AE10" i="45"/>
  <c r="D134" i="3" l="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C220" i="31" l="1"/>
  <c r="AI8" i="45"/>
  <c r="C214" i="31"/>
  <c r="B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N105" i="3"/>
  <c r="AF106" i="3" s="1"/>
  <c r="N115" i="3"/>
  <c r="AF116" i="3" s="1"/>
  <c r="AA49" i="45" s="1"/>
  <c r="N110" i="3"/>
  <c r="AF109" i="3" s="1"/>
  <c r="C172" i="31" s="1"/>
  <c r="N107" i="3"/>
  <c r="AF107" i="3" s="1"/>
  <c r="N109" i="3"/>
  <c r="AF110" i="3" s="1"/>
  <c r="B497" i="40"/>
  <c r="BG124" i="3" s="1"/>
  <c r="AZ110" i="3" s="1"/>
  <c r="B171" i="31" l="1"/>
  <c r="D108" i="3"/>
  <c r="C169" i="31"/>
  <c r="D106"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08" i="3" l="1"/>
  <c r="N123" i="3"/>
  <c r="AF123" i="3" s="1"/>
  <c r="AG106" i="3"/>
  <c r="N120" i="3"/>
  <c r="AF121" i="3" s="1"/>
  <c r="AG110" i="3"/>
  <c r="M125" i="3"/>
  <c r="AA125" i="3" s="1"/>
  <c r="AG107" i="3"/>
  <c r="M123" i="3"/>
  <c r="AA123" i="3" s="1"/>
  <c r="AE35" i="45" l="1"/>
  <c r="C193" i="31"/>
  <c r="C191" i="31"/>
  <c r="C201" i="31"/>
  <c r="B201" i="31"/>
  <c r="AE5" i="45"/>
  <c r="D125" i="3"/>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<sst xmlns="http://schemas.openxmlformats.org/spreadsheetml/2006/main" count="6777" uniqueCount="1530">
  <si>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</si>
  <si>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</si>
  <si>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</si>
  <si>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</si>
  <si>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</si>
  <si>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</si>
  <si>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</si>
  <si>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</si>
  <si>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</si>
  <si>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</si>
  <si>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</si>
  <si>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</si>
  <si>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</si>
  <si>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</si>
  <si>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</si>
  <si>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</si>
  <si>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</si>
  <si>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</si>
  <si>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</si>
  <si>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</si>
  <si>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</si>
  <si>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</si>
  <si>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</si>
  <si>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</si>
  <si>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</si>
  <si>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</si>
  <si>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</si>
  <si>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</si>
  <si>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</si>
  <si>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</si>
  <si>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</si>
  <si>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</si>
  <si>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</si>
  <si>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</si>
  <si>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</si>
  <si>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</si>
  <si>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</si>
  <si>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</si>
  <si>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</si>
  <si>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</si>
  <si>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</si>
  <si>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</si>
  <si>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</si>
  <si>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</si>
  <si>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</si>
  <si>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</si>
  <si>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</si>
  <si>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</si>
  <si>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</si>
  <si>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</si>
  <si>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</si>
  <si>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</si>
  <si>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</si>
  <si>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</si>
  <si>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</si>
  <si>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</si>
  <si>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</si>
  <si>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</si>
  <si>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</si>
  <si>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</si>
  <si>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</si>
  <si>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</si>
  <si>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</si>
  <si>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</si>
  <si>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</si>
  <si>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</si>
  <si>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</si>
  <si>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</si>
  <si>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</si>
  <si>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</si>
  <si>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</si>
  <si>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</si>
  <si>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</si>
  <si>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</si>
  <si>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</si>
  <si>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</si>
  <si>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</si>
  <si>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</si>
  <si>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</si>
  <si>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</si>
  <si>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</si>
  <si>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</si>
  <si>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</si>
  <si>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</si>
  <si>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</si>
  <si>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</si>
  <si>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</si>
  <si>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</si>
  <si>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</si>
  <si>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</si>
  <si>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</si>
  <si>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</si>
  <si>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</si>
  <si>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</si>
  <si>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</si>
  <si>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</si>
  <si>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</si>
  <si>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</si>
  <si>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</si>
  <si>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</si>
  <si>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</si>
  <si>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</si>
  <si>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</si>
  <si>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</si>
  <si>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</si>
  <si>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</si>
  <si>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</si>
  <si>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</si>
  <si>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</si>
  <si>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</si>
  <si>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</si>
  <si>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</si>
  <si>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</si>
  <si>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</si>
  <si>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</si>
  <si>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</si>
  <si>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</si>
  <si>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</si>
  <si>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</si>
  <si>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</si>
  <si>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</si>
  <si>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</si>
  <si>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</si>
  <si>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</si>
  <si>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</si>
  <si>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</si>
  <si>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</si>
  <si>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</si>
  <si>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</si>
  <si>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</si>
  <si>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</si>
  <si>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</si>
  <si>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</si>
  <si>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</si>
  <si>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</si>
  <si>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</si>
  <si>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</si>
  <si>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</si>
  <si>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</si>
  <si>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</si>
  <si>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</si>
  <si>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</si>
  <si>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</si>
  <si>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</si>
  <si>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</si>
  <si>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</si>
  <si>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</si>
  <si>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</si>
  <si>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</si>
  <si>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</si>
  <si>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</si>
  <si>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</si>
  <si>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</si>
  <si>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</si>
  <si>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</si>
  <si>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</si>
  <si>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</si>
  <si>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</si>
  <si>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</si>
  <si>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</si>
  <si>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</si>
  <si>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</si>
  <si>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</si>
  <si>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</si>
  <si>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</si>
  <si>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</si>
  <si>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</si>
  <si>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</si>
  <si>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</si>
  <si>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</si>
  <si>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</si>
  <si>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</si>
  <si>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</si>
  <si>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</si>
  <si>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</si>
  <si>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</si>
  <si>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</si>
  <si>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</si>
  <si>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</si>
  <si>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</si>
  <si>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</si>
  <si>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</si>
  <si>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</si>
  <si>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</si>
  <si>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</si>
  <si>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</si>
  <si>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</si>
  <si>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</si>
  <si>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</si>
  <si>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</si>
  <si>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</si>
  <si>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</si>
  <si>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</si>
  <si>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</si>
  <si>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</si>
  <si>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</si>
  <si>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</si>
  <si>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</si>
  <si>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</si>
  <si>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</si>
  <si>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</si>
  <si>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</si>
  <si>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</si>
  <si>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</si>
  <si>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</si>
  <si>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</si>
  <si>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</si>
  <si>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</si>
  <si>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</si>
  <si>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</si>
  <si>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</si>
  <si>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</si>
  <si>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</si>
  <si>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</si>
  <si>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</si>
  <si>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</si>
  <si>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</si>
  <si>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</si>
  <si>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</si>
  <si>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</si>
  <si>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</si>
  <si>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</si>
  <si>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</si>
  <si>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</si>
  <si>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</si>
  <si>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</si>
  <si>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</si>
  <si>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</si>
  <si>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</si>
  <si>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</si>
  <si>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</si>
  <si>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</si>
  <si>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</si>
  <si>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</si>
  <si>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</si>
  <si>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</si>
  <si>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</si>
  <si>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</si>
  <si>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</si>
  <si>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</si>
  <si>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</si>
  <si>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</si>
  <si>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</si>
  <si>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</si>
  <si>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</si>
  <si>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</si>
  <si>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</si>
  <si>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</si>
  <si>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</si>
  <si>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</si>
  <si>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</si>
  <si>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</si>
  <si>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</si>
  <si>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</si>
  <si>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</si>
  <si>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</si>
  <si>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</si>
  <si>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</si>
  <si>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</si>
  <si>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</si>
  <si>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</si>
  <si>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</si>
  <si>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</si>
  <si>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</si>
  <si>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</si>
  <si>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</si>
  <si>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</si>
  <si>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</si>
  <si>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</si>
  <si>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</si>
  <si>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</si>
  <si>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</si>
  <si>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</si>
  <si>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</si>
  <si>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</si>
  <si>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</si>
  <si>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</si>
  <si>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</si>
  <si>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</si>
  <si>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</si>
  <si>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</si>
  <si>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</si>
  <si>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</si>
  <si>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</si>
  <si>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</si>
  <si>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</si>
  <si>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</si>
  <si>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</si>
  <si>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</si>
  <si>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</si>
  <si>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</si>
  <si>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</si>
  <si>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</si>
  <si>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</si>
  <si>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</si>
  <si>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</si>
  <si>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</si>
  <si>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</si>
  <si>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</si>
  <si>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</si>
  <si>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</si>
  <si>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</si>
  <si>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</si>
  <si>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</si>
  <si>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</si>
  <si>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</si>
  <si>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</si>
  <si>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</si>
  <si>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</si>
  <si>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</si>
  <si>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</si>
  <si>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</si>
  <si>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</si>
  <si>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</si>
  <si>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</si>
  <si>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</si>
  <si>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</si>
  <si>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</si>
  <si>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</si>
  <si>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</si>
  <si>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</si>
  <si>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</si>
  <si>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</si>
  <si>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</si>
  <si>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</si>
  <si>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</si>
  <si>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</si>
  <si>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</si>
  <si>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</si>
  <si>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</si>
  <si>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</si>
  <si>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</si>
  <si>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</si>
  <si>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</si>
  <si>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</si>
  <si>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</si>
  <si>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</si>
  <si>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</si>
  <si>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</si>
  <si>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</si>
  <si>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</si>
  <si>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</si>
  <si>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</si>
  <si>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</si>
  <si>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</si>
  <si>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</si>
  <si>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</si>
  <si>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</si>
  <si>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</si>
  <si>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</si>
  <si>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</si>
  <si>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</si>
  <si>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</si>
  <si>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</si>
  <si>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</si>
  <si>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</si>
  <si>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</si>
  <si>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</si>
  <si>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</si>
  <si>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</si>
  <si>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</si>
  <si>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</si>
  <si>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</si>
  <si>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</si>
  <si>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</si>
  <si>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</si>
  <si>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</si>
  <si>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</si>
  <si>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</si>
  <si>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</si>
  <si>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</si>
  <si>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</si>
  <si>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</si>
  <si>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</si>
  <si>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</si>
  <si>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</si>
  <si>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</si>
  <si>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</si>
  <si>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</si>
  <si>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</si>
  <si>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</si>
  <si>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</si>
  <si>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</si>
  <si>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</si>
  <si>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</si>
  <si>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</si>
  <si>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</si>
  <si>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</si>
  <si>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</si>
  <si>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</si>
  <si>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</si>
  <si>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</si>
  <si>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</si>
  <si>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</si>
  <si>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</si>
  <si>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</si>
  <si>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</si>
  <si>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</si>
  <si>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</si>
  <si>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</si>
  <si>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</si>
  <si>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</si>
  <si>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</si>
  <si>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</si>
  <si>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</si>
  <si>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</si>
  <si>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</si>
  <si>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</si>
  <si>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</si>
  <si>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</si>
  <si>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</si>
  <si>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</si>
  <si>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</si>
  <si>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</si>
  <si>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</si>
  <si>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</si>
  <si>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</si>
  <si>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</si>
  <si>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</si>
  <si>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</si>
  <si>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</si>
  <si>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</si>
  <si>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</si>
  <si>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</si>
  <si>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</si>
  <si>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</si>
  <si>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</si>
  <si>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</si>
  <si>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</si>
  <si>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</si>
  <si>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</si>
  <si>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</si>
  <si>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</si>
  <si>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</si>
  <si>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</si>
  <si>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</si>
  <si>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</si>
  <si>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</si>
  <si>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</si>
  <si>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</si>
  <si>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</si>
  <si>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</si>
  <si>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</si>
  <si>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</si>
  <si>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</si>
  <si>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</si>
  <si>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</si>
  <si>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</si>
  <si>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</si>
  <si>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</si>
  <si>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</si>
  <si>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</si>
  <si>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</si>
  <si>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</si>
  <si>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</si>
  <si>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</si>
  <si>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</si>
  <si>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</si>
  <si>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</si>
  <si>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</si>
  <si>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</si>
  <si>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</si>
  <si>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</si>
  <si>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</si>
  <si>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</si>
  <si>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</si>
  <si>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</si>
  <si>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</si>
  <si>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</si>
  <si>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</si>
  <si>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</si>
  <si>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</si>
  <si>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</si>
  <si>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</si>
  <si>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</si>
  <si>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</si>
  <si>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</si>
  <si>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</si>
  <si>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</si>
  <si>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</si>
  <si>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</si>
  <si>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</si>
  <si>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</si>
  <si>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</si>
  <si>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</si>
  <si>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</si>
  <si>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</si>
  <si>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</si>
  <si>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</si>
  <si>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</si>
  <si>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</si>
  <si>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</si>
  <si>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</si>
  <si>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</si>
  <si>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</si>
  <si>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</si>
  <si>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</si>
  <si>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</si>
  <si>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</si>
  <si>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</si>
  <si>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</si>
  <si>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</si>
  <si>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</si>
  <si>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</si>
  <si>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</si>
  <si>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</si>
  <si>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</si>
  <si>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</si>
  <si>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</si>
  <si>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</si>
  <si>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</si>
  <si>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</si>
  <si>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</si>
  <si>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</si>
  <si>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</si>
  <si>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</si>
  <si>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</si>
  <si>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</si>
  <si>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</si>
  <si>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</si>
  <si>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</si>
  <si>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</si>
  <si>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</si>
  <si>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</si>
  <si>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</si>
  <si>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</si>
  <si>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</si>
  <si>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</si>
  <si>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</si>
  <si>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</si>
  <si>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</si>
  <si>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</si>
  <si>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</si>
  <si>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</si>
  <si>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</si>
  <si>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</si>
  <si>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</si>
  <si>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</si>
  <si>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</si>
  <si>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</si>
  <si>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</si>
  <si>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</si>
  <si>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</si>
  <si>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</si>
  <si>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</si>
  <si>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</si>
  <si>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</si>
  <si>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</si>
  <si>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</si>
  <si>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</si>
  <si>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</si>
  <si>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</si>
  <si>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</si>
  <si>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</si>
  <si>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</si>
  <si>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</si>
  <si>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</si>
  <si>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</si>
  <si>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</si>
  <si>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</si>
  <si>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</si>
  <si>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</si>
  <si>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</si>
  <si>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</si>
  <si>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</si>
  <si>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</si>
  <si>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</si>
  <si>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</si>
  <si>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</si>
  <si>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</si>
  <si>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</si>
  <si>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</si>
  <si>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</si>
  <si>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</si>
  <si>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</si>
  <si>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</si>
  <si>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</si>
  <si>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</si>
  <si>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</si>
  <si>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</si>
  <si>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</si>
  <si>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</si>
  <si>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</si>
  <si>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</si>
  <si>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</si>
  <si>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</si>
  <si>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</si>
  <si>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</si>
  <si>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</si>
  <si>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</si>
  <si>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</si>
  <si>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</si>
  <si>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</si>
  <si>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</si>
  <si>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</si>
  <si>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</si>
  <si>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</si>
  <si>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</si>
  <si>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</si>
  <si>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</si>
  <si>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</si>
  <si>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</si>
  <si>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</si>
  <si>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</si>
  <si>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</si>
  <si>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</si>
  <si>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</si>
  <si>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</si>
  <si>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</si>
  <si>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</si>
  <si>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</si>
  <si>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</si>
  <si>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</si>
  <si>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</si>
  <si>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</si>
  <si>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</si>
  <si>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</si>
  <si>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</si>
  <si>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</si>
  <si>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</si>
  <si>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</si>
  <si>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</si>
  <si>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</si>
  <si>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</si>
  <si>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</si>
  <si>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</si>
  <si>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</si>
  <si>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</si>
  <si>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</si>
  <si>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</si>
  <si>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</si>
  <si>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</si>
  <si>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</si>
  <si>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</si>
  <si>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</si>
  <si>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</si>
  <si>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</si>
  <si>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</si>
  <si>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</si>
  <si>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</si>
  <si>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</si>
  <si>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</si>
  <si>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</si>
  <si>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</si>
  <si>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</si>
  <si>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</si>
  <si>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</si>
  <si>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</si>
  <si>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</si>
  <si>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</si>
  <si>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</si>
  <si>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</si>
  <si>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</si>
  <si>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</si>
  <si>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</si>
  <si>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</si>
  <si>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</si>
  <si>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</si>
  <si>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</si>
  <si>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</si>
  <si>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</si>
  <si>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</si>
  <si>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</si>
  <si>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</si>
  <si>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</si>
  <si>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</si>
  <si>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</si>
  <si>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</si>
  <si>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</si>
  <si>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</si>
  <si>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</si>
  <si>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</si>
  <si>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</si>
  <si>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</si>
  <si>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</si>
  <si>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</si>
  <si>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</si>
  <si>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</si>
  <si>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</si>
  <si>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</si>
  <si>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</si>
  <si>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</si>
  <si>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</si>
  <si>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</si>
  <si>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</si>
  <si>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</si>
  <si>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</si>
  <si>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</si>
  <si>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</si>
  <si>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</si>
  <si>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</si>
  <si>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</si>
  <si>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</si>
  <si>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</si>
  <si>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</si>
  <si>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</si>
  <si>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</si>
  <si>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</si>
  <si>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</si>
  <si>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</si>
  <si>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</si>
  <si>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</si>
  <si>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</si>
  <si>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</si>
  <si>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</si>
  <si>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</si>
  <si>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</si>
  <si>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</si>
  <si>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</si>
  <si>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</si>
  <si>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</si>
  <si>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</si>
  <si>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</si>
  <si>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</si>
  <si>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</si>
  <si>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</si>
  <si>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</si>
  <si>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</si>
  <si>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</si>
  <si>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</si>
  <si>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</si>
  <si>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</si>
  <si>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</si>
  <si>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</si>
  <si>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</si>
  <si>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</si>
  <si>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</si>
  <si>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</si>
  <si>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</si>
  <si>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</si>
  <si>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</si>
  <si>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</si>
  <si>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</si>
  <si>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</si>
  <si>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</si>
  <si>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</si>
  <si>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</si>
  <si>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</si>
  <si>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</si>
  <si>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</si>
  <si>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</si>
  <si>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</si>
  <si>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</si>
  <si>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</si>
  <si>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</si>
  <si>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</si>
  <si>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</si>
  <si>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</si>
  <si>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</si>
  <si>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</si>
  <si>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</si>
  <si>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</si>
  <si>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</si>
  <si>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</si>
  <si>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</si>
  <si>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</si>
  <si>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</si>
  <si>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</si>
  <si>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</si>
  <si>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</si>
  <si>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</si>
  <si>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</si>
  <si>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</si>
  <si>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</si>
  <si>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</si>
  <si>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</si>
  <si>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</si>
  <si>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</si>
  <si>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</si>
  <si>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</si>
  <si>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</si>
  <si>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</si>
  <si>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</si>
  <si>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</si>
  <si>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</si>
  <si>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</si>
  <si>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</si>
  <si>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</si>
  <si>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</si>
  <si>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</si>
  <si>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</si>
  <si>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</si>
  <si>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</si>
  <si>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</si>
  <si>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</si>
  <si>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</si>
  <si>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</si>
  <si>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</si>
  <si>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</si>
  <si>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</si>
  <si>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</si>
  <si>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</si>
  <si>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</si>
  <si>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</si>
  <si>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</si>
  <si>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</si>
  <si>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</si>
  <si>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</si>
  <si>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</si>
  <si>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</si>
  <si>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</si>
  <si>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</si>
  <si>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</si>
  <si>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</si>
  <si>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</si>
  <si>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</si>
  <si>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</si>
  <si>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</si>
  <si>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</si>
  <si>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</si>
  <si>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</si>
  <si>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</si>
  <si>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</si>
  <si>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</si>
  <si>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</si>
  <si>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</si>
  <si>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</si>
  <si>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</si>
  <si>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</si>
  <si>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</si>
  <si>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</si>
  <si>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</si>
  <si>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</si>
  <si>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</si>
  <si>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</si>
  <si>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</si>
  <si>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</si>
  <si>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</si>
  <si>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</si>
  <si>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</si>
  <si>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</si>
  <si>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</si>
  <si>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</si>
  <si>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</si>
  <si>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</si>
  <si>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</si>
  <si>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</si>
  <si>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</si>
  <si>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</si>
  <si>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</si>
  <si>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</si>
  <si>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</si>
  <si>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</si>
  <si>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</si>
  <si>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</si>
  <si>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</si>
  <si>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</si>
  <si>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</si>
  <si>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</si>
  <si>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</si>
  <si>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</si>
  <si>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</si>
  <si>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</si>
  <si>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</si>
  <si>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</si>
  <si>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</si>
  <si>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</si>
  <si>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</si>
  <si>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</si>
  <si>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</si>
  <si>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</si>
  <si>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</si>
  <si>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</si>
  <si>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</si>
  <si>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</si>
  <si>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</si>
  <si>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</si>
  <si>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</si>
  <si>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</si>
  <si>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</si>
  <si>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</si>
  <si>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</si>
  <si>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</si>
  <si>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</si>
  <si>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</si>
  <si>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</si>
  <si>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</si>
  <si>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</si>
  <si>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</si>
  <si>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</si>
  <si>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</si>
  <si>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</si>
  <si>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</si>
  <si>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</si>
  <si>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</si>
  <si>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</si>
  <si>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</si>
  <si>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</si>
  <si>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</si>
  <si>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</si>
  <si>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</si>
  <si>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</si>
  <si>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</si>
  <si>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</si>
  <si>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</si>
  <si>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</si>
  <si>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</si>
  <si>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</si>
  <si>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</si>
  <si>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</si>
  <si>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</si>
  <si>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</si>
  <si>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</si>
  <si>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</si>
  <si>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</si>
  <si>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</si>
  <si>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</si>
  <si>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</si>
  <si>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</si>
  <si>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</si>
  <si>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</si>
  <si>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</si>
  <si>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</si>
  <si>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</si>
  <si>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</si>
  <si>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</si>
  <si>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</si>
  <si>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</si>
  <si>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</si>
  <si>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</si>
  <si>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</si>
  <si>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</si>
  <si>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</si>
  <si>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</si>
  <si>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</si>
  <si>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</si>
  <si>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</si>
  <si>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</si>
  <si>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</si>
  <si>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</si>
  <si>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</si>
  <si>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</si>
  <si>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</si>
  <si>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</si>
  <si>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</si>
  <si>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</si>
  <si>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</si>
  <si>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</si>
  <si>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</si>
  <si>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</si>
  <si>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</si>
  <si>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</si>
  <si>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</si>
  <si>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</si>
  <si>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</si>
  <si>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</si>
  <si>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</si>
  <si>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</si>
  <si>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</si>
  <si>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</si>
  <si>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</si>
  <si>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</si>
  <si>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</si>
  <si>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</si>
  <si>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</si>
  <si>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</si>
  <si>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</si>
  <si>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</si>
  <si>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</si>
  <si>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</si>
  <si>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</si>
  <si>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</si>
  <si>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</si>
  <si>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</si>
  <si>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</si>
  <si>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</si>
  <si>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</si>
  <si>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</si>
  <si>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</si>
  <si>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</si>
  <si>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</si>
  <si>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</si>
  <si>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</si>
  <si>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</si>
  <si>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</si>
  <si>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</si>
  <si>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</si>
  <si>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</si>
  <si>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</si>
  <si>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</si>
  <si>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</si>
  <si>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</si>
  <si>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</si>
  <si>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</si>
  <si>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</si>
  <si>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</si>
  <si>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</si>
  <si>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</si>
  <si>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</si>
  <si>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</si>
  <si>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</si>
  <si>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</si>
  <si>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</si>
  <si>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</si>
  <si>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</si>
  <si>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</si>
  <si>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</si>
  <si>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</si>
  <si>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</si>
  <si>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</si>
  <si>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</si>
  <si>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</si>
  <si>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</si>
  <si>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</si>
  <si>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</si>
  <si>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</si>
  <si>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</si>
  <si>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</si>
  <si>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</si>
  <si>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</si>
  <si>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</si>
  <si>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</si>
  <si>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</si>
  <si>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</si>
  <si>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</si>
  <si>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</si>
  <si>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</si>
  <si>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</si>
  <si>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</si>
  <si>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</si>
  <si>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</si>
  <si>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</si>
  <si>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</si>
  <si>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</si>
  <si>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</si>
  <si>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</si>
  <si>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</si>
  <si>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</si>
  <si>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</si>
  <si>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</si>
  <si>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</si>
  <si>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</si>
  <si>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</si>
  <si>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</si>
  <si>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</si>
  <si>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</si>
  <si>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</si>
  <si>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</si>
  <si>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</si>
  <si>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</si>
  <si>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</si>
  <si>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</si>
  <si>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</si>
  <si>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</si>
  <si>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</si>
  <si>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</si>
  <si>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</si>
  <si>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</si>
  <si>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</si>
  <si>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</si>
  <si>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</si>
  <si>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</si>
  <si>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</si>
  <si>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</si>
  <si>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</si>
  <si>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</si>
  <si>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</si>
  <si>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</si>
  <si>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</si>
  <si>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</si>
  <si>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</si>
  <si>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</si>
  <si>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</si>
  <si>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</si>
  <si>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</si>
  <si>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</si>
  <si>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</si>
  <si>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</si>
  <si>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</si>
  <si>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</si>
  <si>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</si>
  <si>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</si>
  <si>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</si>
  <si>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</si>
  <si>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</si>
  <si>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</si>
  <si>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</si>
  <si>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</si>
  <si>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</si>
  <si>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</si>
  <si>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</si>
  <si>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</si>
  <si>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</si>
  <si>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</si>
  <si>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</si>
  <si>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</si>
  <si>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</si>
  <si>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</si>
  <si>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</si>
  <si>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</si>
  <si>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</si>
  <si>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</si>
  <si>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</si>
  <si>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</si>
  <si>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</si>
  <si>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</si>
  <si>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</si>
  <si>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</si>
  <si>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</si>
  <si>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</si>
  <si>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</si>
  <si>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</si>
  <si>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</si>
  <si>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</si>
  <si>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</si>
  <si>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</si>
  <si>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</si>
  <si>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</si>
  <si>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</si>
  <si>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</si>
  <si>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</si>
  <si>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</si>
  <si>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</si>
  <si>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</si>
  <si>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</si>
  <si>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</si>
  <si>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</si>
  <si>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</si>
  <si>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</si>
  <si>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</si>
  <si>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</si>
  <si>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</si>
  <si>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</si>
  <si>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</si>
  <si>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</si>
  <si>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</si>
  <si>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</si>
  <si>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</si>
  <si>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</si>
  <si>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</si>
  <si>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</si>
  <si>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</si>
  <si>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</si>
  <si>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</si>
  <si>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</si>
  <si>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</si>
  <si>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</si>
  <si>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</si>
  <si>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</si>
  <si>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</si>
  <si>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</si>
  <si>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</si>
  <si>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</si>
  <si>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</si>
  <si>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</si>
  <si>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</si>
  <si>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</si>
  <si>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</si>
  <si>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</si>
  <si>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</si>
  <si>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</si>
  <si>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</si>
  <si>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</si>
  <si>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</si>
  <si>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</si>
  <si>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</si>
  <si>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</si>
  <si>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</si>
  <si>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</si>
  <si>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</si>
  <si>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</si>
  <si>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</si>
  <si>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</si>
  <si>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</si>
  <si>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</si>
  <si>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</si>
  <si>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</si>
  <si>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</si>
  <si>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</si>
  <si>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</si>
  <si>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</si>
  <si>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</si>
  <si>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</si>
  <si>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</si>
  <si>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</si>
  <si>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</si>
  <si>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</si>
  <si>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</si>
  <si>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</si>
  <si>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</si>
  <si>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</si>
  <si>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</si>
  <si>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</si>
  <si>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</si>
  <si>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</si>
  <si>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</si>
  <si>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</si>
  <si>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</si>
  <si>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</si>
  <si>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</si>
  <si>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</si>
  <si>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</si>
  <si>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</si>
  <si>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</si>
  <si>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</si>
  <si>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</si>
  <si>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</si>
  <si>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</si>
  <si>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</si>
  <si>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</si>
  <si>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</si>
  <si>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</si>
  <si>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</si>
  <si>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</si>
  <si>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</si>
  <si>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</si>
  <si>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</si>
  <si>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</si>
  <si>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</si>
  <si>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</si>
  <si>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</si>
  <si>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</si>
  <si>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</si>
  <si>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</si>
  <si>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</si>
  <si>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</si>
  <si>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</si>
  <si>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</si>
  <si>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</si>
  <si>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</si>
  <si>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</si>
  <si>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</si>
  <si>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</si>
  <si>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</si>
  <si>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</si>
  <si>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</si>
  <si>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</si>
  <si>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</si>
  <si>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</si>
  <si>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</si>
  <si>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</si>
  <si>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</si>
  <si>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</si>
  <si>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</si>
  <si>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</si>
  <si>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</si>
  <si>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</si>
  <si>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</si>
  <si>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</si>
  <si>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</si>
  <si>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</si>
  <si>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</si>
  <si>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</si>
  <si>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</si>
  <si>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</si>
  <si>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</si>
  <si>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</si>
  <si>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</si>
  <si>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</si>
  <si>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</si>
  <si>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</si>
  <si>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</si>
  <si>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</si>
  <si>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</si>
  <si>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</si>
  <si>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</si>
  <si>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</si>
  <si>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</si>
  <si>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</si>
  <si>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</si>
  <si>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</si>
  <si>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</si>
  <si>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</si>
  <si>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</si>
  <si>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</si>
  <si>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</si>
  <si>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</si>
  <si>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</si>
  <si>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</si>
  <si>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</si>
  <si>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</si>
  <si>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</si>
  <si>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</si>
  <si>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</si>
  <si>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</si>
  <si>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</si>
  <si>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</si>
  <si>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</si>
  <si>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</si>
  <si>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</si>
  <si>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</si>
  <si>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</si>
  <si>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</si>
  <si>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</si>
  <si>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</si>
  <si>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</si>
  <si>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</si>
  <si>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</si>
  <si>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</si>
  <si>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</si>
  <si>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</si>
  <si>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</si>
  <si>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</si>
  <si>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</si>
  <si>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</si>
  <si>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</si>
  <si>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</si>
  <si>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</si>
  <si>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</si>
  <si>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</si>
  <si>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</si>
  <si>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</si>
  <si>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</si>
  <si>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</si>
  <si>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</si>
  <si>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</si>
  <si>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</si>
  <si>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</si>
  <si>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</si>
  <si>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</si>
  <si>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</si>
  <si>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</si>
  <si>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</si>
  <si>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</si>
  <si>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</si>
  <si>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</si>
  <si>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</si>
  <si>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</si>
  <si>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</si>
  <si>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</si>
  <si>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</si>
  <si>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</si>
  <si>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</si>
  <si>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</si>
  <si>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</si>
  <si>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</si>
  <si>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</si>
  <si>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</si>
  <si>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</si>
  <si>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</si>
  <si>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</si>
  <si>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</si>
  <si>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</si>
  <si>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</si>
  <si>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</si>
  <si>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</si>
  <si>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</si>
  <si>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</si>
  <si>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</si>
  <si>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</si>
  <si>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</si>
  <si>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</si>
  <si>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</si>
  <si>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</si>
  <si>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</si>
  <si>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</si>
  <si>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</si>
  <si>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</si>
  <si>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</si>
  <si>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</si>
  <si>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</si>
  <si>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</si>
  <si>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</si>
  <si>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</si>
  <si>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</si>
  <si>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</si>
  <si>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</si>
  <si>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</si>
  <si>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</si>
  <si>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</si>
  <si>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</si>
  <si>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</si>
  <si>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</si>
  <si>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</si>
  <si>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</si>
  <si>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</si>
  <si>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</si>
  <si>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</si>
  <si>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</si>
  <si>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</si>
  <si>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</si>
  <si>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</si>
  <si>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</si>
  <si>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</si>
  <si>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</si>
  <si>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</si>
  <si>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</si>
  <si>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</si>
  <si>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</si>
  <si>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</si>
  <si>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</si>
  <si>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</si>
  <si>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</si>
  <si>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</si>
  <si>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</si>
  <si>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</si>
  <si>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</si>
  <si>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</si>
  <si>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</si>
  <si>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</si>
  <si>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</si>
  <si>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</si>
  <si>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</si>
  <si>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</si>
  <si>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</si>
  <si>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</si>
  <si>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</si>
  <si>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</si>
  <si>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</si>
  <si>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</si>
  <si>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</si>
  <si>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</si>
  <si>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</si>
  <si>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</si>
  <si>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</si>
  <si>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</si>
  <si>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</si>
  <si>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</si>
  <si>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</si>
  <si>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</si>
  <si>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</si>
  <si>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</si>
  <si>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</si>
  <si>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</si>
  <si>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</si>
  <si>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</si>
  <si>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</si>
  <si>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</si>
  <si>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</si>
  <si>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</si>
  <si>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</si>
  <si>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</si>
  <si>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</si>
  <si>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</si>
  <si>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</si>
  <si>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</si>
  <si>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</si>
  <si>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</si>
  <si>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</si>
  <si>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</si>
  <si>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</si>
  <si>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</si>
  <si>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</si>
  <si>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</si>
  <si>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</si>
  <si>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</si>
  <si>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</si>
  <si>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</si>
  <si>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</si>
  <si>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</si>
  <si>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</si>
  <si>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</si>
  <si>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</si>
  <si>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</si>
  <si>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</si>
  <si>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</si>
  <si>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</si>
  <si>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</si>
  <si>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</si>
  <si>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</si>
  <si>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</si>
  <si>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</si>
  <si>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</si>
  <si>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</si>
  <si>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</si>
  <si>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</si>
  <si>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</si>
  <si>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</si>
  <si>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</si>
  <si>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</si>
  <si>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</si>
  <si>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</si>
  <si>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</si>
  <si>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</si>
  <si>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</si>
  <si>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</si>
  <si>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</si>
  <si>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</si>
  <si>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</si>
  <si>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</si>
  <si>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</si>
  <si>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</si>
  <si>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</si>
  <si>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</si>
  <si>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</si>
  <si>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</si>
  <si>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</si>
  <si>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</si>
  <si>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</si>
  <si>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</si>
  <si>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</si>
  <si>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</si>
  <si>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</si>
  <si>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</si>
  <si>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</si>
  <si>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</si>
  <si>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</si>
  <si>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</si>
  <si>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</si>
  <si>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</si>
  <si>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</si>
  <si>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</si>
  <si>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</si>
  <si>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</si>
  <si>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</si>
  <si>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</si>
  <si>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</si>
  <si>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</si>
  <si>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</si>
  <si>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</si>
  <si>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</si>
  <si>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</si>
  <si>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</si>
  <si>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</si>
  <si>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</si>
  <si>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</si>
  <si>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</si>
  <si>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</si>
  <si>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</si>
  <si>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</si>
  <si>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</si>
  <si>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</si>
  <si>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</si>
  <si>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</si>
  <si>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</si>
  <si>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</si>
  <si>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</si>
  <si>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</si>
  <si>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</si>
  <si>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</si>
  <si>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</si>
  <si>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Enmanuel Subero</t>
  </si>
  <si>
    <t>Endrick</t>
  </si>
  <si>
    <t>Olise</t>
  </si>
  <si>
    <t>Cr7</t>
  </si>
  <si>
    <t>Yamal</t>
  </si>
  <si>
    <t>Mbappe</t>
  </si>
  <si>
    <t>Vitinha</t>
  </si>
  <si>
    <t>Diogo Costa</t>
  </si>
  <si>
    <t xml:space="preserve">Ecuador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</si>
</sst>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26</v>
    <v>5</v>
  </rv>
  <rv s="1">
    <v>48</v>
    <v>6</v>
  </rv>
  <rv s="1">
    <v>49</v>
    <v>5</v>
  </rv>
  <rv s="1">
    <v>50</v>
    <v>5</v>
  </rv>
  <rv s="1">
    <v>16</v>
    <v>5</v>
  </rv>
  <rv s="1">
    <v>30</v>
    <v>5</v>
  </rv>
  <rv s="1">
    <v>37</v>
    <v>5</v>
  </rv>
  <rv s="1">
    <v>36</v>
    <v>5</v>
  </rv>
  <rv s="1">
    <v>14</v>
    <v>5</v>
  </rv>
  <rv s="1">
    <v>38</v>
    <v>5</v>
  </rv>
  <rv s="1">
    <v>24</v>
    <v>5</v>
  </rv>
  <rv s="1">
    <v>8</v>
    <v>5</v>
  </rv>
  <rv s="1">
    <v>29</v>
    <v>5</v>
  </rv>
  <rv s="1">
    <v>4</v>
    <v>5</v>
  </rv>
  <rv s="1">
    <v>6</v>
    <v>5</v>
  </rv>
  <rv s="1">
    <v>43</v>
    <v>5</v>
  </rv>
  <rv s="1">
    <v>2</v>
    <v>5</v>
  </rv>
  <rv s="1">
    <v>18</v>
    <v>5</v>
  </rv>
  <rv s="1">
    <v>45</v>
    <v>5</v>
  </rv>
  <rv s="1">
    <v>17</v>
    <v>5</v>
  </rv>
  <rv s="1">
    <v>19</v>
    <v>5</v>
  </rv>
  <rv s="1">
    <v>25</v>
    <v>5</v>
  </rv>
  <rv s="1">
    <v>11</v>
    <v>5</v>
  </rv>
  <rv s="1">
    <v>28</v>
    <v>5</v>
  </rv>
  <rv s="1">
    <v>12</v>
    <v>5</v>
  </rv>
  <rv s="1">
    <v>32</v>
    <v>5</v>
  </rv>
  <rv s="1">
    <v>46</v>
    <v>5</v>
  </rv>
  <rv s="1">
    <v>10</v>
    <v>5</v>
  </rv>
  <rv s="1">
    <v>44</v>
    <v>5</v>
  </rv>
  <rv s="1">
    <v>26</v>
    <v>4</v>
  </rv>
  <rv s="1">
    <v>21</v>
    <v>5</v>
  </rv>
  <rv s="1">
    <v>39</v>
    <v>5</v>
  </rv>
  <rv s="1">
    <v>9</v>
    <v>5</v>
  </rv>
  <rv s="1">
    <v>0</v>
    <v>5</v>
  </rv>
  <rv s="1">
    <v>35</v>
    <v>5</v>
  </rv>
  <rv s="1">
    <v>27</v>
    <v>5</v>
  </rv>
  <rv s="1">
    <v>20</v>
    <v>5</v>
  </rv>
  <rv s="1">
    <v>47</v>
    <v>5</v>
  </rv>
  <rv s="1">
    <v>13</v>
    <v>5</v>
  </rv>
  <rv s="1">
    <v>40</v>
    <v>5</v>
  </rv>
  <rv s="1">
    <v>33</v>
    <v>5</v>
  </rv>
  <rv s="1">
    <v>1</v>
    <v>5</v>
  </rv>
  <rv s="1">
    <v>7</v>
    <v>5</v>
  </rv>
  <rv s="1">
    <v>23</v>
    <v>5</v>
  </rv>
  <rv s="1">
    <v>31</v>
    <v>5</v>
  </rv>
  <rv s="1">
    <v>42</v>
    <v>5</v>
  </rv>
  <rv s="2">
    <v>41</v>
    <v>5</v>
    <v>Bandera de República Democrática del Congo</v>
  </rv>
  <rv s="2">
    <v>34</v>
    <v>5</v>
    <v>Bandera de Irak</v>
  </rv>
  <rv s="1">
    <v>5</v>
    <v>5</v>
  </rv>
  <rv s="1">
    <v>22</v>
    <v>5</v>
  </rv>
  <rv s="1">
    <v>15</v>
    <v>5</v>
  </rv>
  <rv s="1">
    <v>3</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14" sqref="K14"/>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 zoomScaleNormal="100" workbookViewId="0">
      <selection activeCell="AA150" sqref="AA150"/>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73" t="str">
        <f>Idiomas!D8</f>
        <v>XXIII Mundial USA/MEX/CAN 2026</v>
      </c>
      <c r="X1" s="673"/>
      <c r="Y1" s="673"/>
      <c r="Z1" s="673"/>
      <c r="AA1" s="673"/>
      <c r="AB1" s="673"/>
      <c r="AC1" s="673"/>
      <c r="AD1" s="673"/>
      <c r="AE1" s="673"/>
      <c r="AF1" s="673"/>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P.1 (2)</v>
      </c>
      <c r="F4" s="13" t="str">
        <f t="shared" ref="F4:F9" ca="1" si="2">IF(D4="Pendiente","-",INDEX($BT$6:$BT$53,MATCH($AF4,$BD$6:$BD$53,0)))</f>
        <v>-</v>
      </c>
      <c r="G4" s="13"/>
      <c r="H4" s="13" t="str">
        <f t="shared" ref="H4:H9" ca="1" si="3">IF(D4="Pendiente","-",INDEX($BZ$6:$BZ$53,MATCH($AA4,$BD$6:$BD$53,0)))</f>
        <v>P.1 (2)</v>
      </c>
      <c r="I4" s="13" t="str">
        <f t="shared" ref="I4:I9" ca="1" si="4">IF(D4="Pendiente","-",INDEX($BZ$6:$BZ$53,MATCH($AF4,$BD$6:$BD$53,0)))</f>
        <v>-</v>
      </c>
      <c r="J4" s="13"/>
      <c r="K4" s="13" t="str">
        <f t="shared" ref="K4:K9" ca="1" si="5">IF(D4="Pendiente","-",INDEX($CE$6:$CE$53,MATCH($AA4,$BD$6:$BD$53,0)))</f>
        <v>P.1 (2)</v>
      </c>
      <c r="L4" s="13" t="str">
        <f t="shared" ref="L4:L9" ca="1" si="6">IF(D4="Pendiente","-",INDEX($CE$6:$CE$53,MATCH($AF4,$BD$6:$BD$53,0)))</f>
        <v>-</v>
      </c>
      <c r="M4" s="13"/>
      <c r="N4" s="13" t="str">
        <f t="shared" ref="N4:N9" ca="1" si="7">IF(D4="Pendiente","-",INDEX($CH$6:$CH$53,MATCH($AA4,$BD$6:$BD$53,0)))</f>
        <v>P.1 (2)</v>
      </c>
      <c r="O4" s="13" t="str">
        <f t="shared" ref="O4:O9" ca="1" si="8">IF(D4="Pendiente","-",INDEX($CH$6:$CH$53,MATCH($AF4,$BD$6:$BD$53,0)))</f>
        <v>-</v>
      </c>
      <c r="P4" s="13"/>
      <c r="Q4" s="13" t="str">
        <f t="shared" ref="Q4:Q9" ca="1" si="9">IF(D4="Pendiente","-",INDEX($CN$6:$CN$53,MATCH($AA4,$BD$6:$BD$53,0)))</f>
        <v>P.1 (2)</v>
      </c>
      <c r="R4" s="13" t="str">
        <f t="shared" ref="R4:R9" ca="1" si="10">IF(D4="Pendiente","-",INDEX($CN$6:$CN$53,MATCH($AF4,$BD$6:$BD$53,0)))</f>
        <v>-</v>
      </c>
      <c r="S4" s="13"/>
      <c r="T4" s="13" t="str">
        <f t="shared" ref="T4:T9" ca="1" si="11">IF(D4="Pendiente","-",INDEX($CS$6:$CS$53,MATCH($AA4,$BD$6:$BD$53,0)))</f>
        <v>P.1 (2)</v>
      </c>
      <c r="U4" s="13" t="str">
        <f t="shared" ref="U4:U9" ca="1" si="12">IF(D4="Pendiente","-",INDEX($CS$6:$CS$53,MATCH($AF4,$BD$6:$BD$53,0)))</f>
        <v>-</v>
      </c>
      <c r="V4" s="14"/>
      <c r="W4" s="669" t="s">
        <v>0</v>
      </c>
      <c r="X4" s="21">
        <f ca="1">Horarios!C4</f>
        <v>46184.625</v>
      </c>
      <c r="Y4" s="22">
        <f ca="1">Horarios!C4</f>
        <v>46184.625</v>
      </c>
      <c r="Z4" s="23" t="str">
        <f>Idiomas!D61</f>
        <v>J1</v>
      </c>
      <c r="AA4" s="24" t="str">
        <f ca="1">+A5</f>
        <v>México</v>
      </c>
      <c r="AB4" s="46" t="str" cm="1">
        <f t="array" aca="1" ref="AB4" ca="1">Ver_flag_local</f>
        <v/>
      </c>
      <c r="AC4" s="47">
        <v>2</v>
      </c>
      <c r="AD4" s="48">
        <v>1</v>
      </c>
      <c r="AE4" s="582" t="str" cm="1">
        <f t="array" aca="1" ref="AE4" ca="1">Ver_flag_visit</f>
        <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Local</v>
      </c>
      <c r="E5" s="13" t="str">
        <f t="shared" ca="1" si="1"/>
        <v>P.1 (2)</v>
      </c>
      <c r="F5" s="13" t="str">
        <f t="shared" ca="1" si="2"/>
        <v>-</v>
      </c>
      <c r="G5" s="13"/>
      <c r="H5" s="13" t="str">
        <f t="shared" ca="1" si="3"/>
        <v>P.1 (2)</v>
      </c>
      <c r="I5" s="13" t="str">
        <f t="shared" ca="1" si="4"/>
        <v>-</v>
      </c>
      <c r="J5" s="13"/>
      <c r="K5" s="13" t="str">
        <f t="shared" ca="1" si="5"/>
        <v>P.1 (2)</v>
      </c>
      <c r="L5" s="13" t="str">
        <f t="shared" ca="1" si="6"/>
        <v>-</v>
      </c>
      <c r="M5" s="13"/>
      <c r="N5" s="13" t="str">
        <f t="shared" ca="1" si="7"/>
        <v>P.1 (2)</v>
      </c>
      <c r="O5" s="13" t="str">
        <f t="shared" ca="1" si="8"/>
        <v>-</v>
      </c>
      <c r="P5" s="13"/>
      <c r="Q5" s="13" t="str">
        <f t="shared" ca="1" si="9"/>
        <v>P.1 (2)</v>
      </c>
      <c r="R5" s="13" t="str">
        <f t="shared" ca="1" si="10"/>
        <v>-</v>
      </c>
      <c r="S5" s="13"/>
      <c r="T5" s="13" t="str">
        <f t="shared" ca="1" si="11"/>
        <v>P.1 (2)</v>
      </c>
      <c r="U5" s="13" t="str">
        <f t="shared" ca="1" si="12"/>
        <v>-</v>
      </c>
      <c r="V5" s="14"/>
      <c r="W5" s="669"/>
      <c r="X5" s="21">
        <f ca="1">Horarios!C5</f>
        <v>46184.916666666664</v>
      </c>
      <c r="Y5" s="22">
        <f ca="1">Horarios!C5</f>
        <v>46184.916666666664</v>
      </c>
      <c r="Z5" s="23" t="str">
        <f>$Z$4</f>
        <v>J1</v>
      </c>
      <c r="AA5" s="24" t="str">
        <f ca="1">A7</f>
        <v>Corea del Sur</v>
      </c>
      <c r="AB5" s="46" t="str" cm="1">
        <f t="array" aca="1" ref="AB5" ca="1">Ver_flag_local</f>
        <v/>
      </c>
      <c r="AC5" s="47">
        <v>2</v>
      </c>
      <c r="AD5" s="48">
        <v>1</v>
      </c>
      <c r="AE5" s="582" t="str" cm="1">
        <f t="array" aca="1" ref="AE5" ca="1">Ver_flag_visit</f>
        <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9"/>
      <c r="X6" s="21">
        <f ca="1">Horarios!C6</f>
        <v>46191.5</v>
      </c>
      <c r="Y6" s="22">
        <f ca="1">Horarios!C6</f>
        <v>46191.5</v>
      </c>
      <c r="Z6" s="23" t="str">
        <f>Idiomas!D62</f>
        <v>J2</v>
      </c>
      <c r="AA6" s="24" t="str">
        <f ca="1">A8</f>
        <v>República Checa</v>
      </c>
      <c r="AB6" s="46" t="str" cm="1">
        <f t="array" aca="1" ref="AB6" ca="1">Ver_flag_local</f>
        <v/>
      </c>
      <c r="AC6" s="47">
        <v>2</v>
      </c>
      <c r="AD6" s="48">
        <v>1</v>
      </c>
      <c r="AE6" s="582" t="str" cm="1">
        <f t="array" aca="1" ref="AE6" ca="1">Ver_flag_visit</f>
        <v/>
      </c>
      <c r="AF6" s="29" t="str">
        <f ca="1">A6</f>
        <v>Sudáfrica</v>
      </c>
      <c r="AG6" s="311">
        <f t="shared" si="13"/>
        <v>1</v>
      </c>
      <c r="AH6" s="188">
        <v>25</v>
      </c>
      <c r="AI6" s="177" t="str">
        <f>AJ6&amp;$B$4</f>
        <v>1A</v>
      </c>
      <c r="AJ6" s="37">
        <v>1</v>
      </c>
      <c r="AK6" s="584" t="str" cm="1">
        <f t="array" aca="1" ref="AK6" ca="1">Ver_flag_visit</f>
        <v/>
      </c>
      <c r="AL6" s="31" t="str">
        <f ca="1">IFERROR(INDEX($BD$6:$BD$53,MATCH(AI6,$BN$6:$BN$53,0)),"")</f>
        <v>Corea del Sur</v>
      </c>
      <c r="AM6" s="32">
        <f t="shared" ref="AM6:AT9" ca="1" si="15">INDEX($BE$6:$BN$53,MATCH($AL6,$BD$6:$BD$53,0),MATCH(AM$5,$BE$5:$BN$5,0))</f>
        <v>7</v>
      </c>
      <c r="AN6" s="33">
        <f t="shared" ca="1" si="15"/>
        <v>3</v>
      </c>
      <c r="AO6" s="33">
        <f t="shared" ca="1" si="15"/>
        <v>2</v>
      </c>
      <c r="AP6" s="33">
        <f t="shared" ca="1" si="15"/>
        <v>1</v>
      </c>
      <c r="AQ6" s="33">
        <f t="shared" ca="1" si="15"/>
        <v>0</v>
      </c>
      <c r="AR6" s="33">
        <f t="shared" ca="1" si="15"/>
        <v>6</v>
      </c>
      <c r="AS6" s="33">
        <f t="shared" ca="1" si="15"/>
        <v>3</v>
      </c>
      <c r="AT6" s="38">
        <f t="shared" ca="1" si="15"/>
        <v>3</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7</v>
      </c>
      <c r="BF6" s="13">
        <f ca="1">+BG6+BH6+BI6</f>
        <v>3</v>
      </c>
      <c r="BG6" s="13">
        <f t="shared" ref="BG6:BG53" ca="1" si="17">+COUNTIFS(FGLocal,BD6,Ganador,"Local")+COUNTIFS(FGVisitante,BD6,Ganador,"Visitante")</f>
        <v>2</v>
      </c>
      <c r="BH6" s="13">
        <f t="shared" ref="BH6:BH53" ca="1" si="18">+COUNTIFS(FGLocal,BD6,Ganador,"Empate")+COUNTIFS(FGVisitante,BD6,Ganador,"Empate")</f>
        <v>1</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6</v>
      </c>
      <c r="BK6" s="13">
        <f t="shared" ref="BK6:BK53" ca="1" si="21">+SUMIFS(FG_GolesLocal,FGVisitante,BD6,Ganador,"&lt;&gt;"&amp;"Pendiente",FG_GolesLocal,"&lt;&gt;"&amp;"",FG_GolesVisitante,"&lt;&gt;"&amp;"")+SUMIFS(FG_GolesVisitante,FGLocal,BD6,Ganador,"&lt;&gt;"&amp;"Pendiente",FG_GolesLocal,"&lt;&gt;"&amp;"",FG_GolesVisitante,"&lt;&gt;"&amp;"")</f>
        <v>4</v>
      </c>
      <c r="BL6" s="13">
        <f ca="1">+BJ6-BK6</f>
        <v>2</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7</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P.1 (2)</v>
      </c>
      <c r="BU6" s="13">
        <f t="shared" ref="BU6:BU53" ca="1" si="24">IF($BT6="-","-",COUNTIFS(FGLocal,$BD6,Ganador,"Local",Part1Empate1V,$BT6)+COUNTIFS(FGVisitante,$BD6,Ganador,"Visitante",Part1Empate1L,$BT6))</f>
        <v>0</v>
      </c>
      <c r="BV6" s="13">
        <f t="shared" ref="BV6:BV53" ca="1" si="25">IF($BT6="-","-",COUNTIFS(FGLocal,$BD6,Ganador,"Empate",Part1Empate1V,$BT6)+COUNTIFS(FGVisitante,$BD6,Ganador,"Empate",Part1Empate1L,$BT6))</f>
        <v>1</v>
      </c>
      <c r="BW6" s="13">
        <f t="shared" ref="BW6:BW53" ca="1" si="26">IF($BT6="-","-",COUNTIFS(FGLocal,$BD6,Ganador,"Visitante",Part1Empate1V,$BT6)+COUNTIFS(FGVisitante,$BD6,Ganador,"Local",Part1Empate1L,$BT6))</f>
        <v>0</v>
      </c>
      <c r="BX6" s="13">
        <f ca="1">IF($BT6="-","-",BU6*3+BV6)</f>
        <v>1</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P.1 (2)</v>
      </c>
      <c r="CA6" s="13">
        <f t="shared" ref="CA6:CA53" ca="1" si="27">IF($BZ6="-","-",SUMIFS(FG_GolesLocal,FGLocal,$BD6,Part1Empate2V,$BZ6)+SUMIFS(FG_GolesVisitante,FGVisitante,$BD6,Part1Empate2L,$BZ6))</f>
        <v>2</v>
      </c>
      <c r="CB6" s="13">
        <f t="shared" ref="CB6:CB53" ca="1" si="28">IF($BZ6="-","-",SUMIFS(FG_GolesVisitante,FGLocal,$BD6,Part1Empate2V,$BZ6)+SUMIFS(FG_GolesLocal,FGVisitante,$BD6,Part1Empate2L,$BZ6))</f>
        <v>2</v>
      </c>
      <c r="CC6" s="13">
        <f ca="1">IF($BZ6="-","-",CA6-CB6)</f>
        <v>0</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P.1 (2)</v>
      </c>
      <c r="CF6" s="13">
        <f t="shared" ref="CF6:CF53" ca="1" si="29">IF($CE6="-","-",SUMIFS(FG_GolesLocal,FGLocal,$BD6,Part1Empate3V,$CE6)+SUMIFS(FG_GolesVisitante,FGVisitante,$BD6,Part1Empate3L,$CE6))</f>
        <v>2</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P.1 (2)</v>
      </c>
      <c r="CI6" s="13">
        <f t="shared" ref="CI6:CI53" ca="1" si="30">IF($CH6="-","-",COUNTIFS(FGLocal,$BD6,Ganador,"Local",Part2Empate4V,$CH6)+COUNTIFS(FGVisitante,$BD6,Ganador,"Visitante",Part2Empate4L,$CH6))</f>
        <v>0</v>
      </c>
      <c r="CJ6" s="13">
        <f t="shared" ref="CJ6:CJ53" ca="1" si="31">IF($CH6="-","-",COUNTIFS(FGLocal,$BD6,Ganador,"Empate",Part2Empate4V,$CH6)+COUNTIFS(FGVisitante,$BD6,Ganador,"Empate",Part2Empate4L,$CH6))</f>
        <v>1</v>
      </c>
      <c r="CK6" s="13">
        <f t="shared" ref="CK6:CK53" ca="1" si="32">IF($CH6="-","-",COUNTIFS(FGLocal,$BD6,Ganador,"Visitante",Part2Empate4V,$CH6)+COUNTIFS(FGVisitante,$BD6,Ganador,"Local",Part2Empate4L,$CH6))</f>
        <v>0</v>
      </c>
      <c r="CL6" s="13">
        <f ca="1">IF($CH6="-","-",CI6*3+CJ6)</f>
        <v>1</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P.1 (2)</v>
      </c>
      <c r="CO6" s="13">
        <f t="shared" ref="CO6:CO53" ca="1" si="33">IF($CN6="-","-",SUMIFS(FG_GolesLocal,FGLocal,$BD6,Part2Empate5V,$CN6)+SUMIFS(FG_GolesVisitante,FGVisitante,$BD6,Part2Empate5L,$CN6))</f>
        <v>2</v>
      </c>
      <c r="CP6" s="13">
        <f t="shared" ref="CP6:CP53" ca="1" si="34">IF($CN6="-","-",SUMIFS(FG_GolesVisitante,FGLocal,$BD6,Part2Empate5V,$CN6)+SUMIFS(FG_GolesLocal,FGVisitante,$BD6,Part2Empate5L,$CN6))</f>
        <v>2</v>
      </c>
      <c r="CQ6" s="13">
        <f ca="1">IF($CN6="-","-",CO6-CP6)</f>
        <v>0</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P.1 (2)</v>
      </c>
      <c r="CT6" s="13">
        <f t="shared" ref="CT6:CT53" ca="1" si="35">IF($CS6="-","-",SUMIFS(FG_GolesLocal,FGLocal,$BD6,Part2Empate6V,$CS6)+SUMIFS(FG_GolesVisitante,FGVisitante,$BD6,Part2Empate6L,$CS6))</f>
        <v>2</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P.1 (2)</v>
      </c>
      <c r="CW6" s="13">
        <f t="shared" ref="CW6:CW53" ca="1" si="36">IF(CV6="-","-",BL6)</f>
        <v>2</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05" customHeight="1">
      <c r="A7" s="13" t="str">
        <f ca="1">+Equipos!B4</f>
        <v>Corea del Sur</v>
      </c>
      <c r="B7" s="13"/>
      <c r="C7" s="13"/>
      <c r="D7" s="13" t="str">
        <f t="shared" si="0"/>
        <v>Empate</v>
      </c>
      <c r="E7" s="13" t="str">
        <f t="shared" ca="1" si="1"/>
        <v>P.1 (2)</v>
      </c>
      <c r="F7" s="13" t="str">
        <f t="shared" ca="1" si="2"/>
        <v>P.1 (2)</v>
      </c>
      <c r="G7" s="13"/>
      <c r="H7" s="13" t="str">
        <f t="shared" ca="1" si="3"/>
        <v>P.1 (2)</v>
      </c>
      <c r="I7" s="13" t="str">
        <f t="shared" ca="1" si="4"/>
        <v>P.1 (2)</v>
      </c>
      <c r="J7" s="13"/>
      <c r="K7" s="13" t="str">
        <f t="shared" ca="1" si="5"/>
        <v>P.1 (2)</v>
      </c>
      <c r="L7" s="13" t="str">
        <f t="shared" ca="1" si="6"/>
        <v>P.1 (2)</v>
      </c>
      <c r="M7" s="13"/>
      <c r="N7" s="13" t="str">
        <f t="shared" ca="1" si="7"/>
        <v>P.1 (2)</v>
      </c>
      <c r="O7" s="13" t="str">
        <f t="shared" ca="1" si="8"/>
        <v>P.1 (2)</v>
      </c>
      <c r="P7" s="13"/>
      <c r="Q7" s="13" t="str">
        <f t="shared" ca="1" si="9"/>
        <v>P.1 (2)</v>
      </c>
      <c r="R7" s="13" t="str">
        <f t="shared" ca="1" si="10"/>
        <v>P.1 (2)</v>
      </c>
      <c r="S7" s="13"/>
      <c r="T7" s="13" t="str">
        <f t="shared" ca="1" si="11"/>
        <v>P.1 (2)</v>
      </c>
      <c r="U7" s="13" t="str">
        <f t="shared" ca="1" si="12"/>
        <v>P.1 (2)</v>
      </c>
      <c r="V7" s="14"/>
      <c r="W7" s="669"/>
      <c r="X7" s="21">
        <f ca="1">Horarios!C7</f>
        <v>46191.875</v>
      </c>
      <c r="Y7" s="22">
        <f ca="1">Horarios!C7</f>
        <v>46191.875</v>
      </c>
      <c r="Z7" s="23" t="str">
        <f>$Z$6</f>
        <v>J2</v>
      </c>
      <c r="AA7" s="24" t="str">
        <f ca="1">A5</f>
        <v>México</v>
      </c>
      <c r="AB7" s="46" t="str" cm="1">
        <f t="array" aca="1" ref="AB7" ca="1">Ver_flag_local</f>
        <v/>
      </c>
      <c r="AC7" s="47">
        <v>2</v>
      </c>
      <c r="AD7" s="48">
        <v>2</v>
      </c>
      <c r="AE7" s="582" t="str" cm="1">
        <f t="array" aca="1" ref="AE7" ca="1">Ver_flag_visit</f>
        <v/>
      </c>
      <c r="AF7" s="29" t="str">
        <f ca="1">A7</f>
        <v>Corea del Sur</v>
      </c>
      <c r="AG7" s="311">
        <f t="shared" si="13"/>
        <v>1</v>
      </c>
      <c r="AH7" s="188">
        <v>28</v>
      </c>
      <c r="AI7" s="177" t="str">
        <f>AJ7&amp;$B$4</f>
        <v>2A</v>
      </c>
      <c r="AJ7" s="39">
        <v>2</v>
      </c>
      <c r="AK7" s="585" t="str" cm="1">
        <f t="array" aca="1" ref="AK7" ca="1">Ver_flag_visit</f>
        <v/>
      </c>
      <c r="AL7" s="34" t="str">
        <f ca="1">IFERROR(INDEX($BD$6:$BD$53,MATCH(AI7,$BN$6:$BN$53,0)),"")</f>
        <v>México</v>
      </c>
      <c r="AM7" s="35">
        <f t="shared" ca="1" si="15"/>
        <v>7</v>
      </c>
      <c r="AN7" s="36">
        <f t="shared" ca="1" si="15"/>
        <v>3</v>
      </c>
      <c r="AO7" s="36">
        <f t="shared" ca="1" si="15"/>
        <v>2</v>
      </c>
      <c r="AP7" s="36">
        <f t="shared" ca="1" si="15"/>
        <v>1</v>
      </c>
      <c r="AQ7" s="36">
        <f t="shared" ca="1" si="15"/>
        <v>0</v>
      </c>
      <c r="AR7" s="36">
        <f t="shared" ca="1" si="15"/>
        <v>6</v>
      </c>
      <c r="AS7" s="36">
        <f t="shared" ca="1" si="15"/>
        <v>4</v>
      </c>
      <c r="AT7" s="40">
        <f t="shared" ca="1" si="15"/>
        <v>2</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2</v>
      </c>
      <c r="BK7" s="13">
        <f t="shared" ca="1" si="21"/>
        <v>6</v>
      </c>
      <c r="BL7" s="13">
        <f t="shared" ref="BL7:BL53" ca="1" si="42">+BJ7-BK7</f>
        <v>-4</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05" customHeight="1">
      <c r="A8" s="13" t="str">
        <f ca="1">+Equipos!B5</f>
        <v>República Checa</v>
      </c>
      <c r="B8" s="13"/>
      <c r="C8" s="13"/>
      <c r="D8" s="13" t="str">
        <f t="shared" si="0"/>
        <v>Visitante</v>
      </c>
      <c r="E8" s="13" t="str">
        <f t="shared" ca="1" si="1"/>
        <v>-</v>
      </c>
      <c r="F8" s="13" t="str">
        <f t="shared" ca="1" si="2"/>
        <v>P.1 (2)</v>
      </c>
      <c r="G8" s="13"/>
      <c r="H8" s="13" t="str">
        <f t="shared" ca="1" si="3"/>
        <v>-</v>
      </c>
      <c r="I8" s="13" t="str">
        <f t="shared" ca="1" si="4"/>
        <v>P.1 (2)</v>
      </c>
      <c r="J8" s="13"/>
      <c r="K8" s="13" t="str">
        <f t="shared" ca="1" si="5"/>
        <v>-</v>
      </c>
      <c r="L8" s="13" t="str">
        <f t="shared" ca="1" si="6"/>
        <v>P.1 (2)</v>
      </c>
      <c r="M8" s="13"/>
      <c r="N8" s="13" t="str">
        <f t="shared" ca="1" si="7"/>
        <v>-</v>
      </c>
      <c r="O8" s="13" t="str">
        <f t="shared" ca="1" si="8"/>
        <v>P.1 (2)</v>
      </c>
      <c r="P8" s="13"/>
      <c r="Q8" s="13" t="str">
        <f t="shared" ca="1" si="9"/>
        <v>-</v>
      </c>
      <c r="R8" s="13" t="str">
        <f t="shared" ca="1" si="10"/>
        <v>P.1 (2)</v>
      </c>
      <c r="S8" s="13"/>
      <c r="T8" s="13" t="str">
        <f t="shared" ca="1" si="11"/>
        <v>-</v>
      </c>
      <c r="U8" s="13" t="str">
        <f t="shared" ca="1" si="12"/>
        <v>P.1 (2)</v>
      </c>
      <c r="V8" s="14"/>
      <c r="W8" s="669"/>
      <c r="X8" s="21">
        <f ca="1">Horarios!C8</f>
        <v>46197.875</v>
      </c>
      <c r="Y8" s="22">
        <f ca="1">Horarios!C8</f>
        <v>46197.875</v>
      </c>
      <c r="Z8" s="23" t="str">
        <f>Idiomas!D63</f>
        <v>J3</v>
      </c>
      <c r="AA8" s="24" t="str">
        <f ca="1">A8</f>
        <v>República Checa</v>
      </c>
      <c r="AB8" s="46" t="str" cm="1">
        <f t="array" aca="1" ref="AB8" ca="1">Ver_flag_local</f>
        <v/>
      </c>
      <c r="AC8" s="47">
        <v>1</v>
      </c>
      <c r="AD8" s="48">
        <v>2</v>
      </c>
      <c r="AE8" s="582" t="str" cm="1">
        <f t="array" aca="1" ref="AE8" ca="1">Ver_flag_visit</f>
        <v/>
      </c>
      <c r="AF8" s="29" t="str">
        <f ca="1">A5</f>
        <v>México</v>
      </c>
      <c r="AG8" s="311">
        <f t="shared" si="13"/>
        <v>1</v>
      </c>
      <c r="AH8" s="188">
        <v>53</v>
      </c>
      <c r="AI8" s="177" t="str">
        <f>AJ8&amp;$B$4</f>
        <v>3A</v>
      </c>
      <c r="AJ8" s="39">
        <v>3</v>
      </c>
      <c r="AK8" s="585" t="str" cm="1">
        <f t="array" aca="1" ref="AK8" ca="1">Ver_flag_visit</f>
        <v/>
      </c>
      <c r="AL8" s="34" t="str">
        <f ca="1">IFERROR(INDEX($BD$6:$BD$53,MATCH(AI8,$BN$6:$BN$53,0)),"")</f>
        <v>República Checa</v>
      </c>
      <c r="AM8" s="35">
        <f t="shared" ca="1" si="15"/>
        <v>3</v>
      </c>
      <c r="AN8" s="36">
        <f t="shared" ca="1" si="15"/>
        <v>3</v>
      </c>
      <c r="AO8" s="36">
        <f t="shared" ca="1" si="15"/>
        <v>1</v>
      </c>
      <c r="AP8" s="36">
        <f t="shared" ca="1" si="15"/>
        <v>0</v>
      </c>
      <c r="AQ8" s="36">
        <f t="shared" ca="1" si="15"/>
        <v>2</v>
      </c>
      <c r="AR8" s="36">
        <f t="shared" ca="1" si="15"/>
        <v>4</v>
      </c>
      <c r="AS8" s="36">
        <f t="shared" ca="1" si="15"/>
        <v>5</v>
      </c>
      <c r="AT8" s="40">
        <f t="shared" ca="1" si="15"/>
        <v>-1</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7</v>
      </c>
      <c r="BF8" s="13">
        <f t="shared" ca="1" si="41"/>
        <v>3</v>
      </c>
      <c r="BG8" s="13">
        <f t="shared" ca="1" si="17"/>
        <v>2</v>
      </c>
      <c r="BH8" s="13">
        <f t="shared" ca="1" si="18"/>
        <v>1</v>
      </c>
      <c r="BI8" s="13">
        <f t="shared" ca="1" si="19"/>
        <v>0</v>
      </c>
      <c r="BJ8" s="13">
        <f t="shared" ca="1" si="20"/>
        <v>6</v>
      </c>
      <c r="BK8" s="13">
        <f t="shared" ca="1" si="21"/>
        <v>3</v>
      </c>
      <c r="BL8" s="13">
        <f t="shared" ca="1" si="42"/>
        <v>3</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7</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P.1 (2)</v>
      </c>
      <c r="BU8" s="13">
        <f t="shared" ca="1" si="24"/>
        <v>0</v>
      </c>
      <c r="BV8" s="13">
        <f t="shared" ca="1" si="25"/>
        <v>1</v>
      </c>
      <c r="BW8" s="13">
        <f t="shared" ca="1" si="26"/>
        <v>0</v>
      </c>
      <c r="BX8" s="13">
        <f ca="1">IF($BT8="-","-",BU8*3+BV8)</f>
        <v>1</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P.1 (2)</v>
      </c>
      <c r="CA8" s="13">
        <f t="shared" ca="1" si="27"/>
        <v>2</v>
      </c>
      <c r="CB8" s="13">
        <f t="shared" ca="1" si="28"/>
        <v>2</v>
      </c>
      <c r="CC8" s="13">
        <f ca="1">IF($BZ8="-","-",CA8-CB8)</f>
        <v>0</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P.1 (2)</v>
      </c>
      <c r="CF8" s="13">
        <f t="shared" ca="1" si="29"/>
        <v>2</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P.1 (2)</v>
      </c>
      <c r="CI8" s="13">
        <f t="shared" ca="1" si="30"/>
        <v>0</v>
      </c>
      <c r="CJ8" s="13">
        <f t="shared" ca="1" si="31"/>
        <v>1</v>
      </c>
      <c r="CK8" s="13">
        <f t="shared" ca="1" si="32"/>
        <v>0</v>
      </c>
      <c r="CL8" s="13">
        <f ca="1">IF($CH8="-","-",CI8*3+CJ8)</f>
        <v>1</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P.1 (2)</v>
      </c>
      <c r="CO8" s="13">
        <f t="shared" ca="1" si="33"/>
        <v>2</v>
      </c>
      <c r="CP8" s="13">
        <f t="shared" ca="1" si="34"/>
        <v>2</v>
      </c>
      <c r="CQ8" s="13">
        <f ca="1">IF($CN8="-","-",CO8-CP8)</f>
        <v>0</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P.1 (2)</v>
      </c>
      <c r="CT8" s="13">
        <f t="shared" ca="1" si="35"/>
        <v>2</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P.1 (2)</v>
      </c>
      <c r="CW8" s="13">
        <f t="shared" ca="1" si="36"/>
        <v>3</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05" customHeight="1" thickBot="1">
      <c r="A9" s="13"/>
      <c r="B9" s="13"/>
      <c r="C9" s="13"/>
      <c r="D9" s="13" t="str">
        <f t="shared" si="0"/>
        <v>Visitante</v>
      </c>
      <c r="E9" s="13" t="str">
        <f t="shared" ca="1" si="1"/>
        <v>-</v>
      </c>
      <c r="F9" s="13" t="str">
        <f t="shared" ca="1" si="2"/>
        <v>P.1 (2)</v>
      </c>
      <c r="G9" s="13"/>
      <c r="H9" s="13" t="str">
        <f t="shared" ca="1" si="3"/>
        <v>-</v>
      </c>
      <c r="I9" s="13" t="str">
        <f t="shared" ca="1" si="4"/>
        <v>P.1 (2)</v>
      </c>
      <c r="J9" s="13"/>
      <c r="K9" s="13" t="str">
        <f t="shared" ca="1" si="5"/>
        <v>-</v>
      </c>
      <c r="L9" s="13" t="str">
        <f t="shared" ca="1" si="6"/>
        <v>P.1 (2)</v>
      </c>
      <c r="M9" s="13"/>
      <c r="N9" s="13" t="str">
        <f t="shared" ca="1" si="7"/>
        <v>-</v>
      </c>
      <c r="O9" s="13" t="str">
        <f t="shared" ca="1" si="8"/>
        <v>P.1 (2)</v>
      </c>
      <c r="P9" s="13"/>
      <c r="Q9" s="13" t="str">
        <f t="shared" ca="1" si="9"/>
        <v>-</v>
      </c>
      <c r="R9" s="13" t="str">
        <f t="shared" ca="1" si="10"/>
        <v>P.1 (2)</v>
      </c>
      <c r="S9" s="13"/>
      <c r="T9" s="13" t="str">
        <f t="shared" ca="1" si="11"/>
        <v>-</v>
      </c>
      <c r="U9" s="13" t="str">
        <f t="shared" ca="1" si="12"/>
        <v>P.1 (2)</v>
      </c>
      <c r="V9" s="14"/>
      <c r="W9" s="670"/>
      <c r="X9" s="25">
        <f ca="1">Horarios!C9</f>
        <v>46197.875</v>
      </c>
      <c r="Y9" s="26">
        <f ca="1">Horarios!C9</f>
        <v>46197.875</v>
      </c>
      <c r="Z9" s="27" t="str">
        <f>$Z$8</f>
        <v>J3</v>
      </c>
      <c r="AA9" s="28" t="str">
        <f ca="1">A6</f>
        <v>Sudáfrica</v>
      </c>
      <c r="AB9" s="49" t="str" cm="1">
        <f t="array" aca="1" ref="AB9" ca="1">Ver_flag_local</f>
        <v/>
      </c>
      <c r="AC9" s="50">
        <v>0</v>
      </c>
      <c r="AD9" s="51">
        <v>2</v>
      </c>
      <c r="AE9" s="583" t="str" cm="1">
        <f t="array" aca="1" ref="AE9" ca="1">Ver_flag_visit</f>
        <v/>
      </c>
      <c r="AF9" s="30" t="str">
        <f ca="1">A7</f>
        <v>Corea del Sur</v>
      </c>
      <c r="AG9" s="311">
        <f t="shared" si="13"/>
        <v>1</v>
      </c>
      <c r="AH9" s="188">
        <v>54</v>
      </c>
      <c r="AI9" s="177" t="str">
        <f>AJ9&amp;$B$4</f>
        <v>4A</v>
      </c>
      <c r="AJ9" s="41">
        <v>4</v>
      </c>
      <c r="AK9" s="586" t="str" cm="1">
        <f t="array" aca="1" ref="AK9" ca="1">Ver_flag_visit</f>
        <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2</v>
      </c>
      <c r="AS9" s="44">
        <f t="shared" ca="1" si="15"/>
        <v>6</v>
      </c>
      <c r="AT9" s="45">
        <f t="shared" ca="1" si="15"/>
        <v>-4</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3</v>
      </c>
      <c r="BF9" s="13">
        <f t="shared" ca="1" si="41"/>
        <v>3</v>
      </c>
      <c r="BG9" s="13">
        <f t="shared" ca="1" si="17"/>
        <v>1</v>
      </c>
      <c r="BH9" s="13">
        <f t="shared" ca="1" si="18"/>
        <v>0</v>
      </c>
      <c r="BI9" s="13">
        <f t="shared" ca="1" si="19"/>
        <v>2</v>
      </c>
      <c r="BJ9" s="13">
        <f t="shared" ca="1" si="20"/>
        <v>4</v>
      </c>
      <c r="BK9" s="13">
        <f t="shared" ca="1" si="21"/>
        <v>5</v>
      </c>
      <c r="BL9" s="13">
        <f t="shared" ca="1" si="42"/>
        <v>-1</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3</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7</v>
      </c>
      <c r="BF10" s="13">
        <f t="shared" ca="1" si="41"/>
        <v>3</v>
      </c>
      <c r="BG10" s="13">
        <f t="shared" ca="1" si="17"/>
        <v>2</v>
      </c>
      <c r="BH10" s="13">
        <f t="shared" ca="1" si="18"/>
        <v>1</v>
      </c>
      <c r="BI10" s="13">
        <f t="shared" ca="1" si="19"/>
        <v>0</v>
      </c>
      <c r="BJ10" s="13">
        <f t="shared" ca="1" si="20"/>
        <v>6</v>
      </c>
      <c r="BK10" s="13">
        <f t="shared" ca="1" si="21"/>
        <v>4</v>
      </c>
      <c r="BL10" s="13">
        <f t="shared" ca="1" si="42"/>
        <v>2</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7</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P.1 (2)</v>
      </c>
      <c r="BU10" s="13">
        <f t="shared" ca="1" si="24"/>
        <v>0</v>
      </c>
      <c r="BV10" s="13">
        <f t="shared" ca="1" si="25"/>
        <v>1</v>
      </c>
      <c r="BW10" s="13">
        <f t="shared" ca="1" si="26"/>
        <v>0</v>
      </c>
      <c r="BX10" s="13">
        <f t="shared" ref="BX10:BX53" ca="1" si="48">IF($BT10="-","-",BU10*3+BV10)</f>
        <v>1</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P.1 (2)</v>
      </c>
      <c r="CA10" s="13">
        <f t="shared" ca="1" si="27"/>
        <v>2</v>
      </c>
      <c r="CB10" s="13">
        <f t="shared" ca="1" si="28"/>
        <v>2</v>
      </c>
      <c r="CC10" s="13">
        <f t="shared" ref="CC10:CC53" ca="1" si="49">IF($BZ10="-","-",CA10-CB10)</f>
        <v>0</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P.1 (2)</v>
      </c>
      <c r="CF10" s="13">
        <f t="shared" ca="1" si="29"/>
        <v>2</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P.1 (2)</v>
      </c>
      <c r="CI10" s="13">
        <f t="shared" ca="1" si="30"/>
        <v>0</v>
      </c>
      <c r="CJ10" s="13">
        <f t="shared" ca="1" si="31"/>
        <v>1</v>
      </c>
      <c r="CK10" s="13">
        <f t="shared" ca="1" si="32"/>
        <v>0</v>
      </c>
      <c r="CL10" s="13">
        <f t="shared" ref="CL10:CL53" ca="1" si="50">IF($CH10="-","-",CI10*3+CJ10)</f>
        <v>1</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P.1 (2)</v>
      </c>
      <c r="CO10" s="13">
        <f t="shared" ca="1" si="33"/>
        <v>2</v>
      </c>
      <c r="CP10" s="13">
        <f t="shared" ca="1" si="34"/>
        <v>2</v>
      </c>
      <c r="CQ10" s="13">
        <f t="shared" ref="CQ10:CQ53" ca="1" si="51">IF($CN10="-","-",CO10-CP10)</f>
        <v>0</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P.1 (2)</v>
      </c>
      <c r="CT10" s="13">
        <f t="shared" ca="1" si="35"/>
        <v>2</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P.1 (2)</v>
      </c>
      <c r="CW10" s="13">
        <f t="shared" ca="1" si="36"/>
        <v>2</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1</v>
      </c>
      <c r="BF11" s="13">
        <f t="shared" ca="1" si="41"/>
        <v>3</v>
      </c>
      <c r="BG11" s="13">
        <f t="shared" ca="1" si="17"/>
        <v>0</v>
      </c>
      <c r="BH11" s="13">
        <f t="shared" ca="1" si="18"/>
        <v>1</v>
      </c>
      <c r="BI11" s="13">
        <f t="shared" ca="1" si="19"/>
        <v>2</v>
      </c>
      <c r="BJ11" s="13">
        <f t="shared" ca="1" si="20"/>
        <v>3</v>
      </c>
      <c r="BK11" s="13">
        <f t="shared" ca="1" si="21"/>
        <v>5</v>
      </c>
      <c r="BL11" s="13">
        <f t="shared" ca="1" si="42"/>
        <v>-2</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1</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P.3 (2)</v>
      </c>
      <c r="BU11" s="13">
        <f t="shared" ca="1" si="24"/>
        <v>0</v>
      </c>
      <c r="BV11" s="13">
        <f t="shared" ca="1" si="25"/>
        <v>1</v>
      </c>
      <c r="BW11" s="13">
        <f t="shared" ca="1" si="26"/>
        <v>0</v>
      </c>
      <c r="BX11" s="13">
        <f t="shared" ca="1" si="48"/>
        <v>1</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P.3 (2)</v>
      </c>
      <c r="CA11" s="13">
        <f t="shared" ca="1" si="27"/>
        <v>1</v>
      </c>
      <c r="CB11" s="13">
        <f t="shared" ca="1" si="28"/>
        <v>1</v>
      </c>
      <c r="CC11" s="13">
        <f t="shared" ca="1" si="49"/>
        <v>0</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P.3 (2)</v>
      </c>
      <c r="CF11" s="13">
        <f t="shared" ca="1" si="29"/>
        <v>1</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P.3 (2)</v>
      </c>
      <c r="CI11" s="13">
        <f t="shared" ca="1" si="30"/>
        <v>0</v>
      </c>
      <c r="CJ11" s="13">
        <f t="shared" ca="1" si="31"/>
        <v>1</v>
      </c>
      <c r="CK11" s="13">
        <f t="shared" ca="1" si="32"/>
        <v>0</v>
      </c>
      <c r="CL11" s="13">
        <f t="shared" ca="1" si="50"/>
        <v>1</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P.3 (2)</v>
      </c>
      <c r="CO11" s="13">
        <f t="shared" ca="1" si="33"/>
        <v>1</v>
      </c>
      <c r="CP11" s="13">
        <f t="shared" ca="1" si="34"/>
        <v>1</v>
      </c>
      <c r="CQ11" s="13">
        <f t="shared" ca="1" si="51"/>
        <v>0</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P.3 (2)</v>
      </c>
      <c r="CT11" s="13">
        <f t="shared" ca="1" si="35"/>
        <v>1</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P.3 (2)</v>
      </c>
      <c r="CW11" s="13">
        <f t="shared" ca="1" si="36"/>
        <v>-2</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P.1 (2)</v>
      </c>
      <c r="F12" s="13" t="str">
        <f t="shared" ref="F12:F17" ca="1" si="55">IF(D12="Pendiente","-",INDEX($BT$6:$BT$53,MATCH($AF12,$BD$6:$BD$53,0)))</f>
        <v>P.3 (2)</v>
      </c>
      <c r="G12" s="13"/>
      <c r="H12" s="13" t="str">
        <f t="shared" ref="H12:H17" ca="1" si="56">IF(D12="Pendiente","-",INDEX($BZ$6:$BZ$53,MATCH($AA12,$BD$6:$BD$53,0)))</f>
        <v>P.1 (2)</v>
      </c>
      <c r="I12" s="13" t="str">
        <f t="shared" ref="I12:I17" ca="1" si="57">IF(D12="Pendiente","-",INDEX($BZ$6:$BZ$53,MATCH($AF12,$BD$6:$BD$53,0)))</f>
        <v>P.3 (2)</v>
      </c>
      <c r="J12" s="13"/>
      <c r="K12" s="13" t="str">
        <f t="shared" ref="K12:K17" ca="1" si="58">IF(D12="Pendiente","-",INDEX($CE$6:$CE$53,MATCH($AA12,$BD$6:$BD$53,0)))</f>
        <v>P.1 (2)</v>
      </c>
      <c r="L12" s="13" t="str">
        <f t="shared" ref="L12:L17" ca="1" si="59">IF(D12="Pendiente","-",INDEX($CE$6:$CE$53,MATCH($AF12,$BD$6:$BD$53,0)))</f>
        <v>P.3 (2)</v>
      </c>
      <c r="M12" s="13"/>
      <c r="N12" s="13" t="str">
        <f t="shared" ref="N12:N17" ca="1" si="60">IF(D12="Pendiente","-",INDEX($CH$6:$CH$53,MATCH($AA12,$BD$6:$BD$53,0)))</f>
        <v>P.1 (2)</v>
      </c>
      <c r="O12" s="13" t="str">
        <f t="shared" ref="O12:O17" ca="1" si="61">IF(D12="Pendiente","-",INDEX($CH$6:$CH$53,MATCH($AF12,$BD$6:$BD$53,0)))</f>
        <v>P.3 (2)</v>
      </c>
      <c r="P12" s="13"/>
      <c r="Q12" s="13" t="str">
        <f t="shared" ref="Q12:Q17" ca="1" si="62">IF(D12="Pendiente","-",INDEX($CN$6:$CN$53,MATCH($AA12,$BD$6:$BD$53,0)))</f>
        <v>P.1 (2)</v>
      </c>
      <c r="R12" s="13" t="str">
        <f t="shared" ref="R12:R17" ca="1" si="63">IF(D12="Pendiente","-",INDEX($CN$6:$CN$53,MATCH($AF12,$BD$6:$BD$53,0)))</f>
        <v>P.3 (2)</v>
      </c>
      <c r="S12" s="13"/>
      <c r="T12" s="13" t="str">
        <f t="shared" ref="T12:T17" ca="1" si="64">IF(D12="Pendiente","-",INDEX($CS$6:$CS$53,MATCH($AA12,$BD$6:$BD$53,0)))</f>
        <v>P.1 (2)</v>
      </c>
      <c r="U12" s="13" t="str">
        <f t="shared" ref="U12:U17" ca="1" si="65">IF(D12="Pendiente","-",INDEX($CS$6:$CS$53,MATCH($AF12,$BD$6:$BD$53,0)))</f>
        <v>P.3 (2)</v>
      </c>
      <c r="V12" s="14"/>
      <c r="W12" s="671" t="s">
        <v>1</v>
      </c>
      <c r="X12" s="21">
        <f ca="1">Horarios!C12</f>
        <v>46185.625</v>
      </c>
      <c r="Y12" s="22">
        <f ca="1">Horarios!C12</f>
        <v>46185.625</v>
      </c>
      <c r="Z12" s="23" t="str">
        <f>$Z$4</f>
        <v>J1</v>
      </c>
      <c r="AA12" s="24" t="str">
        <f ca="1">A13</f>
        <v>Canadá</v>
      </c>
      <c r="AB12" s="46" t="str" cm="1">
        <f t="array" aca="1" ref="AB12" ca="1">Ver_flag_local</f>
        <v/>
      </c>
      <c r="AC12" s="47">
        <v>2</v>
      </c>
      <c r="AD12" s="48">
        <v>1</v>
      </c>
      <c r="AE12" s="582" t="str" cm="1">
        <f t="array" aca="1" ref="AE12" ca="1">Ver_flag_visit</f>
        <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1</v>
      </c>
      <c r="BF12" s="13">
        <f t="shared" ca="1" si="41"/>
        <v>3</v>
      </c>
      <c r="BG12" s="13">
        <f t="shared" ca="1" si="17"/>
        <v>0</v>
      </c>
      <c r="BH12" s="13">
        <f t="shared" ca="1" si="18"/>
        <v>1</v>
      </c>
      <c r="BI12" s="13">
        <f t="shared" ca="1" si="19"/>
        <v>2</v>
      </c>
      <c r="BJ12" s="13">
        <f t="shared" ca="1" si="20"/>
        <v>3</v>
      </c>
      <c r="BK12" s="13">
        <f t="shared" ca="1" si="21"/>
        <v>6</v>
      </c>
      <c r="BL12" s="13">
        <f t="shared" ca="1" si="42"/>
        <v>-3</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1</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P.3 (2)</v>
      </c>
      <c r="BU12" s="13">
        <f t="shared" ca="1" si="24"/>
        <v>0</v>
      </c>
      <c r="BV12" s="13">
        <f t="shared" ca="1" si="25"/>
        <v>1</v>
      </c>
      <c r="BW12" s="13">
        <f t="shared" ca="1" si="26"/>
        <v>0</v>
      </c>
      <c r="BX12" s="13">
        <f t="shared" ca="1" si="48"/>
        <v>1</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P.3 (2)</v>
      </c>
      <c r="CA12" s="13">
        <f t="shared" ca="1" si="27"/>
        <v>1</v>
      </c>
      <c r="CB12" s="13">
        <f t="shared" ca="1" si="28"/>
        <v>1</v>
      </c>
      <c r="CC12" s="13">
        <f t="shared" ca="1" si="49"/>
        <v>0</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P.3 (2)</v>
      </c>
      <c r="CF12" s="13">
        <f t="shared" ca="1" si="29"/>
        <v>1</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P.3 (2)</v>
      </c>
      <c r="CI12" s="13">
        <f t="shared" ca="1" si="30"/>
        <v>0</v>
      </c>
      <c r="CJ12" s="13">
        <f t="shared" ca="1" si="31"/>
        <v>1</v>
      </c>
      <c r="CK12" s="13">
        <f t="shared" ca="1" si="32"/>
        <v>0</v>
      </c>
      <c r="CL12" s="13">
        <f t="shared" ca="1" si="50"/>
        <v>1</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P.3 (2)</v>
      </c>
      <c r="CO12" s="13">
        <f t="shared" ca="1" si="33"/>
        <v>1</v>
      </c>
      <c r="CP12" s="13">
        <f t="shared" ca="1" si="34"/>
        <v>1</v>
      </c>
      <c r="CQ12" s="13">
        <f t="shared" ca="1" si="51"/>
        <v>0</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P.3 (2)</v>
      </c>
      <c r="CT12" s="13">
        <f t="shared" ca="1" si="35"/>
        <v>1</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P.3 (2)</v>
      </c>
      <c r="CW12" s="13">
        <f t="shared" ca="1" si="36"/>
        <v>-3</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05" customHeight="1">
      <c r="A13" s="13" t="str">
        <f ca="1">+Equipos!B6</f>
        <v>Canadá</v>
      </c>
      <c r="B13" s="13"/>
      <c r="C13" s="13"/>
      <c r="D13" s="13" t="str">
        <f t="shared" si="53"/>
        <v>Visitante</v>
      </c>
      <c r="E13" s="13" t="str">
        <f t="shared" ca="1" si="54"/>
        <v>P.3 (2)</v>
      </c>
      <c r="F13" s="13" t="str">
        <f t="shared" ca="1" si="55"/>
        <v>P.1 (2)</v>
      </c>
      <c r="G13" s="13"/>
      <c r="H13" s="13" t="str">
        <f t="shared" ca="1" si="56"/>
        <v>P.3 (2)</v>
      </c>
      <c r="I13" s="13" t="str">
        <f t="shared" ca="1" si="57"/>
        <v>P.1 (2)</v>
      </c>
      <c r="J13" s="13"/>
      <c r="K13" s="13" t="str">
        <f t="shared" ca="1" si="58"/>
        <v>P.3 (2)</v>
      </c>
      <c r="L13" s="13" t="str">
        <f t="shared" ca="1" si="59"/>
        <v>P.1 (2)</v>
      </c>
      <c r="M13" s="13"/>
      <c r="N13" s="13" t="str">
        <f t="shared" ca="1" si="60"/>
        <v>P.3 (2)</v>
      </c>
      <c r="O13" s="13" t="str">
        <f t="shared" ca="1" si="61"/>
        <v>P.1 (2)</v>
      </c>
      <c r="P13" s="13"/>
      <c r="Q13" s="13" t="str">
        <f t="shared" ca="1" si="62"/>
        <v>P.3 (2)</v>
      </c>
      <c r="R13" s="13" t="str">
        <f t="shared" ca="1" si="63"/>
        <v>P.1 (2)</v>
      </c>
      <c r="S13" s="13"/>
      <c r="T13" s="13" t="str">
        <f t="shared" ca="1" si="64"/>
        <v>P.3 (2)</v>
      </c>
      <c r="U13" s="13" t="str">
        <f t="shared" ca="1" si="65"/>
        <v>P.1 (2)</v>
      </c>
      <c r="V13" s="14"/>
      <c r="W13" s="671"/>
      <c r="X13" s="21">
        <f ca="1">Horarios!C13</f>
        <v>46186.625</v>
      </c>
      <c r="Y13" s="22">
        <f ca="1">Horarios!C13</f>
        <v>46186.625</v>
      </c>
      <c r="Z13" s="23" t="str">
        <f>$Z$4</f>
        <v>J1</v>
      </c>
      <c r="AA13" s="24" t="str">
        <f ca="1">A15</f>
        <v>Catar</v>
      </c>
      <c r="AB13" s="46" t="str" cm="1">
        <f t="array" aca="1" ref="AB13" ca="1">Ver_flag_local</f>
        <v/>
      </c>
      <c r="AC13" s="47">
        <v>1</v>
      </c>
      <c r="AD13" s="48">
        <v>3</v>
      </c>
      <c r="AE13" s="582" t="str" cm="1">
        <f t="array" aca="1" ref="AE13" ca="1">Ver_flag_visit</f>
        <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7</v>
      </c>
      <c r="BK13" s="13">
        <f t="shared" ca="1" si="21"/>
        <v>4</v>
      </c>
      <c r="BL13" s="13">
        <f t="shared" ca="1" si="42"/>
        <v>3</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P.1 (2)</v>
      </c>
      <c r="BU13" s="13">
        <f t="shared" ca="1" si="24"/>
        <v>0</v>
      </c>
      <c r="BV13" s="13">
        <f t="shared" ca="1" si="25"/>
        <v>1</v>
      </c>
      <c r="BW13" s="13">
        <f t="shared" ca="1" si="26"/>
        <v>0</v>
      </c>
      <c r="BX13" s="13">
        <f t="shared" ca="1" si="48"/>
        <v>1</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P.1 (2)</v>
      </c>
      <c r="CA13" s="13">
        <f t="shared" ca="1" si="27"/>
        <v>2</v>
      </c>
      <c r="CB13" s="13">
        <f t="shared" ca="1" si="28"/>
        <v>2</v>
      </c>
      <c r="CC13" s="13">
        <f t="shared" ca="1" si="49"/>
        <v>0</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P.1 (2)</v>
      </c>
      <c r="CF13" s="13">
        <f t="shared" ca="1" si="29"/>
        <v>2</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P.1 (2)</v>
      </c>
      <c r="CI13" s="13">
        <f t="shared" ca="1" si="30"/>
        <v>0</v>
      </c>
      <c r="CJ13" s="13">
        <f t="shared" ca="1" si="31"/>
        <v>1</v>
      </c>
      <c r="CK13" s="13">
        <f t="shared" ca="1" si="32"/>
        <v>0</v>
      </c>
      <c r="CL13" s="13">
        <f t="shared" ca="1" si="50"/>
        <v>1</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P.1 (2)</v>
      </c>
      <c r="CO13" s="13">
        <f t="shared" ca="1" si="33"/>
        <v>2</v>
      </c>
      <c r="CP13" s="13">
        <f t="shared" ca="1" si="34"/>
        <v>2</v>
      </c>
      <c r="CQ13" s="13">
        <f t="shared" ca="1" si="51"/>
        <v>0</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P.1 (2)</v>
      </c>
      <c r="CT13" s="13">
        <f t="shared" ca="1" si="35"/>
        <v>2</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P.1 (2)</v>
      </c>
      <c r="CW13" s="13">
        <f t="shared" ca="1" si="36"/>
        <v>3</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Local</v>
      </c>
      <c r="E14" s="13" t="str">
        <f t="shared" ca="1" si="54"/>
        <v>P.1 (2)</v>
      </c>
      <c r="F14" s="13" t="str">
        <f t="shared" ca="1" si="55"/>
        <v>P.3 (2)</v>
      </c>
      <c r="G14" s="13"/>
      <c r="H14" s="13" t="str">
        <f t="shared" ca="1" si="56"/>
        <v>P.1 (2)</v>
      </c>
      <c r="I14" s="13" t="str">
        <f t="shared" ca="1" si="57"/>
        <v>P.3 (2)</v>
      </c>
      <c r="J14" s="13"/>
      <c r="K14" s="13" t="str">
        <f t="shared" ca="1" si="58"/>
        <v>P.1 (2)</v>
      </c>
      <c r="L14" s="13" t="str">
        <f t="shared" ca="1" si="59"/>
        <v>P.3 (2)</v>
      </c>
      <c r="M14" s="13"/>
      <c r="N14" s="13" t="str">
        <f t="shared" ca="1" si="60"/>
        <v>P.1 (2)</v>
      </c>
      <c r="O14" s="13" t="str">
        <f t="shared" ca="1" si="61"/>
        <v>P.3 (2)</v>
      </c>
      <c r="P14" s="13"/>
      <c r="Q14" s="13" t="str">
        <f t="shared" ca="1" si="62"/>
        <v>P.1 (2)</v>
      </c>
      <c r="R14" s="13" t="str">
        <f t="shared" ca="1" si="63"/>
        <v>P.3 (2)</v>
      </c>
      <c r="S14" s="13"/>
      <c r="T14" s="13" t="str">
        <f t="shared" ca="1" si="64"/>
        <v>P.1 (2)</v>
      </c>
      <c r="U14" s="13" t="str">
        <f t="shared" ca="1" si="65"/>
        <v>P.3 (2)</v>
      </c>
      <c r="V14" s="14"/>
      <c r="W14" s="671"/>
      <c r="X14" s="21">
        <f ca="1">Horarios!C14</f>
        <v>46191.625</v>
      </c>
      <c r="Y14" s="22">
        <f ca="1">Horarios!C14</f>
        <v>46191.625</v>
      </c>
      <c r="Z14" s="23" t="str">
        <f>$Z$6</f>
        <v>J2</v>
      </c>
      <c r="AA14" s="24" t="str">
        <f ca="1">A16</f>
        <v>Suiza</v>
      </c>
      <c r="AB14" s="46" t="str" cm="1">
        <f t="array" aca="1" ref="AB14" ca="1">Ver_flag_local</f>
        <v/>
      </c>
      <c r="AC14" s="47">
        <v>2</v>
      </c>
      <c r="AD14" s="48">
        <v>1</v>
      </c>
      <c r="AE14" s="582" t="str" cm="1">
        <f t="array" aca="1" ref="AE14" ca="1">Ver_flag_visit</f>
        <v/>
      </c>
      <c r="AF14" s="29" t="str">
        <f ca="1">A14</f>
        <v>Bosnia y Herzegovina</v>
      </c>
      <c r="AG14" s="311">
        <f t="shared" si="66"/>
        <v>1</v>
      </c>
      <c r="AH14" s="188">
        <v>26</v>
      </c>
      <c r="AI14" s="177" t="str">
        <f>AJ14&amp;$B$12</f>
        <v>1B</v>
      </c>
      <c r="AJ14" s="68">
        <v>1</v>
      </c>
      <c r="AK14" s="588" t="str" cm="1">
        <f t="array" aca="1" ref="AK14" ca="1">Ver_flag_visit</f>
        <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7</v>
      </c>
      <c r="AS14" s="33">
        <f t="shared" ca="1" si="69"/>
        <v>4</v>
      </c>
      <c r="AT14" s="69">
        <f t="shared" ca="1" si="69"/>
        <v>3</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11</v>
      </c>
      <c r="BK14" s="13">
        <f t="shared" ca="1" si="21"/>
        <v>3</v>
      </c>
      <c r="BL14" s="13">
        <f t="shared" ca="1" si="42"/>
        <v>8</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Local</v>
      </c>
      <c r="E15" s="13" t="str">
        <f t="shared" ca="1" si="54"/>
        <v>P.1 (2)</v>
      </c>
      <c r="F15" s="13" t="str">
        <f t="shared" ca="1" si="55"/>
        <v>P.3 (2)</v>
      </c>
      <c r="G15" s="13"/>
      <c r="H15" s="13" t="str">
        <f t="shared" ca="1" si="56"/>
        <v>P.1 (2)</v>
      </c>
      <c r="I15" s="13" t="str">
        <f t="shared" ca="1" si="57"/>
        <v>P.3 (2)</v>
      </c>
      <c r="J15" s="13"/>
      <c r="K15" s="13" t="str">
        <f t="shared" ca="1" si="58"/>
        <v>P.1 (2)</v>
      </c>
      <c r="L15" s="13" t="str">
        <f t="shared" ca="1" si="59"/>
        <v>P.3 (2)</v>
      </c>
      <c r="M15" s="13"/>
      <c r="N15" s="13" t="str">
        <f t="shared" ca="1" si="60"/>
        <v>P.1 (2)</v>
      </c>
      <c r="O15" s="13" t="str">
        <f t="shared" ca="1" si="61"/>
        <v>P.3 (2)</v>
      </c>
      <c r="P15" s="13"/>
      <c r="Q15" s="13" t="str">
        <f t="shared" ca="1" si="62"/>
        <v>P.1 (2)</v>
      </c>
      <c r="R15" s="13" t="str">
        <f t="shared" ca="1" si="63"/>
        <v>P.3 (2)</v>
      </c>
      <c r="S15" s="13"/>
      <c r="T15" s="13" t="str">
        <f t="shared" ca="1" si="64"/>
        <v>P.1 (2)</v>
      </c>
      <c r="U15" s="13" t="str">
        <f t="shared" ca="1" si="65"/>
        <v>P.3 (2)</v>
      </c>
      <c r="V15" s="14"/>
      <c r="W15" s="671"/>
      <c r="X15" s="21">
        <f ca="1">Horarios!C15</f>
        <v>46191.75</v>
      </c>
      <c r="Y15" s="22">
        <f ca="1">Horarios!C15</f>
        <v>46191.75</v>
      </c>
      <c r="Z15" s="23" t="str">
        <f>$Z$6</f>
        <v>J2</v>
      </c>
      <c r="AA15" s="24" t="str">
        <f ca="1">A13</f>
        <v>Canadá</v>
      </c>
      <c r="AB15" s="46" t="str" cm="1">
        <f t="array" aca="1" ref="AB15" ca="1">Ver_flag_local</f>
        <v/>
      </c>
      <c r="AC15" s="47">
        <v>2</v>
      </c>
      <c r="AD15" s="48">
        <v>1</v>
      </c>
      <c r="AE15" s="582" t="str" cm="1">
        <f t="array" aca="1" ref="AE15" ca="1">Ver_flag_visit</f>
        <v/>
      </c>
      <c r="AF15" s="29" t="str">
        <f ca="1">A15</f>
        <v>Catar</v>
      </c>
      <c r="AG15" s="311">
        <f t="shared" si="66"/>
        <v>1</v>
      </c>
      <c r="AH15" s="188">
        <v>27</v>
      </c>
      <c r="AI15" s="177" t="str">
        <f t="shared" ref="AI15:AI17" si="70">AJ15&amp;$B$12</f>
        <v>2B</v>
      </c>
      <c r="AJ15" s="70">
        <v>2</v>
      </c>
      <c r="AK15" s="589" t="str" cm="1">
        <f t="array" aca="1" ref="AK15" ca="1">Ver_flag_visit</f>
        <v/>
      </c>
      <c r="AL15" s="34" t="str">
        <f ca="1">IFERROR(INDEX($BD$6:$BD$53,MATCH(AI15,$BN$6:$BN$53,0)),"")</f>
        <v>Canadá</v>
      </c>
      <c r="AM15" s="35">
        <f t="shared" ca="1" si="69"/>
        <v>7</v>
      </c>
      <c r="AN15" s="36">
        <f t="shared" ca="1" si="69"/>
        <v>3</v>
      </c>
      <c r="AO15" s="36">
        <f t="shared" ca="1" si="69"/>
        <v>2</v>
      </c>
      <c r="AP15" s="36">
        <f t="shared" ca="1" si="69"/>
        <v>1</v>
      </c>
      <c r="AQ15" s="36">
        <f t="shared" ca="1" si="69"/>
        <v>0</v>
      </c>
      <c r="AR15" s="36">
        <f t="shared" ca="1" si="69"/>
        <v>6</v>
      </c>
      <c r="AS15" s="36">
        <f t="shared" ca="1" si="69"/>
        <v>4</v>
      </c>
      <c r="AT15" s="71">
        <f t="shared" ca="1" si="69"/>
        <v>2</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9</v>
      </c>
      <c r="BK15" s="13">
        <f t="shared" ca="1" si="21"/>
        <v>4</v>
      </c>
      <c r="BL15" s="13">
        <f t="shared" ca="1" si="42"/>
        <v>5</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Empate</v>
      </c>
      <c r="E16" s="13" t="str">
        <f t="shared" ca="1" si="54"/>
        <v>P.1 (2)</v>
      </c>
      <c r="F16" s="13" t="str">
        <f t="shared" ca="1" si="55"/>
        <v>P.1 (2)</v>
      </c>
      <c r="G16" s="13"/>
      <c r="H16" s="13" t="str">
        <f t="shared" ca="1" si="56"/>
        <v>P.1 (2)</v>
      </c>
      <c r="I16" s="13" t="str">
        <f t="shared" ca="1" si="57"/>
        <v>P.1 (2)</v>
      </c>
      <c r="J16" s="13"/>
      <c r="K16" s="13" t="str">
        <f t="shared" ca="1" si="58"/>
        <v>P.1 (2)</v>
      </c>
      <c r="L16" s="13" t="str">
        <f t="shared" ca="1" si="59"/>
        <v>P.1 (2)</v>
      </c>
      <c r="M16" s="13"/>
      <c r="N16" s="13" t="str">
        <f t="shared" ca="1" si="60"/>
        <v>P.1 (2)</v>
      </c>
      <c r="O16" s="13" t="str">
        <f t="shared" ca="1" si="61"/>
        <v>P.1 (2)</v>
      </c>
      <c r="P16" s="13"/>
      <c r="Q16" s="13" t="str">
        <f t="shared" ca="1" si="62"/>
        <v>P.1 (2)</v>
      </c>
      <c r="R16" s="13" t="str">
        <f t="shared" ca="1" si="63"/>
        <v>P.1 (2)</v>
      </c>
      <c r="S16" s="13"/>
      <c r="T16" s="13" t="str">
        <f t="shared" ca="1" si="64"/>
        <v>P.1 (2)</v>
      </c>
      <c r="U16" s="13" t="str">
        <f t="shared" ca="1" si="65"/>
        <v>P.1 (2)</v>
      </c>
      <c r="V16" s="14"/>
      <c r="W16" s="671"/>
      <c r="X16" s="21">
        <f ca="1">Horarios!C16</f>
        <v>46197.625</v>
      </c>
      <c r="Y16" s="22">
        <f ca="1">Horarios!C16</f>
        <v>46197.625</v>
      </c>
      <c r="Z16" s="23" t="str">
        <f>$Z$8</f>
        <v>J3</v>
      </c>
      <c r="AA16" s="24" t="str">
        <f ca="1">A16</f>
        <v>Suiza</v>
      </c>
      <c r="AB16" s="46" t="str" cm="1">
        <f t="array" aca="1" ref="AB16" ca="1">Ver_flag_local</f>
        <v/>
      </c>
      <c r="AC16" s="47">
        <v>2</v>
      </c>
      <c r="AD16" s="48">
        <v>2</v>
      </c>
      <c r="AE16" s="582" t="str" cm="1">
        <f t="array" aca="1" ref="AE16" ca="1">Ver_flag_visit</f>
        <v/>
      </c>
      <c r="AF16" s="29" t="str">
        <f ca="1">A13</f>
        <v>Canadá</v>
      </c>
      <c r="AG16" s="311">
        <f t="shared" si="66"/>
        <v>1</v>
      </c>
      <c r="AH16" s="188">
        <v>51</v>
      </c>
      <c r="AI16" s="177" t="str">
        <f t="shared" si="70"/>
        <v>3B</v>
      </c>
      <c r="AJ16" s="70">
        <v>3</v>
      </c>
      <c r="AK16" s="589" t="str" cm="1">
        <f t="array" aca="1" ref="AK16" ca="1">Ver_flag_visit</f>
        <v/>
      </c>
      <c r="AL16" s="34" t="str">
        <f ca="1">IFERROR(INDEX($BD$6:$BD$53,MATCH(AI16,$BN$6:$BN$53,0)),"")</f>
        <v>Bosnia y Herzegovina</v>
      </c>
      <c r="AM16" s="35">
        <f t="shared" ca="1" si="69"/>
        <v>1</v>
      </c>
      <c r="AN16" s="36">
        <f t="shared" ca="1" si="69"/>
        <v>3</v>
      </c>
      <c r="AO16" s="36">
        <f t="shared" ca="1" si="69"/>
        <v>0</v>
      </c>
      <c r="AP16" s="36">
        <f t="shared" ca="1" si="69"/>
        <v>1</v>
      </c>
      <c r="AQ16" s="36">
        <f t="shared" ca="1" si="69"/>
        <v>2</v>
      </c>
      <c r="AR16" s="36">
        <f t="shared" ca="1" si="69"/>
        <v>3</v>
      </c>
      <c r="AS16" s="36">
        <f t="shared" ca="1" si="69"/>
        <v>5</v>
      </c>
      <c r="AT16" s="71">
        <f t="shared" ca="1" si="69"/>
        <v>-2</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12</v>
      </c>
      <c r="BL16" s="13">
        <f t="shared" ca="1" si="42"/>
        <v>-12</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Empate</v>
      </c>
      <c r="E17" s="13" t="str">
        <f t="shared" ca="1" si="54"/>
        <v>P.3 (2)</v>
      </c>
      <c r="F17" s="13" t="str">
        <f t="shared" ca="1" si="55"/>
        <v>P.3 (2)</v>
      </c>
      <c r="G17" s="13"/>
      <c r="H17" s="13" t="str">
        <f t="shared" ca="1" si="56"/>
        <v>P.3 (2)</v>
      </c>
      <c r="I17" s="13" t="str">
        <f t="shared" ca="1" si="57"/>
        <v>P.3 (2)</v>
      </c>
      <c r="J17" s="13"/>
      <c r="K17" s="13" t="str">
        <f t="shared" ca="1" si="58"/>
        <v>P.3 (2)</v>
      </c>
      <c r="L17" s="13" t="str">
        <f t="shared" ca="1" si="59"/>
        <v>P.3 (2)</v>
      </c>
      <c r="M17" s="13"/>
      <c r="N17" s="13" t="str">
        <f t="shared" ca="1" si="60"/>
        <v>P.3 (2)</v>
      </c>
      <c r="O17" s="13" t="str">
        <f t="shared" ca="1" si="61"/>
        <v>P.3 (2)</v>
      </c>
      <c r="P17" s="13"/>
      <c r="Q17" s="13" t="str">
        <f t="shared" ca="1" si="62"/>
        <v>P.3 (2)</v>
      </c>
      <c r="R17" s="13" t="str">
        <f t="shared" ca="1" si="63"/>
        <v>P.3 (2)</v>
      </c>
      <c r="S17" s="13"/>
      <c r="T17" s="13" t="str">
        <f t="shared" ca="1" si="64"/>
        <v>P.3 (2)</v>
      </c>
      <c r="U17" s="13" t="str">
        <f t="shared" ca="1" si="65"/>
        <v>P.3 (2)</v>
      </c>
      <c r="V17" s="14"/>
      <c r="W17" s="672"/>
      <c r="X17" s="25">
        <f ca="1">Horarios!C17</f>
        <v>46197.625</v>
      </c>
      <c r="Y17" s="26">
        <f ca="1">Horarios!C17</f>
        <v>46197.625</v>
      </c>
      <c r="Z17" s="27" t="str">
        <f>$Z$8</f>
        <v>J3</v>
      </c>
      <c r="AA17" s="28" t="str">
        <f ca="1">A14</f>
        <v>Bosnia y Herzegovina</v>
      </c>
      <c r="AB17" s="49" t="str" cm="1">
        <f t="array" aca="1" ref="AB17" ca="1">Ver_flag_local</f>
        <v/>
      </c>
      <c r="AC17" s="50">
        <v>1</v>
      </c>
      <c r="AD17" s="51">
        <v>1</v>
      </c>
      <c r="AE17" s="583" t="str" cm="1">
        <f t="array" aca="1" ref="AE17" ca="1">Ver_flag_visit</f>
        <v/>
      </c>
      <c r="AF17" s="30" t="str">
        <f ca="1">A15</f>
        <v>Catar</v>
      </c>
      <c r="AG17" s="311">
        <f t="shared" si="66"/>
        <v>1</v>
      </c>
      <c r="AH17" s="188">
        <v>52</v>
      </c>
      <c r="AI17" s="177" t="str">
        <f t="shared" si="70"/>
        <v>4B</v>
      </c>
      <c r="AJ17" s="72">
        <v>4</v>
      </c>
      <c r="AK17" s="590" t="str" cm="1">
        <f t="array" aca="1" ref="AK17" ca="1">Ver_flag_visit</f>
        <v/>
      </c>
      <c r="AL17" s="73" t="str">
        <f ca="1">IFERROR(INDEX($BD$6:$BD$53,MATCH(AI17,$BN$6:$BN$53,0)),"")</f>
        <v>Catar</v>
      </c>
      <c r="AM17" s="74">
        <f t="shared" ca="1" si="69"/>
        <v>1</v>
      </c>
      <c r="AN17" s="75">
        <f t="shared" ca="1" si="69"/>
        <v>3</v>
      </c>
      <c r="AO17" s="75">
        <f t="shared" ca="1" si="69"/>
        <v>0</v>
      </c>
      <c r="AP17" s="75">
        <f t="shared" ca="1" si="69"/>
        <v>1</v>
      </c>
      <c r="AQ17" s="75">
        <f t="shared" ca="1" si="69"/>
        <v>2</v>
      </c>
      <c r="AR17" s="75">
        <f t="shared" ca="1" si="69"/>
        <v>3</v>
      </c>
      <c r="AS17" s="75">
        <f t="shared" ca="1" si="69"/>
        <v>6</v>
      </c>
      <c r="AT17" s="76">
        <f t="shared" ca="1" si="69"/>
        <v>-3</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5</v>
      </c>
      <c r="BK17" s="13">
        <f t="shared" ca="1" si="21"/>
        <v>6</v>
      </c>
      <c r="BL17" s="13">
        <f t="shared" ca="1" si="42"/>
        <v>-1</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5</v>
      </c>
      <c r="BF18" s="13">
        <f t="shared" ca="1" si="41"/>
        <v>3</v>
      </c>
      <c r="BG18" s="13">
        <f t="shared" ca="1" si="17"/>
        <v>1</v>
      </c>
      <c r="BH18" s="13">
        <f t="shared" ca="1" si="18"/>
        <v>2</v>
      </c>
      <c r="BI18" s="13">
        <f t="shared" ca="1" si="19"/>
        <v>0</v>
      </c>
      <c r="BJ18" s="13">
        <f t="shared" ca="1" si="20"/>
        <v>6</v>
      </c>
      <c r="BK18" s="13">
        <f t="shared" ca="1" si="21"/>
        <v>5</v>
      </c>
      <c r="BL18" s="13">
        <f t="shared" ca="1" si="42"/>
        <v>1</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5</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Paraguay</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7</v>
      </c>
      <c r="BF19" s="13">
        <f t="shared" ca="1" si="41"/>
        <v>3</v>
      </c>
      <c r="BG19" s="13">
        <f t="shared" ca="1" si="17"/>
        <v>2</v>
      </c>
      <c r="BH19" s="13">
        <f t="shared" ca="1" si="18"/>
        <v>1</v>
      </c>
      <c r="BI19" s="13">
        <f t="shared" ca="1" si="19"/>
        <v>0</v>
      </c>
      <c r="BJ19" s="13">
        <f t="shared" ca="1" si="20"/>
        <v>6</v>
      </c>
      <c r="BK19" s="13">
        <f t="shared" ca="1" si="21"/>
        <v>4</v>
      </c>
      <c r="BL19" s="13">
        <f t="shared" ca="1" si="42"/>
        <v>2</v>
      </c>
      <c r="BM19" s="13" t="str">
        <f t="shared" ca="1" si="22"/>
        <v>1D</v>
      </c>
      <c r="BN19" s="13" t="str">
        <f t="shared" ca="1" si="23"/>
        <v>1D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7</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1</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1</v>
      </c>
      <c r="DE19" s="13"/>
      <c r="DF19" s="13">
        <f t="shared" ca="1" si="52"/>
        <v>1</v>
      </c>
      <c r="DG19" s="13" t="str">
        <f ca="1">IF(DB19="-","-",COUNTIFS(DF$6:DF$53,"&lt;"&amp;DF19,$BC$6:$BC$53,INDEX(T_Equipos[Grupo],MATCH(BD19,T_Equipos[NombreEquipo],0))))</f>
        <v>-</v>
      </c>
      <c r="DH19" s="13">
        <f ca="1">DA19+COUNTIFS(DB$6:DB$53,DB19,DG$6:DG$53,"&lt;"&amp;DG19,$BC$6:$BC$53,INDEX(T_Equipos[Grupo],MATCH(BD19,T_Equipos[NombreEquipo],0)))</f>
        <v>1</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05"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0" t="s">
        <v>2</v>
      </c>
      <c r="X20" s="21">
        <f ca="1">Horarios!C20</f>
        <v>46186.75</v>
      </c>
      <c r="Y20" s="22">
        <f ca="1">Horarios!C20</f>
        <v>46186.75</v>
      </c>
      <c r="Z20" s="23" t="str">
        <f>$Z$4</f>
        <v>J1</v>
      </c>
      <c r="AA20" s="24" t="str">
        <f ca="1">A21</f>
        <v>Brasil</v>
      </c>
      <c r="AB20" s="46" t="str" cm="1">
        <f t="array" aca="1" ref="AB20" ca="1">Ver_flag_local</f>
        <v/>
      </c>
      <c r="AC20" s="47">
        <v>3</v>
      </c>
      <c r="AD20" s="48">
        <v>2</v>
      </c>
      <c r="AE20" s="582" t="str" cm="1">
        <f t="array" aca="1" ref="AE20" ca="1">Ver_flag_visit</f>
        <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3</v>
      </c>
      <c r="BK20" s="13">
        <f t="shared" ca="1" si="21"/>
        <v>7</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Turquía</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0"/>
      <c r="X21" s="21">
        <f ca="1">Horarios!C21</f>
        <v>46186.875</v>
      </c>
      <c r="Y21" s="22">
        <f ca="1">Horarios!C21</f>
        <v>46186.875</v>
      </c>
      <c r="Z21" s="23" t="str">
        <f>$Z$4</f>
        <v>J1</v>
      </c>
      <c r="AA21" s="24" t="str">
        <f ca="1">A23</f>
        <v>Haití</v>
      </c>
      <c r="AB21" s="46" t="str" cm="1">
        <f t="array" aca="1" ref="AB21" ca="1">Ver_flag_local</f>
        <v/>
      </c>
      <c r="AC21" s="47">
        <v>0</v>
      </c>
      <c r="AD21" s="48">
        <v>3</v>
      </c>
      <c r="AE21" s="582" t="str" cm="1">
        <f t="array" aca="1" ref="AE21" ca="1">Ver_flag_visit</f>
        <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4</v>
      </c>
      <c r="BF21" s="13">
        <f t="shared" ca="1" si="41"/>
        <v>3</v>
      </c>
      <c r="BG21" s="13">
        <f t="shared" ca="1" si="17"/>
        <v>1</v>
      </c>
      <c r="BH21" s="13">
        <f t="shared" ca="1" si="18"/>
        <v>1</v>
      </c>
      <c r="BI21" s="13">
        <f t="shared" ca="1" si="19"/>
        <v>1</v>
      </c>
      <c r="BJ21" s="13">
        <f t="shared" ca="1" si="20"/>
        <v>6</v>
      </c>
      <c r="BK21" s="13">
        <f t="shared" ca="1" si="21"/>
        <v>5</v>
      </c>
      <c r="BL21" s="13">
        <f t="shared" ca="1" si="42"/>
        <v>1</v>
      </c>
      <c r="BM21" s="13" t="str">
        <f t="shared" ca="1" si="22"/>
        <v>3D</v>
      </c>
      <c r="BN21" s="13" t="str">
        <f t="shared" ca="1" si="23"/>
        <v>3D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4</v>
      </c>
      <c r="BS21" s="13">
        <f ca="1">BP21+COUNTIFS($BQ$6:$BQ$53,BQ21,$BR$6:BR$53,"&gt;"&amp;BR21,$BC$6:$BC$53,INDEX(T_Equipos[Grupo],MATCH(BD21,T_Equipos[NombreEquipo],0)))</f>
        <v>3</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3</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3</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3</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3</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3</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3</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3</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3</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3</v>
      </c>
      <c r="DE21" s="13"/>
      <c r="DF21" s="13">
        <f t="shared" ca="1" si="52"/>
        <v>3</v>
      </c>
      <c r="DG21" s="13" t="str">
        <f ca="1">IF(DB21="-","-",COUNTIFS(DF$6:DF$53,"&lt;"&amp;DF21,$BC$6:$BC$53,INDEX(T_Equipos[Grupo],MATCH(BD21,T_Equipos[NombreEquipo],0))))</f>
        <v>-</v>
      </c>
      <c r="DH21" s="13">
        <f ca="1">DA21+COUNTIFS(DB$6:DB$53,DB21,DG$6:DG$53,"&lt;"&amp;DG21,$BC$6:$BC$53,INDEX(T_Equipos[Grupo],MATCH(BD21,T_Equipos[NombreEquipo],0)))</f>
        <v>3</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0"/>
      <c r="X22" s="21">
        <f ca="1">Horarios!C22</f>
        <v>46192.75</v>
      </c>
      <c r="Y22" s="22">
        <f ca="1">Horarios!C22</f>
        <v>46192.75</v>
      </c>
      <c r="Z22" s="23" t="str">
        <f>$Z$6</f>
        <v>J2</v>
      </c>
      <c r="AA22" s="24" t="str">
        <f ca="1">A24</f>
        <v>Escocia</v>
      </c>
      <c r="AB22" s="46" t="str" cm="1">
        <f t="array" aca="1" ref="AB22" ca="1">Ver_flag_local</f>
        <v/>
      </c>
      <c r="AC22" s="47">
        <v>1</v>
      </c>
      <c r="AD22" s="48">
        <v>3</v>
      </c>
      <c r="AE22" s="582" t="str" cm="1">
        <f t="array" aca="1" ref="AE22" ca="1">Ver_flag_visit</f>
        <v/>
      </c>
      <c r="AF22" s="29" t="str">
        <f ca="1">A22</f>
        <v>Marruecos</v>
      </c>
      <c r="AG22" s="311">
        <f t="shared" si="84"/>
        <v>1</v>
      </c>
      <c r="AH22" s="188">
        <v>30</v>
      </c>
      <c r="AI22" s="177" t="str">
        <f>AJ22&amp;$B$20</f>
        <v>1C</v>
      </c>
      <c r="AJ22" s="37">
        <v>1</v>
      </c>
      <c r="AK22" s="588" t="str" cm="1">
        <f t="array" aca="1" ref="AK22" ca="1">Ver_flag_visit</f>
        <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11</v>
      </c>
      <c r="AS22" s="33">
        <f t="shared" ca="1" si="87"/>
        <v>3</v>
      </c>
      <c r="AT22" s="38">
        <f t="shared" ca="1" si="87"/>
        <v>8</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4</v>
      </c>
      <c r="BF22" s="13">
        <f t="shared" ca="1" si="41"/>
        <v>3</v>
      </c>
      <c r="BG22" s="13">
        <f t="shared" ca="1" si="17"/>
        <v>1</v>
      </c>
      <c r="BH22" s="13">
        <f t="shared" ca="1" si="18"/>
        <v>1</v>
      </c>
      <c r="BI22" s="13">
        <f t="shared" ca="1" si="19"/>
        <v>1</v>
      </c>
      <c r="BJ22" s="13">
        <f t="shared" ca="1" si="20"/>
        <v>9</v>
      </c>
      <c r="BK22" s="13">
        <f t="shared" ca="1" si="21"/>
        <v>4</v>
      </c>
      <c r="BL22" s="13">
        <f t="shared" ca="1" si="42"/>
        <v>5</v>
      </c>
      <c r="BM22" s="13" t="str">
        <f t="shared" ca="1" si="22"/>
        <v>2E</v>
      </c>
      <c r="BN22" s="13" t="str">
        <f t="shared" ca="1" si="23"/>
        <v>2E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4</v>
      </c>
      <c r="BS22" s="13">
        <f ca="1">BP22+COUNTIFS($BQ$6:$BQ$53,BQ22,$BR$6:BR$53,"&gt;"&amp;BR22,$BC$6:$BC$53,INDEX(T_Equipos[Grupo],MATCH(BD22,T_Equipos[NombreEquipo],0)))</f>
        <v>2</v>
      </c>
      <c r="BT22" s="13" t="str">
        <f ca="1">IF(COUNTIFS($BS$6:$BS$53,BS22,$BC$6:$BC$53,INDEX(T_Equipos[Grupo],MATCH(BD22,T_Equipos[NombreEquipo],0)))=1,"-","P."&amp;BS22&amp;" ("&amp;COUNTIFS($BS$6:$BS$53,BS22,$BC$6:$BC$53,INDEX(T_Equipos[Grupo],MATCH(BD22,T_Equipos[NombreEquipo],0)))&amp;")")</f>
        <v>P.2 (2)</v>
      </c>
      <c r="BU22" s="13">
        <f t="shared" ca="1" si="24"/>
        <v>0</v>
      </c>
      <c r="BV22" s="13">
        <f t="shared" ca="1" si="25"/>
        <v>1</v>
      </c>
      <c r="BW22" s="13">
        <f t="shared" ca="1" si="26"/>
        <v>0</v>
      </c>
      <c r="BX22" s="13">
        <f t="shared" ca="1" si="48"/>
        <v>1</v>
      </c>
      <c r="BY22" s="13">
        <f ca="1">BS22+COUNTIFS($BT$6:$BT$53,BT22,$BX$6:BX$53,"&gt;"&amp;BX22,$BC$6:$BC$53,INDEX(T_Equipos[Grupo],MATCH(BD22,T_Equipos[NombreEquipo],0)))</f>
        <v>2</v>
      </c>
      <c r="BZ22" s="13" t="str">
        <f ca="1">IF(COUNTIFS($BY$6:$BY$53,BY22,$BC$6:$BC$53,INDEX(T_Equipos[Grupo],MATCH(BD22,T_Equipos[NombreEquipo],0)))=1,"-","P."&amp;BY22&amp;" ("&amp;COUNTIFS($BY$6:$BY$53,BY22,$BC$6:$BC$53,INDEX(T_Equipos[Grupo],MATCH(BD22,T_Equipos[NombreEquipo],0)))&amp;")")</f>
        <v>P.2 (2)</v>
      </c>
      <c r="CA22" s="13">
        <f t="shared" ca="1" si="27"/>
        <v>2</v>
      </c>
      <c r="CB22" s="13">
        <f t="shared" ca="1" si="28"/>
        <v>2</v>
      </c>
      <c r="CC22" s="13">
        <f t="shared" ca="1" si="49"/>
        <v>0</v>
      </c>
      <c r="CD22" s="13">
        <f ca="1">BY22+COUNTIFS($BZ$6:$BZ$53,BZ22,$CC$6:CC$53,"&gt;"&amp;CC22,$BC$6:$BC$53,INDEX(T_Equipos[Grupo],MATCH(BD22,T_Equipos[NombreEquipo],0)))</f>
        <v>2</v>
      </c>
      <c r="CE22" s="13" t="str">
        <f ca="1">IF(COUNTIFS($CD$6:$CD$53,CD22,$BC$6:$BC$53,INDEX(T_Equipos[Grupo],MATCH(BD22,T_Equipos[NombreEquipo],0)))=1,"-","P."&amp;CD22&amp;" ("&amp;COUNTIFS($CD$6:$CD$53,CD22,$BC$6:$BC$53,INDEX(T_Equipos[Grupo],MATCH(BD22,T_Equipos[NombreEquipo],0)))&amp;")")</f>
        <v>P.2 (2)</v>
      </c>
      <c r="CF22" s="13">
        <f t="shared" ca="1" si="29"/>
        <v>2</v>
      </c>
      <c r="CG22" s="13">
        <f ca="1">CD22+COUNTIFS($CE$6:$CE$53,CE22,$CF$6:CF$53,"&gt;"&amp;CF22,$BC$6:$BC$53,INDEX(T_Equipos[Grupo],MATCH(BD22,T_Equipos[NombreEquipo],0)))</f>
        <v>2</v>
      </c>
      <c r="CH22" s="13" t="str">
        <f ca="1">IF(COUNTIFS($CG$6:$CG$53,CG22,$BC$6:$BC$53,INDEX(T_Equipos[Grupo],MATCH(BD22,T_Equipos[NombreEquipo],0)))=1,"-","P."&amp;CG22&amp;" ("&amp;COUNTIFS($CG$6:$CG$53,CG22,$BC$6:$BC$53,INDEX(T_Equipos[Grupo],MATCH(BD22,T_Equipos[NombreEquipo],0)))&amp;")")</f>
        <v>P.2 (2)</v>
      </c>
      <c r="CI22" s="13">
        <f t="shared" ca="1" si="30"/>
        <v>0</v>
      </c>
      <c r="CJ22" s="13">
        <f t="shared" ca="1" si="31"/>
        <v>1</v>
      </c>
      <c r="CK22" s="13">
        <f t="shared" ca="1" si="32"/>
        <v>0</v>
      </c>
      <c r="CL22" s="13">
        <f t="shared" ca="1" si="50"/>
        <v>1</v>
      </c>
      <c r="CM22" s="13">
        <f ca="1">CG22+COUNTIFS($CH$6:$CH$53,CH22,$CL$6:CL$53,"&gt;"&amp;CL22,$BC$6:$BC$53,INDEX(T_Equipos[Grupo],MATCH(BD22,T_Equipos[NombreEquipo],0)))</f>
        <v>2</v>
      </c>
      <c r="CN22" s="13" t="str">
        <f ca="1">IF(COUNTIFS($CM$6:$CM$53,CM22,$BC$6:$BC$53,INDEX(T_Equipos[Grupo],MATCH(BD22,T_Equipos[NombreEquipo],0)))=1,"-","P."&amp;CM22&amp;" ("&amp;COUNTIFS($CM$6:$CM$53,CM22,$BC$6:$BC$53,INDEX(T_Equipos[Grupo],MATCH(BD22,T_Equipos[NombreEquipo],0)))&amp;")")</f>
        <v>P.2 (2)</v>
      </c>
      <c r="CO22" s="13">
        <f t="shared" ca="1" si="33"/>
        <v>2</v>
      </c>
      <c r="CP22" s="13">
        <f t="shared" ca="1" si="34"/>
        <v>2</v>
      </c>
      <c r="CQ22" s="13">
        <f t="shared" ca="1" si="51"/>
        <v>0</v>
      </c>
      <c r="CR22" s="13">
        <f ca="1">CM22+COUNTIFS($CN$6:$CN$53,CN22,$CQ$6:CQ$53,"&gt;"&amp;CQ22,$BC$6:$BC$53,INDEX(T_Equipos[Grupo],MATCH(BD22,T_Equipos[NombreEquipo],0)))</f>
        <v>2</v>
      </c>
      <c r="CS22" s="13" t="str">
        <f ca="1">IF(COUNTIFS($CR$6:$CR$53,CR22,$BC$6:$BC$53,INDEX(T_Equipos[Grupo],MATCH(BD22,T_Equipos[NombreEquipo],0)))=1,"-","P."&amp;CR22&amp;" ("&amp;COUNTIFS($CR$6:$CR$53,CR22,$BC$6:$BC$53,INDEX(T_Equipos[Grupo],MATCH(BD22,T_Equipos[NombreEquipo],0)))&amp;")")</f>
        <v>P.2 (2)</v>
      </c>
      <c r="CT22" s="13">
        <f t="shared" ca="1" si="35"/>
        <v>2</v>
      </c>
      <c r="CU22" s="13">
        <f ca="1">CR22+COUNTIFS($CS$6:$CS$53,CS22,$CT$6:CT$53,"&gt;"&amp;CT22,$BC$6:$BC$53,INDEX(T_Equipos[Grupo],MATCH(BD22,T_Equipos[NombreEquipo],0)))</f>
        <v>2</v>
      </c>
      <c r="CV22" s="13" t="str">
        <f ca="1">IF(COUNTIFS($CU$6:$CU$53,CU22,$BC$6:$BC$53,INDEX(T_Equipos[Grupo],MATCH(BD22,T_Equipos[NombreEquipo],0)))=1,"-","P."&amp;CU22&amp;" ("&amp;COUNTIFS($CU$6:$CU$53,CU22,$BC$6:$BC$53,INDEX(T_Equipos[Grupo],MATCH(BD22,T_Equipos[NombreEquipo],0)))&amp;")")</f>
        <v>P.2 (2)</v>
      </c>
      <c r="CW22" s="13">
        <f t="shared" ca="1" si="36"/>
        <v>5</v>
      </c>
      <c r="CX22" s="13">
        <f ca="1">CU22+COUNTIFS($CV$6:$CV$53,CV22,$CW$6:CW$53,"&gt;"&amp;CW22,$BC$6:$BC$53,INDEX(T_Equipos[Grupo],MATCH(BD22,T_Equipos[NombreEquipo],0)))</f>
        <v>2</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2</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2</v>
      </c>
      <c r="DE22" s="13"/>
      <c r="DF22" s="13">
        <f t="shared" ca="1" si="52"/>
        <v>2</v>
      </c>
      <c r="DG22" s="13" t="str">
        <f ca="1">IF(DB22="-","-",COUNTIFS(DF$6:DF$53,"&lt;"&amp;DF22,$BC$6:$BC$53,INDEX(T_Equipos[Grupo],MATCH(BD22,T_Equipos[NombreEquipo],0))))</f>
        <v>-</v>
      </c>
      <c r="DH22" s="13">
        <f ca="1">DA22+COUNTIFS(DB$6:DB$53,DB22,DG$6:DG$53,"&lt;"&amp;DG22,$BC$6:$BC$53,INDEX(T_Equipos[Grupo],MATCH(BD22,T_Equipos[NombreEquipo],0)))</f>
        <v>2</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Ecuador</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0"/>
      <c r="X23" s="21">
        <f ca="1">Horarios!C23</f>
        <v>46192.854166666664</v>
      </c>
      <c r="Y23" s="22">
        <f ca="1">Horarios!C23</f>
        <v>46192.854166666664</v>
      </c>
      <c r="Z23" s="23" t="str">
        <f>$Z$6</f>
        <v>J2</v>
      </c>
      <c r="AA23" s="24" t="str">
        <f ca="1">A21</f>
        <v>Brasil</v>
      </c>
      <c r="AB23" s="46" t="str" cm="1">
        <f t="array" aca="1" ref="AB23" ca="1">Ver_flag_local</f>
        <v/>
      </c>
      <c r="AC23" s="47">
        <v>5</v>
      </c>
      <c r="AD23" s="48">
        <v>0</v>
      </c>
      <c r="AE23" s="582" t="str" cm="1">
        <f t="array" aca="1" ref="AE23" ca="1">Ver_flag_visit</f>
        <v/>
      </c>
      <c r="AF23" s="29" t="str">
        <f ca="1">A23</f>
        <v>Haití</v>
      </c>
      <c r="AG23" s="311">
        <f t="shared" si="84"/>
        <v>1</v>
      </c>
      <c r="AH23" s="188">
        <v>29</v>
      </c>
      <c r="AI23" s="177" t="str">
        <f t="shared" ref="AI23:AI25" si="88">AJ23&amp;$B$20</f>
        <v>2C</v>
      </c>
      <c r="AJ23" s="39">
        <v>2</v>
      </c>
      <c r="AK23" s="589" t="str" cm="1">
        <f t="array" aca="1" ref="AK23" ca="1">Ver_flag_visit</f>
        <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9</v>
      </c>
      <c r="AS23" s="36">
        <f t="shared" ca="1" si="87"/>
        <v>4</v>
      </c>
      <c r="AT23" s="40">
        <f t="shared" ca="1" si="87"/>
        <v>5</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14</v>
      </c>
      <c r="BL23" s="13">
        <f t="shared" ca="1" si="42"/>
        <v>-13</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Alemania</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0"/>
      <c r="X24" s="21">
        <f ca="1">Horarios!C24</f>
        <v>46197.75</v>
      </c>
      <c r="Y24" s="22">
        <f ca="1">Horarios!C24</f>
        <v>46197.75</v>
      </c>
      <c r="Z24" s="23" t="str">
        <f>$Z$8</f>
        <v>J3</v>
      </c>
      <c r="AA24" s="24" t="str">
        <f ca="1">A24</f>
        <v>Escocia</v>
      </c>
      <c r="AB24" s="46" t="str" cm="1">
        <f t="array" aca="1" ref="AB24" ca="1">Ver_flag_local</f>
        <v/>
      </c>
      <c r="AC24" s="47">
        <v>1</v>
      </c>
      <c r="AD24" s="48">
        <v>3</v>
      </c>
      <c r="AE24" s="582" t="str" cm="1">
        <f t="array" aca="1" ref="AE24" ca="1">Ver_flag_visit</f>
        <v/>
      </c>
      <c r="AF24" s="29" t="str">
        <f ca="1">A21</f>
        <v>Brasil</v>
      </c>
      <c r="AG24" s="311">
        <f t="shared" si="84"/>
        <v>1</v>
      </c>
      <c r="AH24" s="188">
        <v>49</v>
      </c>
      <c r="AI24" s="177" t="str">
        <f t="shared" si="88"/>
        <v>3C</v>
      </c>
      <c r="AJ24" s="39">
        <v>3</v>
      </c>
      <c r="AK24" s="589" t="str" cm="1">
        <f t="array" aca="1" ref="AK24" ca="1">Ver_flag_visit</f>
        <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5</v>
      </c>
      <c r="AS24" s="36">
        <f t="shared" ca="1" si="87"/>
        <v>6</v>
      </c>
      <c r="AT24" s="40">
        <f t="shared" ca="1" si="87"/>
        <v>-1</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4</v>
      </c>
      <c r="BF24" s="13">
        <f t="shared" ca="1" si="41"/>
        <v>3</v>
      </c>
      <c r="BG24" s="13">
        <f t="shared" ca="1" si="17"/>
        <v>1</v>
      </c>
      <c r="BH24" s="13">
        <f t="shared" ca="1" si="18"/>
        <v>1</v>
      </c>
      <c r="BI24" s="13">
        <f t="shared" ca="1" si="19"/>
        <v>1</v>
      </c>
      <c r="BJ24" s="13">
        <f t="shared" ca="1" si="20"/>
        <v>8</v>
      </c>
      <c r="BK24" s="13">
        <f t="shared" ca="1" si="21"/>
        <v>6</v>
      </c>
      <c r="BL24" s="13">
        <f t="shared" ca="1" si="42"/>
        <v>2</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4</v>
      </c>
      <c r="BS24" s="13">
        <f ca="1">BP24+COUNTIFS($BQ$6:$BQ$53,BQ24,$BR$6:BR$53,"&gt;"&amp;BR24,$BC$6:$BC$53,INDEX(T_Equipos[Grupo],MATCH(BD24,T_Equipos[NombreEquipo],0)))</f>
        <v>2</v>
      </c>
      <c r="BT24" s="13" t="str">
        <f ca="1">IF(COUNTIFS($BS$6:$BS$53,BS24,$BC$6:$BC$53,INDEX(T_Equipos[Grupo],MATCH(BD24,T_Equipos[NombreEquipo],0)))=1,"-","P."&amp;BS24&amp;" ("&amp;COUNTIFS($BS$6:$BS$53,BS24,$BC$6:$BC$53,INDEX(T_Equipos[Grupo],MATCH(BD24,T_Equipos[NombreEquipo],0)))&amp;")")</f>
        <v>P.2 (2)</v>
      </c>
      <c r="BU24" s="13">
        <f t="shared" ca="1" si="24"/>
        <v>0</v>
      </c>
      <c r="BV24" s="13">
        <f t="shared" ca="1" si="25"/>
        <v>1</v>
      </c>
      <c r="BW24" s="13">
        <f t="shared" ca="1" si="26"/>
        <v>0</v>
      </c>
      <c r="BX24" s="13">
        <f t="shared" ca="1" si="48"/>
        <v>1</v>
      </c>
      <c r="BY24" s="13">
        <f ca="1">BS24+COUNTIFS($BT$6:$BT$53,BT24,$BX$6:BX$53,"&gt;"&amp;BX24,$BC$6:$BC$53,INDEX(T_Equipos[Grupo],MATCH(BD24,T_Equipos[NombreEquipo],0)))</f>
        <v>2</v>
      </c>
      <c r="BZ24" s="13" t="str">
        <f ca="1">IF(COUNTIFS($BY$6:$BY$53,BY24,$BC$6:$BC$53,INDEX(T_Equipos[Grupo],MATCH(BD24,T_Equipos[NombreEquipo],0)))=1,"-","P."&amp;BY24&amp;" ("&amp;COUNTIFS($BY$6:$BY$53,BY24,$BC$6:$BC$53,INDEX(T_Equipos[Grupo],MATCH(BD24,T_Equipos[NombreEquipo],0)))&amp;")")</f>
        <v>P.2 (2)</v>
      </c>
      <c r="CA24" s="13">
        <f t="shared" ca="1" si="27"/>
        <v>2</v>
      </c>
      <c r="CB24" s="13">
        <f t="shared" ca="1" si="28"/>
        <v>2</v>
      </c>
      <c r="CC24" s="13">
        <f t="shared" ca="1" si="49"/>
        <v>0</v>
      </c>
      <c r="CD24" s="13">
        <f ca="1">BY24+COUNTIFS($BZ$6:$BZ$53,BZ24,$CC$6:CC$53,"&gt;"&amp;CC24,$BC$6:$BC$53,INDEX(T_Equipos[Grupo],MATCH(BD24,T_Equipos[NombreEquipo],0)))</f>
        <v>2</v>
      </c>
      <c r="CE24" s="13" t="str">
        <f ca="1">IF(COUNTIFS($CD$6:$CD$53,CD24,$BC$6:$BC$53,INDEX(T_Equipos[Grupo],MATCH(BD24,T_Equipos[NombreEquipo],0)))=1,"-","P."&amp;CD24&amp;" ("&amp;COUNTIFS($CD$6:$CD$53,CD24,$BC$6:$BC$53,INDEX(T_Equipos[Grupo],MATCH(BD24,T_Equipos[NombreEquipo],0)))&amp;")")</f>
        <v>P.2 (2)</v>
      </c>
      <c r="CF24" s="13">
        <f t="shared" ca="1" si="29"/>
        <v>2</v>
      </c>
      <c r="CG24" s="13">
        <f ca="1">CD24+COUNTIFS($CE$6:$CE$53,CE24,$CF$6:CF$53,"&gt;"&amp;CF24,$BC$6:$BC$53,INDEX(T_Equipos[Grupo],MATCH(BD24,T_Equipos[NombreEquipo],0)))</f>
        <v>2</v>
      </c>
      <c r="CH24" s="13" t="str">
        <f ca="1">IF(COUNTIFS($CG$6:$CG$53,CG24,$BC$6:$BC$53,INDEX(T_Equipos[Grupo],MATCH(BD24,T_Equipos[NombreEquipo],0)))=1,"-","P."&amp;CG24&amp;" ("&amp;COUNTIFS($CG$6:$CG$53,CG24,$BC$6:$BC$53,INDEX(T_Equipos[Grupo],MATCH(BD24,T_Equipos[NombreEquipo],0)))&amp;")")</f>
        <v>P.2 (2)</v>
      </c>
      <c r="CI24" s="13">
        <f t="shared" ca="1" si="30"/>
        <v>0</v>
      </c>
      <c r="CJ24" s="13">
        <f t="shared" ca="1" si="31"/>
        <v>1</v>
      </c>
      <c r="CK24" s="13">
        <f t="shared" ca="1" si="32"/>
        <v>0</v>
      </c>
      <c r="CL24" s="13">
        <f t="shared" ca="1" si="50"/>
        <v>1</v>
      </c>
      <c r="CM24" s="13">
        <f ca="1">CG24+COUNTIFS($CH$6:$CH$53,CH24,$CL$6:CL$53,"&gt;"&amp;CL24,$BC$6:$BC$53,INDEX(T_Equipos[Grupo],MATCH(BD24,T_Equipos[NombreEquipo],0)))</f>
        <v>2</v>
      </c>
      <c r="CN24" s="13" t="str">
        <f ca="1">IF(COUNTIFS($CM$6:$CM$53,CM24,$BC$6:$BC$53,INDEX(T_Equipos[Grupo],MATCH(BD24,T_Equipos[NombreEquipo],0)))=1,"-","P."&amp;CM24&amp;" ("&amp;COUNTIFS($CM$6:$CM$53,CM24,$BC$6:$BC$53,INDEX(T_Equipos[Grupo],MATCH(BD24,T_Equipos[NombreEquipo],0)))&amp;")")</f>
        <v>P.2 (2)</v>
      </c>
      <c r="CO24" s="13">
        <f t="shared" ca="1" si="33"/>
        <v>2</v>
      </c>
      <c r="CP24" s="13">
        <f t="shared" ca="1" si="34"/>
        <v>2</v>
      </c>
      <c r="CQ24" s="13">
        <f t="shared" ca="1" si="51"/>
        <v>0</v>
      </c>
      <c r="CR24" s="13">
        <f ca="1">CM24+COUNTIFS($CN$6:$CN$53,CN24,$CQ$6:CQ$53,"&gt;"&amp;CQ24,$BC$6:$BC$53,INDEX(T_Equipos[Grupo],MATCH(BD24,T_Equipos[NombreEquipo],0)))</f>
        <v>2</v>
      </c>
      <c r="CS24" s="13" t="str">
        <f ca="1">IF(COUNTIFS($CR$6:$CR$53,CR24,$BC$6:$BC$53,INDEX(T_Equipos[Grupo],MATCH(BD24,T_Equipos[NombreEquipo],0)))=1,"-","P."&amp;CR24&amp;" ("&amp;COUNTIFS($CR$6:$CR$53,CR24,$BC$6:$BC$53,INDEX(T_Equipos[Grupo],MATCH(BD24,T_Equipos[NombreEquipo],0)))&amp;")")</f>
        <v>P.2 (2)</v>
      </c>
      <c r="CT24" s="13">
        <f t="shared" ca="1" si="35"/>
        <v>2</v>
      </c>
      <c r="CU24" s="13">
        <f ca="1">CR24+COUNTIFS($CS$6:$CS$53,CS24,$CT$6:CT$53,"&gt;"&amp;CT24,$BC$6:$BC$53,INDEX(T_Equipos[Grupo],MATCH(BD24,T_Equipos[NombreEquipo],0)))</f>
        <v>2</v>
      </c>
      <c r="CV24" s="13" t="str">
        <f ca="1">IF(COUNTIFS($CU$6:$CU$53,CU24,$BC$6:$BC$53,INDEX(T_Equipos[Grupo],MATCH(BD24,T_Equipos[NombreEquipo],0)))=1,"-","P."&amp;CU24&amp;" ("&amp;COUNTIFS($CU$6:$CU$53,CU24,$BC$6:$BC$53,INDEX(T_Equipos[Grupo],MATCH(BD24,T_Equipos[NombreEquipo],0)))&amp;")")</f>
        <v>P.2 (2)</v>
      </c>
      <c r="CW24" s="13">
        <f t="shared" ca="1" si="36"/>
        <v>2</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1"/>
      <c r="X25" s="25">
        <f ca="1">Horarios!C25</f>
        <v>46197.75</v>
      </c>
      <c r="Y25" s="26">
        <f ca="1">Horarios!C25</f>
        <v>46197.75</v>
      </c>
      <c r="Z25" s="27" t="str">
        <f>$Z$8</f>
        <v>J3</v>
      </c>
      <c r="AA25" s="28" t="str">
        <f ca="1">A22</f>
        <v>Marruecos</v>
      </c>
      <c r="AB25" s="49" t="str" cm="1">
        <f t="array" aca="1" ref="AB25" ca="1">Ver_flag_local</f>
        <v/>
      </c>
      <c r="AC25" s="50">
        <v>4</v>
      </c>
      <c r="AD25" s="51">
        <v>0</v>
      </c>
      <c r="AE25" s="583" t="str" cm="1">
        <f t="array" aca="1" ref="AE25" ca="1">Ver_flag_visit</f>
        <v/>
      </c>
      <c r="AF25" s="30" t="str">
        <f ca="1">A23</f>
        <v>Haití</v>
      </c>
      <c r="AG25" s="311">
        <f t="shared" si="84"/>
        <v>1</v>
      </c>
      <c r="AH25" s="188">
        <v>50</v>
      </c>
      <c r="AI25" s="177" t="str">
        <f t="shared" si="88"/>
        <v>4C</v>
      </c>
      <c r="AJ25" s="41">
        <v>4</v>
      </c>
      <c r="AK25" s="591" t="str" cm="1">
        <f t="array" aca="1" ref="AK25" ca="1">Ver_flag_visit</f>
        <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12</v>
      </c>
      <c r="AT25" s="45">
        <f t="shared" ca="1" si="87"/>
        <v>-12</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9</v>
      </c>
      <c r="BF25" s="13">
        <f t="shared" ca="1" si="41"/>
        <v>3</v>
      </c>
      <c r="BG25" s="13">
        <f t="shared" ca="1" si="17"/>
        <v>3</v>
      </c>
      <c r="BH25" s="13">
        <f t="shared" ca="1" si="18"/>
        <v>0</v>
      </c>
      <c r="BI25" s="13">
        <f t="shared" ca="1" si="19"/>
        <v>0</v>
      </c>
      <c r="BJ25" s="13">
        <f t="shared" ca="1" si="20"/>
        <v>9</v>
      </c>
      <c r="BK25" s="13">
        <f t="shared" ca="1" si="21"/>
        <v>3</v>
      </c>
      <c r="BL25" s="13">
        <f t="shared" ca="1" si="42"/>
        <v>6</v>
      </c>
      <c r="BM25" s="13" t="str">
        <f t="shared" ca="1" si="22"/>
        <v>1E</v>
      </c>
      <c r="BN25" s="13" t="str">
        <f t="shared" ca="1" si="23"/>
        <v>1E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9</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1</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1</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1</v>
      </c>
      <c r="DE25" s="13"/>
      <c r="DF25" s="13">
        <f t="shared" ca="1" si="52"/>
        <v>1</v>
      </c>
      <c r="DG25" s="13" t="str">
        <f ca="1">IF(DB25="-","-",COUNTIFS(DF$6:DF$53,"&lt;"&amp;DF25,$BC$6:$BC$53,INDEX(T_Equipos[Grupo],MATCH(BD25,T_Equipos[NombreEquipo],0))))</f>
        <v>-</v>
      </c>
      <c r="DH25" s="13">
        <f ca="1">DA25+COUNTIFS(DB$6:DB$53,DB25,DG$6:DG$53,"&lt;"&amp;DG25,$BC$6:$BC$53,INDEX(T_Equipos[Grupo],MATCH(BD25,T_Equipos[NombreEquipo],0)))</f>
        <v>1</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8</v>
      </c>
      <c r="BK26" s="13">
        <f t="shared" ca="1" si="21"/>
        <v>4</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2</v>
      </c>
      <c r="CB26" s="13">
        <f t="shared" ca="1" si="28"/>
        <v>2</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2</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2</v>
      </c>
      <c r="CP26" s="13">
        <f t="shared" ca="1" si="34"/>
        <v>2</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2</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4</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6</v>
      </c>
      <c r="BK27" s="13">
        <f t="shared" ca="1" si="21"/>
        <v>4</v>
      </c>
      <c r="BL27" s="13">
        <f t="shared" ca="1" si="42"/>
        <v>2</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2</v>
      </c>
      <c r="CB27" s="13">
        <f t="shared" ca="1" si="28"/>
        <v>2</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2</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2</v>
      </c>
      <c r="CP27" s="13">
        <f t="shared" ca="1" si="34"/>
        <v>2</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2</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2</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Empate</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2" t="s">
        <v>74</v>
      </c>
      <c r="X28" s="21">
        <f ca="1">Horarios!C28</f>
        <v>46185.875</v>
      </c>
      <c r="Y28" s="22">
        <f ca="1">Horarios!C28</f>
        <v>46185.875</v>
      </c>
      <c r="Z28" s="23" t="str">
        <f>$Z$4</f>
        <v>J1</v>
      </c>
      <c r="AA28" s="24" t="str">
        <f ca="1">A29</f>
        <v>Estados Unidos</v>
      </c>
      <c r="AB28" s="46" t="str" cm="1">
        <f t="array" aca="1" ref="AB28" ca="1">Ver_flag_local</f>
        <v/>
      </c>
      <c r="AC28" s="47">
        <v>2</v>
      </c>
      <c r="AD28" s="48">
        <v>2</v>
      </c>
      <c r="AE28" s="582" t="str" cm="1">
        <f t="array" aca="1" ref="AE28" ca="1">Ver_flag_visit</f>
        <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4</v>
      </c>
      <c r="BK28" s="13">
        <f t="shared" ca="1" si="21"/>
        <v>6</v>
      </c>
      <c r="BL28" s="13">
        <f t="shared" ca="1" si="42"/>
        <v>-2</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2"/>
      <c r="X29" s="21">
        <f ca="1">Horarios!C29</f>
        <v>46187</v>
      </c>
      <c r="Y29" s="22">
        <f ca="1">Horarios!C29</f>
        <v>46187</v>
      </c>
      <c r="Z29" s="23" t="str">
        <f>$Z$4</f>
        <v>J1</v>
      </c>
      <c r="AA29" s="24" t="str">
        <f ca="1">A31</f>
        <v>Australia</v>
      </c>
      <c r="AB29" s="46" t="str" cm="1">
        <f t="array" aca="1" ref="AB29" ca="1">Ver_flag_local</f>
        <v/>
      </c>
      <c r="AC29" s="47">
        <v>1</v>
      </c>
      <c r="AD29" s="48">
        <v>3</v>
      </c>
      <c r="AE29" s="582" t="str" cm="1">
        <f t="array" aca="1" ref="AE29" ca="1">Ver_flag_visit</f>
        <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3</v>
      </c>
      <c r="BK29" s="13">
        <f t="shared" ca="1" si="21"/>
        <v>7</v>
      </c>
      <c r="BL29" s="13">
        <f t="shared" ca="1" si="42"/>
        <v>-4</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2"/>
      <c r="X30" s="21">
        <f ca="1">Horarios!C30</f>
        <v>46192.625</v>
      </c>
      <c r="Y30" s="22">
        <f ca="1">Horarios!C30</f>
        <v>46192.625</v>
      </c>
      <c r="Z30" s="23" t="str">
        <f>$Z$6</f>
        <v>J2</v>
      </c>
      <c r="AA30" s="24" t="str">
        <f ca="1">A29</f>
        <v>Estados Unidos</v>
      </c>
      <c r="AB30" s="46" t="str" cm="1">
        <f t="array" aca="1" ref="AB30" ca="1">Ver_flag_local</f>
        <v/>
      </c>
      <c r="AC30" s="47">
        <v>2</v>
      </c>
      <c r="AD30" s="48">
        <v>1</v>
      </c>
      <c r="AE30" s="582" t="str" cm="1">
        <f t="array" aca="1" ref="AE30" ca="1">Ver_flag_visit</f>
        <v/>
      </c>
      <c r="AF30" s="29" t="str">
        <f ca="1">A31</f>
        <v>Australia</v>
      </c>
      <c r="AG30" s="311">
        <f t="shared" si="104"/>
        <v>1</v>
      </c>
      <c r="AH30" s="188">
        <v>32</v>
      </c>
      <c r="AI30" s="177" t="str">
        <f>AJ30&amp;$B$28</f>
        <v>1D</v>
      </c>
      <c r="AJ30" s="37">
        <v>1</v>
      </c>
      <c r="AK30" s="588" t="str" cm="1">
        <f t="array" aca="1" ref="AK30" ca="1">Ver_flag_visit</f>
        <v/>
      </c>
      <c r="AL30" s="31" t="str">
        <f ca="1">IFERROR(INDEX($BD$6:$BD$53,MATCH(AI30,$BN$6:$BN$53,0)),"")</f>
        <v>Paraguay</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6</v>
      </c>
      <c r="AS30" s="33">
        <f t="shared" ca="1" si="107"/>
        <v>4</v>
      </c>
      <c r="AT30" s="38">
        <f t="shared" ca="1" si="107"/>
        <v>2</v>
      </c>
      <c r="AU30" s="318">
        <f ca="1">INDEX($DL$6:$DL$53,MATCH(AI30,$DP$6:$DP$53,0))</f>
        <v>1</v>
      </c>
      <c r="AV30" s="178" t="str">
        <f ca="1">INDEX($BD$6:$BD$53,MATCH(AI30,$BM$6:$BM$53,0))</f>
        <v>Paraguay</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10</v>
      </c>
      <c r="BK30" s="13">
        <f t="shared" ca="1" si="21"/>
        <v>2</v>
      </c>
      <c r="BL30" s="13">
        <f t="shared" ca="1" si="42"/>
        <v>8</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Visitante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2"/>
      <c r="X31" s="21">
        <f ca="1">Horarios!C31</f>
        <v>46192.958333333336</v>
      </c>
      <c r="Y31" s="22">
        <f ca="1">Horarios!C31</f>
        <v>46192.958333333336</v>
      </c>
      <c r="Z31" s="23" t="str">
        <f>$Z$6</f>
        <v>J2</v>
      </c>
      <c r="AA31" s="24" t="str">
        <f ca="1">A32</f>
        <v>Turquía</v>
      </c>
      <c r="AB31" s="46" t="str" cm="1">
        <f t="array" aca="1" ref="AB31" ca="1">Ver_flag_local</f>
        <v/>
      </c>
      <c r="AC31" s="47">
        <v>1</v>
      </c>
      <c r="AD31" s="48">
        <v>2</v>
      </c>
      <c r="AE31" s="582" t="str" cm="1">
        <f t="array" aca="1" ref="AE31" ca="1">Ver_flag_visit</f>
        <v/>
      </c>
      <c r="AF31" s="29" t="str">
        <f ca="1">A30</f>
        <v>Paraguay</v>
      </c>
      <c r="AG31" s="311">
        <f t="shared" si="104"/>
        <v>1</v>
      </c>
      <c r="AH31" s="188">
        <v>31</v>
      </c>
      <c r="AI31" s="177" t="str">
        <f t="shared" ref="AI31:AI33" si="108">AJ31&amp;$B$28</f>
        <v>2D</v>
      </c>
      <c r="AJ31" s="39">
        <v>2</v>
      </c>
      <c r="AK31" s="589" t="str" cm="1">
        <f t="array" aca="1" ref="AK31" ca="1">Ver_flag_visit</f>
        <v/>
      </c>
      <c r="AL31" s="34" t="str">
        <f ca="1">IFERROR(INDEX($BD$6:$BD$53,MATCH(AI31,$BN$6:$BN$53,0)),"")</f>
        <v>Estados Unidos</v>
      </c>
      <c r="AM31" s="35">
        <f t="shared" ca="1" si="107"/>
        <v>5</v>
      </c>
      <c r="AN31" s="36">
        <f t="shared" ca="1" si="107"/>
        <v>3</v>
      </c>
      <c r="AO31" s="36">
        <f t="shared" ca="1" si="107"/>
        <v>1</v>
      </c>
      <c r="AP31" s="36">
        <f t="shared" ca="1" si="107"/>
        <v>2</v>
      </c>
      <c r="AQ31" s="36">
        <f t="shared" ca="1" si="107"/>
        <v>0</v>
      </c>
      <c r="AR31" s="36">
        <f t="shared" ca="1" si="107"/>
        <v>6</v>
      </c>
      <c r="AS31" s="36">
        <f t="shared" ca="1" si="107"/>
        <v>5</v>
      </c>
      <c r="AT31" s="40">
        <f t="shared" ca="1" si="107"/>
        <v>1</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3</v>
      </c>
      <c r="BF31" s="13">
        <f t="shared" ca="1" si="41"/>
        <v>3</v>
      </c>
      <c r="BG31" s="13">
        <f t="shared" ca="1" si="17"/>
        <v>1</v>
      </c>
      <c r="BH31" s="13">
        <f t="shared" ca="1" si="18"/>
        <v>0</v>
      </c>
      <c r="BI31" s="13">
        <f t="shared" ca="1" si="19"/>
        <v>2</v>
      </c>
      <c r="BJ31" s="13">
        <f t="shared" ca="1" si="20"/>
        <v>4</v>
      </c>
      <c r="BK31" s="13">
        <f t="shared" ca="1" si="21"/>
        <v>6</v>
      </c>
      <c r="BL31" s="13">
        <f t="shared" ca="1" si="42"/>
        <v>-2</v>
      </c>
      <c r="BM31" s="13" t="str">
        <f t="shared" ca="1" si="22"/>
        <v>3G</v>
      </c>
      <c r="BN31" s="13" t="str">
        <f t="shared" ca="1" si="23"/>
        <v>3G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3</v>
      </c>
      <c r="BS31" s="13">
        <f ca="1">BP31+COUNTIFS($BQ$6:$BQ$53,BQ31,$BR$6:BR$53,"&gt;"&amp;BR31,$BC$6:$BC$53,INDEX(T_Equipos[Grupo],MATCH(BD31,T_Equipos[NombreEquipo],0)))</f>
        <v>3</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3</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3</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3</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3</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3</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3</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3</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3</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3</v>
      </c>
      <c r="DE31" s="13"/>
      <c r="DF31" s="13">
        <f t="shared" ca="1" si="52"/>
        <v>3</v>
      </c>
      <c r="DG31" s="13" t="str">
        <f ca="1">IF(DB31="-","-",COUNTIFS(DF$6:DF$53,"&lt;"&amp;DF31,$BC$6:$BC$53,INDEX(T_Equipos[Grupo],MATCH(BD31,T_Equipos[NombreEquipo],0))))</f>
        <v>-</v>
      </c>
      <c r="DH31" s="13">
        <f ca="1">DA31+COUNTIFS(DB$6:DB$53,DB31,DG$6:DG$53,"&lt;"&amp;DG31,$BC$6:$BC$53,INDEX(T_Equipos[Grupo],MATCH(BD31,T_Equipos[NombreEquipo],0)))</f>
        <v>3</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Irán</v>
      </c>
    </row>
    <row r="32" spans="1:121" ht="16.05" customHeight="1">
      <c r="A32" s="13" t="str">
        <f ca="1">+Equipos!B17</f>
        <v>Turquía</v>
      </c>
      <c r="B32" s="13"/>
      <c r="C32" s="13"/>
      <c r="D32" s="13" t="str">
        <f t="shared" si="91"/>
        <v>Empate</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2"/>
      <c r="X32" s="21">
        <f ca="1">Horarios!C32</f>
        <v>46198.916666666664</v>
      </c>
      <c r="Y32" s="22">
        <f ca="1">Horarios!C32</f>
        <v>46198.916666666664</v>
      </c>
      <c r="Z32" s="23" t="str">
        <f>$Z$8</f>
        <v>J3</v>
      </c>
      <c r="AA32" s="24" t="str">
        <f ca="1">A32</f>
        <v>Turquía</v>
      </c>
      <c r="AB32" s="46" t="str" cm="1">
        <f t="array" aca="1" ref="AB32" ca="1">Ver_flag_local</f>
        <v/>
      </c>
      <c r="AC32" s="47">
        <v>2</v>
      </c>
      <c r="AD32" s="48">
        <v>2</v>
      </c>
      <c r="AE32" s="582" t="str" cm="1">
        <f t="array" aca="1" ref="AE32" ca="1">Ver_flag_visit</f>
        <v/>
      </c>
      <c r="AF32" s="29" t="str">
        <f ca="1">A29</f>
        <v>Estados Unidos</v>
      </c>
      <c r="AG32" s="311">
        <f t="shared" si="104"/>
        <v>1</v>
      </c>
      <c r="AH32" s="188">
        <v>59</v>
      </c>
      <c r="AI32" s="177" t="str">
        <f t="shared" si="108"/>
        <v>3D</v>
      </c>
      <c r="AJ32" s="39">
        <v>3</v>
      </c>
      <c r="AK32" s="589" t="str" cm="1">
        <f t="array" aca="1" ref="AK32" ca="1">Ver_flag_visit</f>
        <v/>
      </c>
      <c r="AL32" s="34" t="str">
        <f ca="1">IFERROR(INDEX($BD$6:$BD$53,MATCH(AI32,$BN$6:$BN$53,0)),"")</f>
        <v>Turquía</v>
      </c>
      <c r="AM32" s="35">
        <f t="shared" ca="1" si="107"/>
        <v>4</v>
      </c>
      <c r="AN32" s="36">
        <f t="shared" ca="1" si="107"/>
        <v>3</v>
      </c>
      <c r="AO32" s="36">
        <f t="shared" ca="1" si="107"/>
        <v>1</v>
      </c>
      <c r="AP32" s="36">
        <f t="shared" ca="1" si="107"/>
        <v>1</v>
      </c>
      <c r="AQ32" s="36">
        <f t="shared" ca="1" si="107"/>
        <v>1</v>
      </c>
      <c r="AR32" s="36">
        <f t="shared" ca="1" si="107"/>
        <v>6</v>
      </c>
      <c r="AS32" s="36">
        <f t="shared" ca="1" si="107"/>
        <v>5</v>
      </c>
      <c r="AT32" s="40">
        <f t="shared" ca="1" si="107"/>
        <v>1</v>
      </c>
      <c r="AU32" s="318">
        <f ca="1">INDEX($DL$6:$DL$53,MATCH(AI32,$DP$6:$DP$53,0))</f>
        <v>1</v>
      </c>
      <c r="AV32" s="178" t="str">
        <f ca="1">INDEX($BD$6:$BD$53,MATCH(AI32,$BM$6:$BM$53,0))</f>
        <v>Turquía</v>
      </c>
      <c r="AW32" s="202"/>
      <c r="AX32" s="167"/>
      <c r="AY32" s="193" t="str">
        <f ca="1">+A31</f>
        <v>Australia</v>
      </c>
      <c r="AZ32" s="194"/>
      <c r="BC32" s="13" t="str">
        <f ca="1">+INDEX(T_Equipos[Grupo],MATCH(WORLDCUP!BD32,T_Equipos[NombreEquipo],0))</f>
        <v>G</v>
      </c>
      <c r="BD32" s="13" t="str">
        <f ca="1">+Equipos!B28</f>
        <v>Irán</v>
      </c>
      <c r="BE32" s="13">
        <f t="shared" ca="1" si="16"/>
        <v>6</v>
      </c>
      <c r="BF32" s="13">
        <f t="shared" ca="1" si="41"/>
        <v>3</v>
      </c>
      <c r="BG32" s="13">
        <f t="shared" ca="1" si="17"/>
        <v>2</v>
      </c>
      <c r="BH32" s="13">
        <f t="shared" ca="1" si="18"/>
        <v>0</v>
      </c>
      <c r="BI32" s="13">
        <f t="shared" ca="1" si="19"/>
        <v>1</v>
      </c>
      <c r="BJ32" s="13">
        <f t="shared" ca="1" si="20"/>
        <v>5</v>
      </c>
      <c r="BK32" s="13">
        <f t="shared" ca="1" si="21"/>
        <v>5</v>
      </c>
      <c r="BL32" s="13">
        <f t="shared" ca="1" si="42"/>
        <v>0</v>
      </c>
      <c r="BM32" s="13" t="str">
        <f t="shared" ca="1" si="22"/>
        <v>2G</v>
      </c>
      <c r="BN32" s="13" t="str">
        <f t="shared" ca="1" si="23"/>
        <v>2G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6</v>
      </c>
      <c r="BS32" s="13">
        <f ca="1">BP32+COUNTIFS($BQ$6:$BQ$53,BQ32,$BR$6:BR$53,"&gt;"&amp;BR32,$BC$6:$BC$53,INDEX(T_Equipos[Grupo],MATCH(BD32,T_Equipos[NombreEquipo],0)))</f>
        <v>2</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2</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2</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2</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2</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2</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2</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2</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2</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2</v>
      </c>
      <c r="DE32" s="13"/>
      <c r="DF32" s="13">
        <f t="shared" ca="1" si="52"/>
        <v>2</v>
      </c>
      <c r="DG32" s="13" t="str">
        <f ca="1">IF(DB32="-","-",COUNTIFS(DF$6:DF$53,"&lt;"&amp;DF32,$BC$6:$BC$53,INDEX(T_Equipos[Grupo],MATCH(BD32,T_Equipos[NombreEquipo],0))))</f>
        <v>-</v>
      </c>
      <c r="DH32" s="13">
        <f ca="1">DA32+COUNTIFS(DB$6:DB$53,DB32,DG$6:DG$53,"&lt;"&amp;DG32,$BC$6:$BC$53,INDEX(T_Equipos[Grupo],MATCH(BD32,T_Equipos[NombreEquipo],0)))</f>
        <v>2</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Egipto</v>
      </c>
    </row>
    <row r="33" spans="1:121" ht="16.05"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83"/>
      <c r="X33" s="25">
        <f ca="1">Horarios!C33</f>
        <v>46198.916666666664</v>
      </c>
      <c r="Y33" s="26">
        <f ca="1">Horarios!C33</f>
        <v>46198.916666666664</v>
      </c>
      <c r="Z33" s="27" t="str">
        <f>$Z$8</f>
        <v>J3</v>
      </c>
      <c r="AA33" s="28" t="str">
        <f ca="1">A30</f>
        <v>Paraguay</v>
      </c>
      <c r="AB33" s="49" t="str" cm="1">
        <f t="array" aca="1" ref="AB33" ca="1">Ver_flag_local</f>
        <v/>
      </c>
      <c r="AC33" s="50">
        <v>2</v>
      </c>
      <c r="AD33" s="51">
        <v>1</v>
      </c>
      <c r="AE33" s="583" t="str" cm="1">
        <f t="array" aca="1" ref="AE33" ca="1">Ver_flag_visit</f>
        <v/>
      </c>
      <c r="AF33" s="30" t="str">
        <f ca="1">A31</f>
        <v>Australia</v>
      </c>
      <c r="AG33" s="311">
        <f t="shared" si="104"/>
        <v>1</v>
      </c>
      <c r="AH33" s="188">
        <v>60</v>
      </c>
      <c r="AI33" s="177" t="str">
        <f t="shared" si="108"/>
        <v>4D</v>
      </c>
      <c r="AJ33" s="41">
        <v>4</v>
      </c>
      <c r="AK33" s="591" t="str" cm="1">
        <f t="array" aca="1" ref="AK33" ca="1">Ver_flag_visit</f>
        <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3</v>
      </c>
      <c r="AS33" s="44">
        <f t="shared" ca="1" si="107"/>
        <v>7</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2</v>
      </c>
      <c r="BK33" s="13">
        <f t="shared" ca="1" si="21"/>
        <v>8</v>
      </c>
      <c r="BL33" s="13">
        <f t="shared" ca="1" si="42"/>
        <v>-6</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13</v>
      </c>
      <c r="BK34" s="13">
        <f t="shared" ca="1" si="21"/>
        <v>2</v>
      </c>
      <c r="BL34" s="13">
        <f t="shared" ca="1" si="42"/>
        <v>11</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13</v>
      </c>
      <c r="BL35" s="13">
        <f t="shared" ca="1" si="42"/>
        <v>-13</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P.2 (2)</v>
      </c>
      <c r="F36" s="13" t="str">
        <f t="shared" ref="F36:F41" ca="1" si="113">IF(D36="Pendiente","-",INDEX($BT$6:$BT$53,MATCH($AF36,$BD$6:$BD$53,0)))</f>
        <v>-</v>
      </c>
      <c r="G36" s="13"/>
      <c r="H36" s="13" t="str">
        <f t="shared" ref="H36:H41" ca="1" si="114">IF(D36="Pendiente","-",INDEX($BZ$6:$BZ$53,MATCH($AA36,$BD$6:$BD$53,0)))</f>
        <v>P.2 (2)</v>
      </c>
      <c r="I36" s="13" t="str">
        <f t="shared" ref="I36:I41" ca="1" si="115">IF(D36="Pendiente","-",INDEX($BZ$6:$BZ$53,MATCH($AF36,$BD$6:$BD$53,0)))</f>
        <v>-</v>
      </c>
      <c r="J36" s="13"/>
      <c r="K36" s="13" t="str">
        <f t="shared" ref="K36:K41" ca="1" si="116">IF(D36="Pendiente","-",INDEX($CE$6:$CE$53,MATCH($AA36,$BD$6:$BD$53,0)))</f>
        <v>P.2 (2)</v>
      </c>
      <c r="L36" s="13" t="str">
        <f t="shared" ref="L36:L41" ca="1" si="117">IF(D36="Pendiente","-",INDEX($CE$6:$CE$53,MATCH($AF36,$BD$6:$BD$53,0)))</f>
        <v>-</v>
      </c>
      <c r="M36" s="13"/>
      <c r="N36" s="13" t="str">
        <f t="shared" ref="N36:N41" ca="1" si="118">IF(D36="Pendiente","-",INDEX($CH$6:$CH$53,MATCH($AA36,$BD$6:$BD$53,0)))</f>
        <v>P.2 (2)</v>
      </c>
      <c r="O36" s="13" t="str">
        <f t="shared" ref="O36:O41" ca="1" si="119">IF(D36="Pendiente","-",INDEX($CH$6:$CH$53,MATCH($AF36,$BD$6:$BD$53,0)))</f>
        <v>-</v>
      </c>
      <c r="P36" s="13"/>
      <c r="Q36" s="13" t="str">
        <f t="shared" ref="Q36:Q41" ca="1" si="120">IF(D36="Pendiente","-",INDEX($CN$6:$CN$53,MATCH($AA36,$BD$6:$BD$53,0)))</f>
        <v>P.2 (2)</v>
      </c>
      <c r="R36" s="13" t="str">
        <f t="shared" ref="R36:R41" ca="1" si="121">IF(D36="Pendiente","-",INDEX($CN$6:$CN$53,MATCH($AF36,$BD$6:$BD$53,0)))</f>
        <v>-</v>
      </c>
      <c r="S36" s="13"/>
      <c r="T36" s="13" t="str">
        <f t="shared" ref="T36:T41" ca="1" si="122">IF(D36="Pendiente","-",INDEX($CS$6:$CS$53,MATCH($AA36,$BD$6:$BD$53,0)))</f>
        <v>P.2 (2)</v>
      </c>
      <c r="U36" s="13" t="str">
        <f t="shared" ref="U36:U41" ca="1" si="123">IF(D36="Pendiente","-",INDEX($CS$6:$CS$53,MATCH($AF36,$BD$6:$BD$53,0)))</f>
        <v>-</v>
      </c>
      <c r="V36" s="14"/>
      <c r="W36" s="684" t="s">
        <v>3</v>
      </c>
      <c r="X36" s="21">
        <f ca="1">Horarios!C36</f>
        <v>46187.541666666664</v>
      </c>
      <c r="Y36" s="22">
        <f ca="1">Horarios!C36</f>
        <v>46187.541666666664</v>
      </c>
      <c r="Z36" s="23" t="str">
        <f>$Z$4</f>
        <v>J1</v>
      </c>
      <c r="AA36" s="24" t="str">
        <f ca="1">A37</f>
        <v>Alemania</v>
      </c>
      <c r="AB36" s="46" t="str" cm="1">
        <f t="array" aca="1" ref="AB36" ca="1">Ver_flag_local</f>
        <v/>
      </c>
      <c r="AC36" s="47">
        <v>6</v>
      </c>
      <c r="AD36" s="48">
        <v>0</v>
      </c>
      <c r="AE36" s="582" t="str" cm="1">
        <f t="array" aca="1" ref="AE36" ca="1">Ver_flag_visit</f>
        <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3</v>
      </c>
      <c r="BK36" s="13">
        <f t="shared" ca="1" si="21"/>
        <v>6</v>
      </c>
      <c r="BL36" s="13">
        <f t="shared" ca="1" si="42"/>
        <v>-3</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P.2 (2)</v>
      </c>
      <c r="F37" s="13" t="str">
        <f t="shared" ca="1" si="113"/>
        <v>-</v>
      </c>
      <c r="G37" s="13"/>
      <c r="H37" s="13" t="str">
        <f t="shared" ca="1" si="114"/>
        <v>P.2 (2)</v>
      </c>
      <c r="I37" s="13" t="str">
        <f t="shared" ca="1" si="115"/>
        <v>-</v>
      </c>
      <c r="J37" s="13"/>
      <c r="K37" s="13" t="str">
        <f t="shared" ca="1" si="116"/>
        <v>P.2 (2)</v>
      </c>
      <c r="L37" s="13" t="str">
        <f t="shared" ca="1" si="117"/>
        <v>-</v>
      </c>
      <c r="M37" s="13"/>
      <c r="N37" s="13" t="str">
        <f t="shared" ca="1" si="118"/>
        <v>P.2 (2)</v>
      </c>
      <c r="O37" s="13" t="str">
        <f t="shared" ca="1" si="119"/>
        <v>-</v>
      </c>
      <c r="P37" s="13"/>
      <c r="Q37" s="13" t="str">
        <f t="shared" ca="1" si="120"/>
        <v>P.2 (2)</v>
      </c>
      <c r="R37" s="13" t="str">
        <f t="shared" ca="1" si="121"/>
        <v>-</v>
      </c>
      <c r="S37" s="13"/>
      <c r="T37" s="13" t="str">
        <f t="shared" ca="1" si="122"/>
        <v>P.2 (2)</v>
      </c>
      <c r="U37" s="13" t="str">
        <f t="shared" ca="1" si="123"/>
        <v>-</v>
      </c>
      <c r="V37" s="14"/>
      <c r="W37" s="684"/>
      <c r="X37" s="21">
        <f ca="1">Horarios!C37</f>
        <v>46187.791666666664</v>
      </c>
      <c r="Y37" s="22">
        <f ca="1">Horarios!C37</f>
        <v>46187.791666666664</v>
      </c>
      <c r="Z37" s="23" t="str">
        <f>$Z$4</f>
        <v>J1</v>
      </c>
      <c r="AA37" s="24" t="str">
        <f ca="1">A39</f>
        <v>Costa de Marfil</v>
      </c>
      <c r="AB37" s="46" t="str" cm="1">
        <f t="array" aca="1" ref="AB37" ca="1">Ver_flag_local</f>
        <v/>
      </c>
      <c r="AC37" s="47">
        <v>2</v>
      </c>
      <c r="AD37" s="48">
        <v>3</v>
      </c>
      <c r="AE37" s="582" t="str" cm="1">
        <f t="array" aca="1" ref="AE37" ca="1">Ver_flag_visit</f>
        <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9</v>
      </c>
      <c r="BK37" s="13">
        <f t="shared" ca="1" si="21"/>
        <v>4</v>
      </c>
      <c r="BL37" s="13">
        <f t="shared" ca="1" si="42"/>
        <v>5</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Empate</v>
      </c>
      <c r="E38" s="13" t="str">
        <f t="shared" ca="1" si="112"/>
        <v>P.2 (2)</v>
      </c>
      <c r="F38" s="13" t="str">
        <f t="shared" ca="1" si="113"/>
        <v>P.2 (2)</v>
      </c>
      <c r="G38" s="13"/>
      <c r="H38" s="13" t="str">
        <f t="shared" ca="1" si="114"/>
        <v>P.2 (2)</v>
      </c>
      <c r="I38" s="13" t="str">
        <f t="shared" ca="1" si="115"/>
        <v>P.2 (2)</v>
      </c>
      <c r="J38" s="13"/>
      <c r="K38" s="13" t="str">
        <f t="shared" ca="1" si="116"/>
        <v>P.2 (2)</v>
      </c>
      <c r="L38" s="13" t="str">
        <f t="shared" ca="1" si="117"/>
        <v>P.2 (2)</v>
      </c>
      <c r="M38" s="13"/>
      <c r="N38" s="13" t="str">
        <f t="shared" ca="1" si="118"/>
        <v>P.2 (2)</v>
      </c>
      <c r="O38" s="13" t="str">
        <f t="shared" ca="1" si="119"/>
        <v>P.2 (2)</v>
      </c>
      <c r="P38" s="13"/>
      <c r="Q38" s="13" t="str">
        <f t="shared" ca="1" si="120"/>
        <v>P.2 (2)</v>
      </c>
      <c r="R38" s="13" t="str">
        <f t="shared" ca="1" si="121"/>
        <v>P.2 (2)</v>
      </c>
      <c r="S38" s="13"/>
      <c r="T38" s="13" t="str">
        <f t="shared" ca="1" si="122"/>
        <v>P.2 (2)</v>
      </c>
      <c r="U38" s="13" t="str">
        <f t="shared" ca="1" si="123"/>
        <v>P.2 (2)</v>
      </c>
      <c r="V38" s="14"/>
      <c r="W38" s="684"/>
      <c r="X38" s="21">
        <f ca="1">Horarios!C38</f>
        <v>46193.666666666664</v>
      </c>
      <c r="Y38" s="22">
        <f ca="1">Horarios!C38</f>
        <v>46193.666666666664</v>
      </c>
      <c r="Z38" s="23" t="str">
        <f>$Z$6</f>
        <v>J2</v>
      </c>
      <c r="AA38" s="24" t="str">
        <f ca="1">A37</f>
        <v>Alemania</v>
      </c>
      <c r="AB38" s="46" t="str" cm="1">
        <f t="array" aca="1" ref="AB38" ca="1">Ver_flag_local</f>
        <v/>
      </c>
      <c r="AC38" s="47">
        <v>2</v>
      </c>
      <c r="AD38" s="48">
        <v>2</v>
      </c>
      <c r="AE38" s="582" t="str" cm="1">
        <f t="array" aca="1" ref="AE38" ca="1">Ver_flag_visit</f>
        <v/>
      </c>
      <c r="AF38" s="29" t="str">
        <f ca="1">A39</f>
        <v>Costa de Marfil</v>
      </c>
      <c r="AG38" s="311">
        <f t="shared" si="124"/>
        <v>1</v>
      </c>
      <c r="AH38" s="188">
        <v>33</v>
      </c>
      <c r="AI38" s="177" t="str">
        <f>AJ38&amp;$B$36</f>
        <v>1E</v>
      </c>
      <c r="AJ38" s="37">
        <v>1</v>
      </c>
      <c r="AK38" s="588" t="str" cm="1">
        <f t="array" aca="1" ref="AK38" ca="1">Ver_flag_visit</f>
        <v/>
      </c>
      <c r="AL38" s="31" t="str">
        <f ca="1">IFERROR(INDEX($BD$6:$BD$53,MATCH(AI38,$BN$6:$BN$53,0)),"")</f>
        <v>Ecuador</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9</v>
      </c>
      <c r="AS38" s="33">
        <f t="shared" ca="1" si="127"/>
        <v>3</v>
      </c>
      <c r="AT38" s="38">
        <f t="shared" ca="1" si="127"/>
        <v>6</v>
      </c>
      <c r="AU38" s="318">
        <f ca="1">INDEX($DL$6:$DL$53,MATCH(AI38,$DP$6:$DP$53,0))</f>
        <v>1</v>
      </c>
      <c r="AV38" s="178" t="str">
        <f ca="1">INDEX($BD$6:$BD$53,MATCH(AI38,$BM$6:$BM$53,0))</f>
        <v>Ecuador</v>
      </c>
      <c r="AW38" s="202"/>
      <c r="AX38" s="167"/>
      <c r="AY38" s="193" t="str">
        <f ca="1">+A37</f>
        <v>Alemania</v>
      </c>
      <c r="AZ38" s="194"/>
      <c r="BC38" s="13" t="str">
        <f ca="1">+INDEX(T_Equipos[Grupo],MATCH(WORLDCUP!BD38,T_Equipos[NombreEquipo],0))</f>
        <v>I</v>
      </c>
      <c r="BD38" s="13" t="str">
        <f ca="1">+Equipos!B34</f>
        <v>Francia</v>
      </c>
      <c r="BE38" s="13">
        <f t="shared" ca="1" si="16"/>
        <v>6</v>
      </c>
      <c r="BF38" s="13">
        <f t="shared" ca="1" si="41"/>
        <v>3</v>
      </c>
      <c r="BG38" s="13">
        <f t="shared" ca="1" si="17"/>
        <v>2</v>
      </c>
      <c r="BH38" s="13">
        <f t="shared" ca="1" si="18"/>
        <v>0</v>
      </c>
      <c r="BI38" s="13">
        <f t="shared" ca="1" si="19"/>
        <v>1</v>
      </c>
      <c r="BJ38" s="13">
        <f t="shared" ca="1" si="20"/>
        <v>10</v>
      </c>
      <c r="BK38" s="13">
        <f t="shared" ca="1" si="21"/>
        <v>6</v>
      </c>
      <c r="BL38" s="13">
        <f t="shared" ca="1" si="42"/>
        <v>4</v>
      </c>
      <c r="BM38" s="13" t="str">
        <f t="shared" ca="1" si="22"/>
        <v>2I</v>
      </c>
      <c r="BN38" s="13" t="str">
        <f t="shared" ca="1" si="23"/>
        <v>2I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6</v>
      </c>
      <c r="BS38" s="13">
        <f ca="1">BP38+COUNTIFS($BQ$6:$BQ$53,BQ38,$BR$6:BR$53,"&gt;"&amp;BR38,$BC$6:$BC$53,INDEX(T_Equipos[Grupo],MATCH(BD38,T_Equipos[NombreEquipo],0)))</f>
        <v>2</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2</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2</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2</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2</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2</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2</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2</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2</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2</v>
      </c>
      <c r="DE38" s="13"/>
      <c r="DF38" s="13">
        <f t="shared" ca="1" si="52"/>
        <v>2</v>
      </c>
      <c r="DG38" s="13" t="str">
        <f ca="1">IF(DB38="-","-",COUNTIFS(DF$6:DF$53,"&lt;"&amp;DF38,$BC$6:$BC$53,INDEX(T_Equipos[Grupo],MATCH(BD38,T_Equipos[NombreEquipo],0))))</f>
        <v>-</v>
      </c>
      <c r="DH38" s="13">
        <f ca="1">DA38+COUNTIFS(DB$6:DB$53,DB38,DG$6:DG$53,"&lt;"&amp;DG38,$BC$6:$BC$53,INDEX(T_Equipos[Grupo],MATCH(BD38,T_Equipos[NombreEquipo],0)))</f>
        <v>2</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Senegal</v>
      </c>
    </row>
    <row r="39" spans="1:121" ht="16.05"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84"/>
      <c r="X39" s="21">
        <f ca="1">Horarios!C39</f>
        <v>46193.833333333336</v>
      </c>
      <c r="Y39" s="22">
        <f ca="1">Horarios!C39</f>
        <v>46193.833333333336</v>
      </c>
      <c r="Z39" s="23" t="str">
        <f>$Z$6</f>
        <v>J2</v>
      </c>
      <c r="AA39" s="24" t="str">
        <f ca="1">A40</f>
        <v>Ecuador</v>
      </c>
      <c r="AB39" s="46" t="str" cm="1">
        <f t="array" aca="1" ref="AB39" ca="1">Ver_flag_local</f>
        <v/>
      </c>
      <c r="AC39" s="47">
        <v>4</v>
      </c>
      <c r="AD39" s="48">
        <v>0</v>
      </c>
      <c r="AE39" s="582" t="str" cm="1">
        <f t="array" aca="1" ref="AE39" ca="1">Ver_flag_visit</f>
        <v/>
      </c>
      <c r="AF39" s="29" t="str">
        <f ca="1">A38</f>
        <v>Curazao</v>
      </c>
      <c r="AG39" s="311">
        <f t="shared" si="124"/>
        <v>1</v>
      </c>
      <c r="AH39" s="188">
        <v>34</v>
      </c>
      <c r="AI39" s="177" t="str">
        <f t="shared" ref="AI39:AI41" si="128">AJ39&amp;$B$36</f>
        <v>2E</v>
      </c>
      <c r="AJ39" s="39">
        <v>2</v>
      </c>
      <c r="AK39" s="589" t="str" cm="1">
        <f t="array" aca="1" ref="AK39" ca="1">Ver_flag_visit</f>
        <v/>
      </c>
      <c r="AL39" s="34" t="str">
        <f ca="1">IFERROR(INDEX($BD$6:$BD$53,MATCH(AI39,$BN$6:$BN$53,0)),"")</f>
        <v>Alemania</v>
      </c>
      <c r="AM39" s="35">
        <f t="shared" ca="1" si="127"/>
        <v>4</v>
      </c>
      <c r="AN39" s="36">
        <f t="shared" ca="1" si="127"/>
        <v>3</v>
      </c>
      <c r="AO39" s="36">
        <f t="shared" ca="1" si="127"/>
        <v>1</v>
      </c>
      <c r="AP39" s="36">
        <f t="shared" ca="1" si="127"/>
        <v>1</v>
      </c>
      <c r="AQ39" s="36">
        <f t="shared" ca="1" si="127"/>
        <v>1</v>
      </c>
      <c r="AR39" s="36">
        <f t="shared" ca="1" si="127"/>
        <v>9</v>
      </c>
      <c r="AS39" s="36">
        <f t="shared" ca="1" si="127"/>
        <v>4</v>
      </c>
      <c r="AT39" s="40">
        <f t="shared" ca="1" si="127"/>
        <v>5</v>
      </c>
      <c r="AU39" s="318">
        <f ca="1">INDEX($DL$6:$DL$53,MATCH(AI39,$DP$6:$DP$53,0))</f>
        <v>1</v>
      </c>
      <c r="AV39" s="178" t="str">
        <f ca="1">INDEX($BD$6:$BD$53,MATCH(AI39,$BM$6:$BM$53,0))</f>
        <v>Alemania</v>
      </c>
      <c r="AW39" s="202"/>
      <c r="AX39" s="167"/>
      <c r="AY39" s="195" t="str">
        <f ca="1">+A38</f>
        <v>Curazao</v>
      </c>
      <c r="AZ39" s="196"/>
      <c r="BC39" s="13" t="str">
        <f ca="1">+INDEX(T_Equipos[Grupo],MATCH(WORLDCUP!BD39,T_Equipos[NombreEquipo],0))</f>
        <v>I</v>
      </c>
      <c r="BD39" s="13" t="str">
        <f ca="1">+Equipos!B35</f>
        <v>Senegal</v>
      </c>
      <c r="BE39" s="13">
        <f t="shared" ca="1" si="16"/>
        <v>7</v>
      </c>
      <c r="BF39" s="13">
        <f t="shared" ca="1" si="41"/>
        <v>3</v>
      </c>
      <c r="BG39" s="13">
        <f t="shared" ca="1" si="17"/>
        <v>2</v>
      </c>
      <c r="BH39" s="13">
        <f t="shared" ca="1" si="18"/>
        <v>1</v>
      </c>
      <c r="BI39" s="13">
        <f t="shared" ca="1" si="19"/>
        <v>0</v>
      </c>
      <c r="BJ39" s="13">
        <f t="shared" ca="1" si="20"/>
        <v>8</v>
      </c>
      <c r="BK39" s="13">
        <f t="shared" ca="1" si="21"/>
        <v>5</v>
      </c>
      <c r="BL39" s="13">
        <f t="shared" ca="1" si="42"/>
        <v>3</v>
      </c>
      <c r="BM39" s="13" t="str">
        <f t="shared" ca="1" si="22"/>
        <v>1I</v>
      </c>
      <c r="BN39" s="13" t="str">
        <f t="shared" ca="1" si="23"/>
        <v>1I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7</v>
      </c>
      <c r="BS39" s="13">
        <f ca="1">BP39+COUNTIFS($BQ$6:$BQ$53,BQ39,$BR$6:BR$53,"&gt;"&amp;BR39,$BC$6:$BC$53,INDEX(T_Equipos[Grupo],MATCH(BD39,T_Equipos[NombreEquipo],0)))</f>
        <v>1</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1</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1</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1</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1</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1</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1</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1</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1</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1</v>
      </c>
      <c r="DE39" s="13"/>
      <c r="DF39" s="13">
        <f t="shared" ca="1" si="52"/>
        <v>1</v>
      </c>
      <c r="DG39" s="13" t="str">
        <f ca="1">IF(DB39="-","-",COUNTIFS(DF$6:DF$53,"&lt;"&amp;DF39,$BC$6:$BC$53,INDEX(T_Equipos[Grupo],MATCH(BD39,T_Equipos[NombreEquipo],0))))</f>
        <v>-</v>
      </c>
      <c r="DH39" s="13">
        <f ca="1">DA39+COUNTIFS(DB$6:DB$53,DB39,DG$6:DG$53,"&lt;"&amp;DG39,$BC$6:$BC$53,INDEX(T_Equipos[Grupo],MATCH(BD39,T_Equipos[NombreEquipo],0)))</f>
        <v>1</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Francia</v>
      </c>
    </row>
    <row r="40" spans="1:121" ht="16.05" customHeight="1">
      <c r="A40" s="13" t="str">
        <f ca="1">+Equipos!B21</f>
        <v>Ecuador</v>
      </c>
      <c r="B40" s="13"/>
      <c r="C40" s="13"/>
      <c r="D40" s="13" t="str">
        <f t="shared" si="111"/>
        <v>Visitante</v>
      </c>
      <c r="E40" s="13" t="str">
        <f t="shared" ca="1" si="112"/>
        <v>-</v>
      </c>
      <c r="F40" s="13" t="str">
        <f t="shared" ca="1" si="113"/>
        <v>P.2 (2)</v>
      </c>
      <c r="G40" s="13"/>
      <c r="H40" s="13" t="str">
        <f t="shared" ca="1" si="114"/>
        <v>-</v>
      </c>
      <c r="I40" s="13" t="str">
        <f t="shared" ca="1" si="115"/>
        <v>P.2 (2)</v>
      </c>
      <c r="J40" s="13"/>
      <c r="K40" s="13" t="str">
        <f t="shared" ca="1" si="116"/>
        <v>-</v>
      </c>
      <c r="L40" s="13" t="str">
        <f t="shared" ca="1" si="117"/>
        <v>P.2 (2)</v>
      </c>
      <c r="M40" s="13"/>
      <c r="N40" s="13" t="str">
        <f t="shared" ca="1" si="118"/>
        <v>-</v>
      </c>
      <c r="O40" s="13" t="str">
        <f t="shared" ca="1" si="119"/>
        <v>P.2 (2)</v>
      </c>
      <c r="P40" s="13"/>
      <c r="Q40" s="13" t="str">
        <f t="shared" ca="1" si="120"/>
        <v>-</v>
      </c>
      <c r="R40" s="13" t="str">
        <f t="shared" ca="1" si="121"/>
        <v>P.2 (2)</v>
      </c>
      <c r="S40" s="13"/>
      <c r="T40" s="13" t="str">
        <f t="shared" ca="1" si="122"/>
        <v>-</v>
      </c>
      <c r="U40" s="13" t="str">
        <f t="shared" ca="1" si="123"/>
        <v>P.2 (2)</v>
      </c>
      <c r="V40" s="14"/>
      <c r="W40" s="684"/>
      <c r="X40" s="21">
        <f ca="1">Horarios!C40</f>
        <v>46198.666666666664</v>
      </c>
      <c r="Y40" s="22">
        <f ca="1">Horarios!C40</f>
        <v>46198.666666666664</v>
      </c>
      <c r="Z40" s="23" t="str">
        <f>$Z$8</f>
        <v>J3</v>
      </c>
      <c r="AA40" s="24" t="str">
        <f ca="1">A38</f>
        <v>Curazao</v>
      </c>
      <c r="AB40" s="46" t="str" cm="1">
        <f t="array" aca="1" ref="AB40" ca="1">Ver_flag_local</f>
        <v/>
      </c>
      <c r="AC40" s="47">
        <v>1</v>
      </c>
      <c r="AD40" s="48">
        <v>4</v>
      </c>
      <c r="AE40" s="582" t="str" cm="1">
        <f t="array" aca="1" ref="AE40" ca="1">Ver_flag_visit</f>
        <v/>
      </c>
      <c r="AF40" s="29" t="str">
        <f ca="1">A39</f>
        <v>Costa de Marfil</v>
      </c>
      <c r="AG40" s="311">
        <f t="shared" si="124"/>
        <v>1</v>
      </c>
      <c r="AH40" s="188">
        <v>55</v>
      </c>
      <c r="AI40" s="177" t="str">
        <f t="shared" si="128"/>
        <v>3E</v>
      </c>
      <c r="AJ40" s="39">
        <v>3</v>
      </c>
      <c r="AK40" s="589" t="str" cm="1">
        <f t="array" aca="1" ref="AK40" ca="1">Ver_flag_visit</f>
        <v/>
      </c>
      <c r="AL40" s="34" t="str">
        <f ca="1">IFERROR(INDEX($BD$6:$BD$53,MATCH(AI40,$BN$6:$BN$53,0)),"")</f>
        <v>Costa de Marfil</v>
      </c>
      <c r="AM40" s="35">
        <f t="shared" ca="1" si="127"/>
        <v>4</v>
      </c>
      <c r="AN40" s="36">
        <f t="shared" ca="1" si="127"/>
        <v>3</v>
      </c>
      <c r="AO40" s="36">
        <f t="shared" ca="1" si="127"/>
        <v>1</v>
      </c>
      <c r="AP40" s="36">
        <f t="shared" ca="1" si="127"/>
        <v>1</v>
      </c>
      <c r="AQ40" s="36">
        <f t="shared" ca="1" si="127"/>
        <v>1</v>
      </c>
      <c r="AR40" s="36">
        <f t="shared" ca="1" si="127"/>
        <v>8</v>
      </c>
      <c r="AS40" s="36">
        <f t="shared" ca="1" si="127"/>
        <v>6</v>
      </c>
      <c r="AT40" s="40">
        <f t="shared" ca="1" si="127"/>
        <v>2</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3</v>
      </c>
      <c r="BK40" s="13">
        <f t="shared" ca="1" si="21"/>
        <v>9</v>
      </c>
      <c r="BL40" s="13">
        <f t="shared" ca="1" si="42"/>
        <v>-6</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Noruega</v>
      </c>
    </row>
    <row r="41" spans="1:121" ht="16.05" customHeight="1" thickBot="1">
      <c r="A41" s="13"/>
      <c r="B41" s="13"/>
      <c r="C41" s="13"/>
      <c r="D41" s="13" t="str">
        <f t="shared" si="111"/>
        <v>Local</v>
      </c>
      <c r="E41" s="13" t="str">
        <f t="shared" ca="1" si="112"/>
        <v>-</v>
      </c>
      <c r="F41" s="13" t="str">
        <f t="shared" ca="1" si="113"/>
        <v>P.2 (2)</v>
      </c>
      <c r="G41" s="13"/>
      <c r="H41" s="13" t="str">
        <f t="shared" ca="1" si="114"/>
        <v>-</v>
      </c>
      <c r="I41" s="13" t="str">
        <f t="shared" ca="1" si="115"/>
        <v>P.2 (2)</v>
      </c>
      <c r="J41" s="13"/>
      <c r="K41" s="13" t="str">
        <f t="shared" ca="1" si="116"/>
        <v>-</v>
      </c>
      <c r="L41" s="13" t="str">
        <f t="shared" ca="1" si="117"/>
        <v>P.2 (2)</v>
      </c>
      <c r="M41" s="13"/>
      <c r="N41" s="13" t="str">
        <f t="shared" ca="1" si="118"/>
        <v>-</v>
      </c>
      <c r="O41" s="13" t="str">
        <f t="shared" ca="1" si="119"/>
        <v>P.2 (2)</v>
      </c>
      <c r="P41" s="13"/>
      <c r="Q41" s="13" t="str">
        <f t="shared" ca="1" si="120"/>
        <v>-</v>
      </c>
      <c r="R41" s="13" t="str">
        <f t="shared" ca="1" si="121"/>
        <v>P.2 (2)</v>
      </c>
      <c r="S41" s="13"/>
      <c r="T41" s="13" t="str">
        <f t="shared" ca="1" si="122"/>
        <v>-</v>
      </c>
      <c r="U41" s="13" t="str">
        <f t="shared" ca="1" si="123"/>
        <v>P.2 (2)</v>
      </c>
      <c r="V41" s="14"/>
      <c r="W41" s="685"/>
      <c r="X41" s="25">
        <f ca="1">Horarios!C41</f>
        <v>46198.666666666664</v>
      </c>
      <c r="Y41" s="26">
        <f ca="1">Horarios!C41</f>
        <v>46198.666666666664</v>
      </c>
      <c r="Z41" s="27" t="str">
        <f>$Z$8</f>
        <v>J3</v>
      </c>
      <c r="AA41" s="28" t="str">
        <f ca="1">A40</f>
        <v>Ecuador</v>
      </c>
      <c r="AB41" s="49" t="str" cm="1">
        <f t="array" aca="1" ref="AB41" ca="1">Ver_flag_local</f>
        <v/>
      </c>
      <c r="AC41" s="50">
        <v>2</v>
      </c>
      <c r="AD41" s="51">
        <v>1</v>
      </c>
      <c r="AE41" s="583" t="str" cm="1">
        <f t="array" aca="1" ref="AE41" ca="1">Ver_flag_visit</f>
        <v/>
      </c>
      <c r="AF41" s="30" t="str">
        <f ca="1">A37</f>
        <v>Alemania</v>
      </c>
      <c r="AG41" s="311">
        <f t="shared" si="124"/>
        <v>1</v>
      </c>
      <c r="AH41" s="188">
        <v>56</v>
      </c>
      <c r="AI41" s="177" t="str">
        <f t="shared" si="128"/>
        <v>4E</v>
      </c>
      <c r="AJ41" s="41">
        <v>4</v>
      </c>
      <c r="AK41" s="591" t="str" cm="1">
        <f t="array" aca="1" ref="AK41" ca="1">Ver_flag_visit</f>
        <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14</v>
      </c>
      <c r="AT41" s="45">
        <f t="shared" ca="1" si="127"/>
        <v>-13</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6</v>
      </c>
      <c r="BK41" s="13">
        <f t="shared" ca="1" si="21"/>
        <v>7</v>
      </c>
      <c r="BL41" s="13">
        <f t="shared" ca="1" si="42"/>
        <v>-1</v>
      </c>
      <c r="BM41" s="13" t="str">
        <f t="shared" ca="1" si="22"/>
        <v>3I</v>
      </c>
      <c r="BN41" s="13" t="str">
        <f t="shared" ca="1" si="23"/>
        <v>3I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3</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3</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3</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3</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3</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3</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3</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3</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3</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3</v>
      </c>
      <c r="DE41" s="13"/>
      <c r="DF41" s="13">
        <f t="shared" ca="1" si="52"/>
        <v>3</v>
      </c>
      <c r="DG41" s="13" t="str">
        <f ca="1">IF(DB41="-","-",COUNTIFS(DF$6:DF$53,"&lt;"&amp;DF41,$BC$6:$BC$53,INDEX(T_Equipos[Grupo],MATCH(BD41,T_Equipos[NombreEquipo],0))))</f>
        <v>-</v>
      </c>
      <c r="DH41" s="13">
        <f ca="1">DA41+COUNTIFS(DB$6:DB$53,DB41,DG$6:DG$53,"&lt;"&amp;DG41,$BC$6:$BC$53,INDEX(T_Equipos[Grupo],MATCH(BD41,T_Equipos[NombreEquipo],0)))</f>
        <v>3</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2</v>
      </c>
      <c r="BL42" s="13">
        <f t="shared" ca="1" si="42"/>
        <v>7</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6</v>
      </c>
      <c r="BK43" s="13">
        <f t="shared" ca="1" si="21"/>
        <v>5</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2</v>
      </c>
      <c r="CB43" s="13">
        <f t="shared" ca="1" si="28"/>
        <v>2</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2</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2</v>
      </c>
      <c r="CP43" s="13">
        <f t="shared" ca="1" si="34"/>
        <v>2</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2</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1</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05"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P.1 (2)</v>
      </c>
      <c r="F44" s="13" t="str">
        <f t="shared" ref="F44:F49" ca="1" si="133">IF(D44="Pendiente","-",INDEX($BT$6:$BT$53,MATCH($AF44,$BD$6:$BD$53,0)))</f>
        <v>P.1 (2)</v>
      </c>
      <c r="G44" s="13"/>
      <c r="H44" s="13" t="str">
        <f t="shared" ref="H44:H49" ca="1" si="134">IF(D44="Pendiente","-",INDEX($BZ$6:$BZ$53,MATCH($AA44,$BD$6:$BD$53,0)))</f>
        <v>P.1 (2)</v>
      </c>
      <c r="I44" s="13" t="str">
        <f t="shared" ref="I44:I49" ca="1" si="135">IF(D44="Pendiente","-",INDEX($BZ$6:$BZ$53,MATCH($AF44,$BD$6:$BD$53,0)))</f>
        <v>P.1 (2)</v>
      </c>
      <c r="J44" s="13"/>
      <c r="K44" s="13" t="str">
        <f t="shared" ref="K44:K49" ca="1" si="136">IF(D44="Pendiente","-",INDEX($CE$6:$CE$53,MATCH($AA44,$BD$6:$BD$53,0)))</f>
        <v>P.1 (2)</v>
      </c>
      <c r="L44" s="13" t="str">
        <f t="shared" ref="L44:L49" ca="1" si="137">IF(D44="Pendiente","-",INDEX($CE$6:$CE$53,MATCH($AF44,$BD$6:$BD$53,0)))</f>
        <v>P.1 (2)</v>
      </c>
      <c r="M44" s="13"/>
      <c r="N44" s="13" t="str">
        <f t="shared" ref="N44:N49" ca="1" si="138">IF(D44="Pendiente","-",INDEX($CH$6:$CH$53,MATCH($AA44,$BD$6:$BD$53,0)))</f>
        <v>P.1 (2)</v>
      </c>
      <c r="O44" s="13" t="str">
        <f t="shared" ref="O44:O49" ca="1" si="139">IF(D44="Pendiente","-",INDEX($CH$6:$CH$53,MATCH($AF44,$BD$6:$BD$53,0)))</f>
        <v>P.1 (2)</v>
      </c>
      <c r="P44" s="13"/>
      <c r="Q44" s="13" t="str">
        <f t="shared" ref="Q44:Q49" ca="1" si="140">IF(D44="Pendiente","-",INDEX($CN$6:$CN$53,MATCH($AA44,$BD$6:$BD$53,0)))</f>
        <v>P.1 (2)</v>
      </c>
      <c r="R44" s="13" t="str">
        <f t="shared" ref="R44:R49" ca="1" si="141">IF(D44="Pendiente","-",INDEX($CN$6:$CN$53,MATCH($AF44,$BD$6:$BD$53,0)))</f>
        <v>P.1 (2)</v>
      </c>
      <c r="S44" s="13"/>
      <c r="T44" s="13" t="str">
        <f t="shared" ref="T44:T49" ca="1" si="142">IF(D44="Pendiente","-",INDEX($CS$6:$CS$53,MATCH($AA44,$BD$6:$BD$53,0)))</f>
        <v>P.1 (2)</v>
      </c>
      <c r="U44" s="13" t="str">
        <f t="shared" ref="U44:U49" ca="1" si="143">IF(D44="Pendiente","-",INDEX($CS$6:$CS$53,MATCH($AF44,$BD$6:$BD$53,0)))</f>
        <v>P.1 (2)</v>
      </c>
      <c r="V44" s="14"/>
      <c r="W44" s="692" t="s">
        <v>4</v>
      </c>
      <c r="X44" s="21">
        <f ca="1">Horarios!C44</f>
        <v>46187.666666666664</v>
      </c>
      <c r="Y44" s="22">
        <f ca="1">Horarios!C44</f>
        <v>46187.666666666664</v>
      </c>
      <c r="Z44" s="23" t="str">
        <f>$Z$4</f>
        <v>J1</v>
      </c>
      <c r="AA44" s="24" t="str">
        <f ca="1">A45</f>
        <v>Países Bajos</v>
      </c>
      <c r="AB44" s="46" t="str" cm="1">
        <f t="array" aca="1" ref="AB44" ca="1">Ver_flag_local</f>
        <v/>
      </c>
      <c r="AC44" s="47">
        <v>2</v>
      </c>
      <c r="AD44" s="48">
        <v>2</v>
      </c>
      <c r="AE44" s="582" t="str" cm="1">
        <f t="array" aca="1" ref="AE44" ca="1">Ver_flag_visit</f>
        <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5</v>
      </c>
      <c r="BK44" s="13">
        <f t="shared" ca="1" si="21"/>
        <v>5</v>
      </c>
      <c r="BL44" s="13">
        <f t="shared" ca="1" si="42"/>
        <v>0</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2</v>
      </c>
      <c r="CB44" s="13">
        <f t="shared" ca="1" si="28"/>
        <v>2</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2</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2</v>
      </c>
      <c r="CP44" s="13">
        <f t="shared" ca="1" si="34"/>
        <v>2</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2</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0</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92"/>
      <c r="X45" s="21">
        <f ca="1">Horarios!C45</f>
        <v>46187.916666666664</v>
      </c>
      <c r="Y45" s="22">
        <f ca="1">Horarios!C45</f>
        <v>46187.916666666664</v>
      </c>
      <c r="Z45" s="23" t="str">
        <f>$Z$4</f>
        <v>J1</v>
      </c>
      <c r="AA45" s="24" t="str">
        <f ca="1">A47</f>
        <v>Suecia</v>
      </c>
      <c r="AB45" s="46" t="str" cm="1">
        <f t="array" aca="1" ref="AB45" ca="1">Ver_flag_local</f>
        <v/>
      </c>
      <c r="AC45" s="47">
        <v>2</v>
      </c>
      <c r="AD45" s="48">
        <v>1</v>
      </c>
      <c r="AE45" s="582" t="str" cm="1">
        <f t="array" aca="1" ref="AE45" ca="1">Ver_flag_visit</f>
        <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1</v>
      </c>
      <c r="BK45" s="13">
        <f t="shared" ca="1" si="21"/>
        <v>9</v>
      </c>
      <c r="BL45" s="13">
        <f t="shared" ca="1" si="42"/>
        <v>-8</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P.1 (2)</v>
      </c>
      <c r="F46" s="13" t="str">
        <f t="shared" ca="1" si="133"/>
        <v>-</v>
      </c>
      <c r="G46" s="13"/>
      <c r="H46" s="13" t="str">
        <f t="shared" ca="1" si="134"/>
        <v>P.1 (2)</v>
      </c>
      <c r="I46" s="13" t="str">
        <f t="shared" ca="1" si="135"/>
        <v>-</v>
      </c>
      <c r="J46" s="13"/>
      <c r="K46" s="13" t="str">
        <f t="shared" ca="1" si="136"/>
        <v>P.1 (2)</v>
      </c>
      <c r="L46" s="13" t="str">
        <f t="shared" ca="1" si="137"/>
        <v>-</v>
      </c>
      <c r="M46" s="13"/>
      <c r="N46" s="13" t="str">
        <f t="shared" ca="1" si="138"/>
        <v>P.1 (2)</v>
      </c>
      <c r="O46" s="13" t="str">
        <f t="shared" ca="1" si="139"/>
        <v>-</v>
      </c>
      <c r="P46" s="13"/>
      <c r="Q46" s="13" t="str">
        <f t="shared" ca="1" si="140"/>
        <v>P.1 (2)</v>
      </c>
      <c r="R46" s="13" t="str">
        <f t="shared" ca="1" si="141"/>
        <v>-</v>
      </c>
      <c r="S46" s="13"/>
      <c r="T46" s="13" t="str">
        <f t="shared" ca="1" si="142"/>
        <v>P.1 (2)</v>
      </c>
      <c r="U46" s="13" t="str">
        <f t="shared" ca="1" si="143"/>
        <v>-</v>
      </c>
      <c r="V46" s="14"/>
      <c r="W46" s="692"/>
      <c r="X46" s="21">
        <f ca="1">Horarios!C46</f>
        <v>46193.541666666664</v>
      </c>
      <c r="Y46" s="22">
        <f ca="1">Horarios!C46</f>
        <v>46193.541666666664</v>
      </c>
      <c r="Z46" s="23" t="str">
        <f>$Z$6</f>
        <v>J2</v>
      </c>
      <c r="AA46" s="24" t="str">
        <f ca="1">A45</f>
        <v>Países Bajos</v>
      </c>
      <c r="AB46" s="46" t="str" cm="1">
        <f t="array" aca="1" ref="AB46" ca="1">Ver_flag_local</f>
        <v/>
      </c>
      <c r="AC46" s="47">
        <v>3</v>
      </c>
      <c r="AD46" s="48">
        <v>1</v>
      </c>
      <c r="AE46" s="582" t="str" cm="1">
        <f t="array" aca="1" ref="AE46" ca="1">Ver_flag_visit</f>
        <v/>
      </c>
      <c r="AF46" s="29" t="str">
        <f ca="1">A47</f>
        <v>Suecia</v>
      </c>
      <c r="AG46" s="311">
        <f t="shared" si="144"/>
        <v>1</v>
      </c>
      <c r="AH46" s="188">
        <v>35</v>
      </c>
      <c r="AI46" s="177" t="str">
        <f>AJ46&amp;$B$44</f>
        <v>1F</v>
      </c>
      <c r="AJ46" s="37">
        <v>1</v>
      </c>
      <c r="AK46" s="588" t="str" cm="1">
        <f t="array" aca="1" ref="AK46" ca="1">Ver_flag_visit</f>
        <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8</v>
      </c>
      <c r="AS46" s="33">
        <f t="shared" ca="1" si="147"/>
        <v>4</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11</v>
      </c>
      <c r="BK46" s="13">
        <f t="shared" ca="1" si="21"/>
        <v>3</v>
      </c>
      <c r="BL46" s="13">
        <f t="shared" ca="1" si="42"/>
        <v>8</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P.1 (2)</v>
      </c>
      <c r="G47" s="13"/>
      <c r="H47" s="13" t="str">
        <f t="shared" ca="1" si="134"/>
        <v>-</v>
      </c>
      <c r="I47" s="13" t="str">
        <f t="shared" ca="1" si="135"/>
        <v>P.1 (2)</v>
      </c>
      <c r="J47" s="13"/>
      <c r="K47" s="13" t="str">
        <f t="shared" ca="1" si="136"/>
        <v>-</v>
      </c>
      <c r="L47" s="13" t="str">
        <f t="shared" ca="1" si="137"/>
        <v>P.1 (2)</v>
      </c>
      <c r="M47" s="13"/>
      <c r="N47" s="13" t="str">
        <f t="shared" ca="1" si="138"/>
        <v>-</v>
      </c>
      <c r="O47" s="13" t="str">
        <f t="shared" ca="1" si="139"/>
        <v>P.1 (2)</v>
      </c>
      <c r="P47" s="13"/>
      <c r="Q47" s="13" t="str">
        <f t="shared" ca="1" si="140"/>
        <v>-</v>
      </c>
      <c r="R47" s="13" t="str">
        <f t="shared" ca="1" si="141"/>
        <v>P.1 (2)</v>
      </c>
      <c r="S47" s="13"/>
      <c r="T47" s="13" t="str">
        <f t="shared" ca="1" si="142"/>
        <v>-</v>
      </c>
      <c r="U47" s="13" t="str">
        <f t="shared" ca="1" si="143"/>
        <v>P.1 (2)</v>
      </c>
      <c r="V47" s="14"/>
      <c r="W47" s="692"/>
      <c r="X47" s="21">
        <f ca="1">Horarios!C47</f>
        <v>46194</v>
      </c>
      <c r="Y47" s="22">
        <f ca="1">Horarios!C47</f>
        <v>46194</v>
      </c>
      <c r="Z47" s="23" t="str">
        <f>$Z$6</f>
        <v>J2</v>
      </c>
      <c r="AA47" s="24" t="str">
        <f ca="1">A48</f>
        <v>Túnez</v>
      </c>
      <c r="AB47" s="46" t="str" cm="1">
        <f t="array" aca="1" ref="AB47" ca="1">Ver_flag_local</f>
        <v/>
      </c>
      <c r="AC47" s="47">
        <v>1</v>
      </c>
      <c r="AD47" s="48">
        <v>2</v>
      </c>
      <c r="AE47" s="582" t="str" cm="1">
        <f t="array" aca="1" ref="AE47" ca="1">Ver_flag_visit</f>
        <v/>
      </c>
      <c r="AF47" s="29" t="str">
        <f ca="1">A46</f>
        <v>Japón</v>
      </c>
      <c r="AG47" s="311">
        <f t="shared" si="144"/>
        <v>1</v>
      </c>
      <c r="AH47" s="188">
        <v>36</v>
      </c>
      <c r="AI47" s="177" t="str">
        <f t="shared" ref="AI47:AI49" si="148">AJ47&amp;$B$44</f>
        <v>2F</v>
      </c>
      <c r="AJ47" s="39">
        <v>2</v>
      </c>
      <c r="AK47" s="589" t="str" cm="1">
        <f t="array" aca="1" ref="AK47" ca="1">Ver_flag_visit</f>
        <v/>
      </c>
      <c r="AL47" s="34" t="str">
        <f ca="1">IFERROR(INDEX($BD$6:$BD$53,MATCH(AI47,$BN$6:$BN$53,0)),"")</f>
        <v>Japón</v>
      </c>
      <c r="AM47" s="35">
        <f t="shared" ca="1" si="147"/>
        <v>7</v>
      </c>
      <c r="AN47" s="36">
        <f t="shared" ca="1" si="147"/>
        <v>3</v>
      </c>
      <c r="AO47" s="36">
        <f t="shared" ca="1" si="147"/>
        <v>2</v>
      </c>
      <c r="AP47" s="36">
        <f t="shared" ca="1" si="147"/>
        <v>1</v>
      </c>
      <c r="AQ47" s="36">
        <f t="shared" ca="1" si="147"/>
        <v>0</v>
      </c>
      <c r="AR47" s="36">
        <f t="shared" ca="1" si="147"/>
        <v>6</v>
      </c>
      <c r="AS47" s="36">
        <f t="shared" ca="1" si="147"/>
        <v>4</v>
      </c>
      <c r="AT47" s="40">
        <f t="shared" ca="1" si="147"/>
        <v>2</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3</v>
      </c>
      <c r="BK47" s="13">
        <f t="shared" ca="1" si="21"/>
        <v>9</v>
      </c>
      <c r="BL47" s="13">
        <f t="shared" ca="1" si="42"/>
        <v>-6</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2</v>
      </c>
      <c r="CB47" s="13">
        <f t="shared" ca="1" si="28"/>
        <v>2</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2</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2</v>
      </c>
      <c r="CP47" s="13">
        <f t="shared" ca="1" si="34"/>
        <v>2</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2</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-6</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P.1 (2)</v>
      </c>
      <c r="F48" s="13" t="str">
        <f t="shared" ca="1" si="133"/>
        <v>-</v>
      </c>
      <c r="G48" s="13"/>
      <c r="H48" s="13" t="str">
        <f t="shared" ca="1" si="134"/>
        <v>P.1 (2)</v>
      </c>
      <c r="I48" s="13" t="str">
        <f t="shared" ca="1" si="135"/>
        <v>-</v>
      </c>
      <c r="J48" s="13"/>
      <c r="K48" s="13" t="str">
        <f t="shared" ca="1" si="136"/>
        <v>P.1 (2)</v>
      </c>
      <c r="L48" s="13" t="str">
        <f t="shared" ca="1" si="137"/>
        <v>-</v>
      </c>
      <c r="M48" s="13"/>
      <c r="N48" s="13" t="str">
        <f t="shared" ca="1" si="138"/>
        <v>P.1 (2)</v>
      </c>
      <c r="O48" s="13" t="str">
        <f t="shared" ca="1" si="139"/>
        <v>-</v>
      </c>
      <c r="P48" s="13"/>
      <c r="Q48" s="13" t="str">
        <f t="shared" ca="1" si="140"/>
        <v>P.1 (2)</v>
      </c>
      <c r="R48" s="13" t="str">
        <f t="shared" ca="1" si="141"/>
        <v>-</v>
      </c>
      <c r="S48" s="13"/>
      <c r="T48" s="13" t="str">
        <f t="shared" ca="1" si="142"/>
        <v>P.1 (2)</v>
      </c>
      <c r="U48" s="13" t="str">
        <f t="shared" ca="1" si="143"/>
        <v>-</v>
      </c>
      <c r="V48" s="14"/>
      <c r="W48" s="692"/>
      <c r="X48" s="21">
        <f ca="1">Horarios!C48</f>
        <v>46198.791666666664</v>
      </c>
      <c r="Y48" s="22">
        <f ca="1">Horarios!C48</f>
        <v>46198.791666666664</v>
      </c>
      <c r="Z48" s="23" t="str">
        <f>$Z$8</f>
        <v>J3</v>
      </c>
      <c r="AA48" s="24" t="str">
        <f ca="1">A46</f>
        <v>Japón</v>
      </c>
      <c r="AB48" s="46" t="str" cm="1">
        <f t="array" aca="1" ref="AB48" ca="1">Ver_flag_local</f>
        <v/>
      </c>
      <c r="AC48" s="47">
        <v>2</v>
      </c>
      <c r="AD48" s="48">
        <v>1</v>
      </c>
      <c r="AE48" s="582" t="str" cm="1">
        <f t="array" aca="1" ref="AE48" ca="1">Ver_flag_visit</f>
        <v/>
      </c>
      <c r="AF48" s="29" t="str">
        <f ca="1">A47</f>
        <v>Suecia</v>
      </c>
      <c r="AG48" s="311">
        <f t="shared" si="144"/>
        <v>1</v>
      </c>
      <c r="AH48" s="188">
        <v>57</v>
      </c>
      <c r="AI48" s="177" t="str">
        <f t="shared" si="148"/>
        <v>3F</v>
      </c>
      <c r="AJ48" s="39">
        <v>3</v>
      </c>
      <c r="AK48" s="589" t="str" cm="1">
        <f t="array" aca="1" ref="AK48" ca="1">Ver_flag_visit</f>
        <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4</v>
      </c>
      <c r="AS48" s="36">
        <f t="shared" ca="1" si="147"/>
        <v>6</v>
      </c>
      <c r="AT48" s="40">
        <f t="shared" ca="1" si="147"/>
        <v>-2</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4</v>
      </c>
      <c r="BK48" s="13">
        <f t="shared" ca="1" si="21"/>
        <v>9</v>
      </c>
      <c r="BL48" s="13">
        <f t="shared" ca="1" si="42"/>
        <v>-5</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2</v>
      </c>
      <c r="CB48" s="13">
        <f t="shared" ca="1" si="28"/>
        <v>2</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2</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2</v>
      </c>
      <c r="CP48" s="13">
        <f t="shared" ca="1" si="34"/>
        <v>2</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2</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-5</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P.1 (2)</v>
      </c>
      <c r="G49" s="13"/>
      <c r="H49" s="13" t="str">
        <f t="shared" ca="1" si="134"/>
        <v>-</v>
      </c>
      <c r="I49" s="13" t="str">
        <f t="shared" ca="1" si="135"/>
        <v>P.1 (2)</v>
      </c>
      <c r="J49" s="13"/>
      <c r="K49" s="13" t="str">
        <f t="shared" ca="1" si="136"/>
        <v>-</v>
      </c>
      <c r="L49" s="13" t="str">
        <f t="shared" ca="1" si="137"/>
        <v>P.1 (2)</v>
      </c>
      <c r="M49" s="13"/>
      <c r="N49" s="13" t="str">
        <f t="shared" ca="1" si="138"/>
        <v>-</v>
      </c>
      <c r="O49" s="13" t="str">
        <f t="shared" ca="1" si="139"/>
        <v>P.1 (2)</v>
      </c>
      <c r="P49" s="13"/>
      <c r="Q49" s="13" t="str">
        <f t="shared" ca="1" si="140"/>
        <v>-</v>
      </c>
      <c r="R49" s="13" t="str">
        <f t="shared" ca="1" si="141"/>
        <v>P.1 (2)</v>
      </c>
      <c r="S49" s="13"/>
      <c r="T49" s="13" t="str">
        <f t="shared" ca="1" si="142"/>
        <v>-</v>
      </c>
      <c r="U49" s="13" t="str">
        <f t="shared" ca="1" si="143"/>
        <v>P.1 (2)</v>
      </c>
      <c r="V49" s="14"/>
      <c r="W49" s="693"/>
      <c r="X49" s="25">
        <f ca="1">Horarios!C49</f>
        <v>46198.791666666664</v>
      </c>
      <c r="Y49" s="26">
        <f ca="1">Horarios!C49</f>
        <v>46198.791666666664</v>
      </c>
      <c r="Z49" s="27" t="str">
        <f>$Z$8</f>
        <v>J3</v>
      </c>
      <c r="AA49" s="28" t="str">
        <f ca="1">A48</f>
        <v>Túnez</v>
      </c>
      <c r="AB49" s="49" t="str" cm="1">
        <f t="array" aca="1" ref="AB49" ca="1">Ver_flag_local</f>
        <v/>
      </c>
      <c r="AC49" s="50">
        <v>1</v>
      </c>
      <c r="AD49" s="51">
        <v>3</v>
      </c>
      <c r="AE49" s="583" t="str" cm="1">
        <f t="array" aca="1" ref="AE49" ca="1">Ver_flag_visit</f>
        <v/>
      </c>
      <c r="AF49" s="30" t="str">
        <f ca="1">A45</f>
        <v>Países Bajos</v>
      </c>
      <c r="AG49" s="311">
        <f t="shared" si="144"/>
        <v>1</v>
      </c>
      <c r="AH49" s="188">
        <v>58</v>
      </c>
      <c r="AI49" s="177" t="str">
        <f t="shared" si="148"/>
        <v>4F</v>
      </c>
      <c r="AJ49" s="41">
        <v>4</v>
      </c>
      <c r="AK49" s="591" t="str" cm="1">
        <f t="array" aca="1" ref="AK49" ca="1">Ver_flag_visit</f>
        <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3</v>
      </c>
      <c r="AS49" s="44">
        <f t="shared" ca="1" si="147"/>
        <v>7</v>
      </c>
      <c r="AT49" s="45">
        <f t="shared" ca="1" si="147"/>
        <v>-4</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8</v>
      </c>
      <c r="BK49" s="13">
        <f t="shared" ca="1" si="21"/>
        <v>5</v>
      </c>
      <c r="BL49" s="13">
        <f t="shared" ca="1" si="42"/>
        <v>3</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6</v>
      </c>
      <c r="BF50" s="13">
        <f t="shared" ca="1" si="41"/>
        <v>3</v>
      </c>
      <c r="BG50" s="13">
        <f t="shared" ca="1" si="17"/>
        <v>2</v>
      </c>
      <c r="BH50" s="13">
        <f t="shared" ca="1" si="18"/>
        <v>0</v>
      </c>
      <c r="BI50" s="13">
        <f t="shared" ca="1" si="19"/>
        <v>1</v>
      </c>
      <c r="BJ50" s="13">
        <f t="shared" ca="1" si="20"/>
        <v>8</v>
      </c>
      <c r="BK50" s="13">
        <f t="shared" ca="1" si="21"/>
        <v>4</v>
      </c>
      <c r="BL50" s="13">
        <f t="shared" ca="1" si="42"/>
        <v>4</v>
      </c>
      <c r="BM50" s="13" t="str">
        <f t="shared" ca="1" si="22"/>
        <v>2L</v>
      </c>
      <c r="BN50" s="13" t="str">
        <f t="shared" ca="1" si="23"/>
        <v>2L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6</v>
      </c>
      <c r="BS50" s="13">
        <f ca="1">BP50+COUNTIFS($BQ$6:$BQ$53,BQ50,$BR$6:BR$53,"&gt;"&amp;BR50,$BC$6:$BC$53,INDEX(T_Equipos[Grupo],MATCH(BD50,T_Equipos[NombreEquipo],0)))</f>
        <v>2</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2</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2</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2</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2</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2</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2</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2</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2</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2</v>
      </c>
      <c r="DE50" s="13"/>
      <c r="DF50" s="13">
        <f t="shared" ca="1" si="52"/>
        <v>2</v>
      </c>
      <c r="DG50" s="13" t="str">
        <f ca="1">IF(DB50="-","-",COUNTIFS(DF$6:DF$53,"&lt;"&amp;DF50,$BC$6:$BC$53,INDEX(T_Equipos[Grupo],MATCH(BD50,T_Equipos[NombreEquipo],0))))</f>
        <v>-</v>
      </c>
      <c r="DH50" s="13">
        <f ca="1">DA50+COUNTIFS(DB$6:DB$53,DB50,DG$6:DG$53,"&lt;"&amp;DG50,$BC$6:$BC$53,INDEX(T_Equipos[Grupo],MATCH(BD50,T_Equipos[NombreEquipo],0)))</f>
        <v>2</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Croacia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9</v>
      </c>
      <c r="BF51" s="13">
        <f t="shared" ca="1" si="41"/>
        <v>3</v>
      </c>
      <c r="BG51" s="13">
        <f t="shared" ca="1" si="17"/>
        <v>3</v>
      </c>
      <c r="BH51" s="13">
        <f t="shared" ca="1" si="18"/>
        <v>0</v>
      </c>
      <c r="BI51" s="13">
        <f t="shared" ca="1" si="19"/>
        <v>0</v>
      </c>
      <c r="BJ51" s="13">
        <f t="shared" ca="1" si="20"/>
        <v>9</v>
      </c>
      <c r="BK51" s="13">
        <f t="shared" ca="1" si="21"/>
        <v>4</v>
      </c>
      <c r="BL51" s="13">
        <f t="shared" ca="1" si="42"/>
        <v>5</v>
      </c>
      <c r="BM51" s="13" t="str">
        <f t="shared" ca="1" si="22"/>
        <v>1L</v>
      </c>
      <c r="BN51" s="13" t="str">
        <f t="shared" ca="1" si="23"/>
        <v>1L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9</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1</v>
      </c>
      <c r="DE51" s="13"/>
      <c r="DF51" s="13">
        <f t="shared" ca="1" si="52"/>
        <v>1</v>
      </c>
      <c r="DG51" s="13" t="str">
        <f ca="1">IF(DB51="-","-",COUNTIFS(DF$6:DF$53,"&lt;"&amp;DF51,$BC$6:$BC$53,INDEX(T_Equipos[Grupo],MATCH(BD51,T_Equipos[NombreEquipo],0))))</f>
        <v>-</v>
      </c>
      <c r="DH51" s="13">
        <f ca="1">DA51+COUNTIFS(DB$6:DB$53,DB51,DG$6:DG$53,"&lt;"&amp;DG51,$BC$6:$BC$53,INDEX(T_Equipos[Grupo],MATCH(BD51,T_Equipos[NombreEquipo],0)))</f>
        <v>1</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Inglaterra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12" t="s">
        <v>6</v>
      </c>
      <c r="X52" s="21">
        <f ca="1">Horarios!C52</f>
        <v>46188.625</v>
      </c>
      <c r="Y52" s="22">
        <f ca="1">Horarios!C52</f>
        <v>46188.625</v>
      </c>
      <c r="Z52" s="23" t="str">
        <f>$Z$4</f>
        <v>J1</v>
      </c>
      <c r="AA52" s="24" t="str">
        <f ca="1">A53</f>
        <v>Bélgica</v>
      </c>
      <c r="AB52" s="46" t="str" cm="1">
        <f t="array" aca="1" ref="AB52" ca="1">Ver_flag_local</f>
        <v/>
      </c>
      <c r="AC52" s="47">
        <v>3</v>
      </c>
      <c r="AD52" s="48">
        <v>1</v>
      </c>
      <c r="AE52" s="582" t="str" cm="1">
        <f t="array" aca="1" ref="AE52" ca="1">Ver_flag_visit</f>
        <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5</v>
      </c>
      <c r="BK52" s="13">
        <f t="shared" ca="1" si="21"/>
        <v>7</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12"/>
      <c r="X53" s="21">
        <f ca="1">Horarios!C53</f>
        <v>46188.875</v>
      </c>
      <c r="Y53" s="22">
        <f ca="1">Horarios!C53</f>
        <v>46188.875</v>
      </c>
      <c r="Z53" s="23" t="str">
        <f>$Z$4</f>
        <v>J1</v>
      </c>
      <c r="AA53" s="24" t="str">
        <f ca="1">A55</f>
        <v>Irán</v>
      </c>
      <c r="AB53" s="46" t="str" cm="1">
        <f t="array" aca="1" ref="AB53" ca="1">Ver_flag_local</f>
        <v/>
      </c>
      <c r="AC53" s="47">
        <v>2</v>
      </c>
      <c r="AD53" s="48">
        <v>1</v>
      </c>
      <c r="AE53" s="582" t="str" cm="1">
        <f t="array" aca="1" ref="AE53" ca="1">Ver_flag_visit</f>
        <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3</v>
      </c>
      <c r="BK53" s="13">
        <f t="shared" ca="1" si="21"/>
        <v>10</v>
      </c>
      <c r="BL53" s="13">
        <f t="shared" ca="1" si="42"/>
        <v>-7</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12"/>
      <c r="X54" s="21">
        <f ca="1">Horarios!C54</f>
        <v>46194.625</v>
      </c>
      <c r="Y54" s="22">
        <f ca="1">Horarios!C54</f>
        <v>46194.625</v>
      </c>
      <c r="Z54" s="23" t="str">
        <f>$Z$6</f>
        <v>J2</v>
      </c>
      <c r="AA54" s="24" t="str">
        <f ca="1">A53</f>
        <v>Bélgica</v>
      </c>
      <c r="AB54" s="46" t="str" cm="1">
        <f t="array" aca="1" ref="AB54" ca="1">Ver_flag_local</f>
        <v/>
      </c>
      <c r="AC54" s="47">
        <v>3</v>
      </c>
      <c r="AD54" s="48">
        <v>1</v>
      </c>
      <c r="AE54" s="582" t="str" cm="1">
        <f t="array" aca="1" ref="AE54" ca="1">Ver_flag_visit</f>
        <v/>
      </c>
      <c r="AF54" s="29" t="str">
        <f ca="1">A55</f>
        <v>Irán</v>
      </c>
      <c r="AG54" s="311">
        <f t="shared" si="162"/>
        <v>1</v>
      </c>
      <c r="AH54" s="188">
        <v>39</v>
      </c>
      <c r="AI54" s="177" t="str">
        <f>AJ54&amp;$B$52</f>
        <v>1G</v>
      </c>
      <c r="AJ54" s="37">
        <v>1</v>
      </c>
      <c r="AK54" s="588" t="str" cm="1">
        <f t="array" aca="1" ref="AK54" ca="1">Ver_flag_visit</f>
        <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10</v>
      </c>
      <c r="AS54" s="33">
        <f t="shared" ca="1" si="165"/>
        <v>2</v>
      </c>
      <c r="AT54" s="38">
        <f t="shared" ca="1" si="165"/>
        <v>8</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12"/>
      <c r="X55" s="21">
        <f ca="1">Horarios!C55</f>
        <v>46194.875</v>
      </c>
      <c r="Y55" s="22">
        <f ca="1">Horarios!C55</f>
        <v>46194.875</v>
      </c>
      <c r="Z55" s="23" t="str">
        <f>$Z$6</f>
        <v>J2</v>
      </c>
      <c r="AA55" s="24" t="str">
        <f ca="1">A56</f>
        <v>Nueva Zelanda</v>
      </c>
      <c r="AB55" s="46" t="str" cm="1">
        <f t="array" aca="1" ref="AB55" ca="1">Ver_flag_local</f>
        <v/>
      </c>
      <c r="AC55" s="47">
        <v>1</v>
      </c>
      <c r="AD55" s="48">
        <v>2</v>
      </c>
      <c r="AE55" s="582" t="str" cm="1">
        <f t="array" aca="1" ref="AE55" ca="1">Ver_flag_visit</f>
        <v/>
      </c>
      <c r="AF55" s="29" t="str">
        <f ca="1">A54</f>
        <v>Egipto</v>
      </c>
      <c r="AG55" s="311">
        <f t="shared" si="162"/>
        <v>1</v>
      </c>
      <c r="AH55" s="188">
        <v>40</v>
      </c>
      <c r="AI55" s="177" t="str">
        <f t="shared" ref="AI55:AI57" si="166">AJ55&amp;$B$52</f>
        <v>2G</v>
      </c>
      <c r="AJ55" s="39">
        <v>2</v>
      </c>
      <c r="AK55" s="589" t="str" cm="1">
        <f t="array" aca="1" ref="AK55" ca="1">Ver_flag_visit</f>
        <v/>
      </c>
      <c r="AL55" s="34" t="str">
        <f ca="1">IFERROR(INDEX($BD$6:$BD$53,MATCH(AI55,$BN$6:$BN$53,0)),"")</f>
        <v>Irán</v>
      </c>
      <c r="AM55" s="35">
        <f t="shared" ca="1" si="165"/>
        <v>6</v>
      </c>
      <c r="AN55" s="36">
        <f t="shared" ca="1" si="165"/>
        <v>3</v>
      </c>
      <c r="AO55" s="36">
        <f t="shared" ca="1" si="165"/>
        <v>2</v>
      </c>
      <c r="AP55" s="36">
        <f t="shared" ca="1" si="165"/>
        <v>0</v>
      </c>
      <c r="AQ55" s="36">
        <f t="shared" ca="1" si="165"/>
        <v>1</v>
      </c>
      <c r="AR55" s="36">
        <f t="shared" ca="1" si="165"/>
        <v>5</v>
      </c>
      <c r="AS55" s="36">
        <f t="shared" ca="1" si="165"/>
        <v>5</v>
      </c>
      <c r="AT55" s="40">
        <f t="shared" ca="1" si="165"/>
        <v>0</v>
      </c>
      <c r="AU55" s="318">
        <f ca="1">INDEX($DL$6:$DL$53,MATCH(AI55,$DP$6:$DP$53,0))</f>
        <v>1</v>
      </c>
      <c r="AV55" s="178" t="str">
        <f ca="1">INDEX($BD$6:$BD$53,MATCH(AI55,$BM$6:$BM$53,0))</f>
        <v>Irán</v>
      </c>
      <c r="AW55" s="202"/>
      <c r="AX55" s="167"/>
      <c r="AY55" s="195" t="str">
        <f ca="1">+A54</f>
        <v>Egipto</v>
      </c>
      <c r="AZ55" s="196"/>
    </row>
    <row r="56" spans="1:121" ht="16.05" customHeight="1">
      <c r="A56" s="13" t="str">
        <f ca="1">+Equipos!B29</f>
        <v>Nueva Zelanda</v>
      </c>
      <c r="B56" s="13"/>
      <c r="C56" s="13"/>
      <c r="D56" s="13" t="str">
        <f t="shared" si="149"/>
        <v>Visitante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12"/>
      <c r="X56" s="21">
        <f ca="1">Horarios!C56</f>
        <v>46199.958333333336</v>
      </c>
      <c r="Y56" s="22">
        <f ca="1">Horarios!C56</f>
        <v>46199.958333333336</v>
      </c>
      <c r="Z56" s="23" t="str">
        <f>$Z$8</f>
        <v>J3</v>
      </c>
      <c r="AA56" s="24" t="str">
        <f ca="1">A54</f>
        <v>Egipto</v>
      </c>
      <c r="AB56" s="46" t="str" cm="1">
        <f t="array" aca="1" ref="AB56" ca="1">Ver_flag_local</f>
        <v/>
      </c>
      <c r="AC56" s="47">
        <v>1</v>
      </c>
      <c r="AD56" s="48">
        <v>2</v>
      </c>
      <c r="AE56" s="582" t="str" cm="1">
        <f t="array" aca="1" ref="AE56" ca="1">Ver_flag_visit</f>
        <v/>
      </c>
      <c r="AF56" s="29" t="str">
        <f ca="1">A55</f>
        <v>Irán</v>
      </c>
      <c r="AG56" s="311">
        <f t="shared" si="162"/>
        <v>1</v>
      </c>
      <c r="AH56" s="188">
        <v>63</v>
      </c>
      <c r="AI56" s="177" t="str">
        <f t="shared" si="166"/>
        <v>3G</v>
      </c>
      <c r="AJ56" s="39">
        <v>3</v>
      </c>
      <c r="AK56" s="589" t="str" cm="1">
        <f t="array" aca="1" ref="AK56" ca="1">Ver_flag_visit</f>
        <v/>
      </c>
      <c r="AL56" s="34" t="str">
        <f ca="1">IFERROR(INDEX($BD$6:$BD$53,MATCH(AI56,$BN$6:$BN$53,0)),"")</f>
        <v>Egipto</v>
      </c>
      <c r="AM56" s="35">
        <f t="shared" ca="1" si="165"/>
        <v>3</v>
      </c>
      <c r="AN56" s="36">
        <f t="shared" ca="1" si="165"/>
        <v>3</v>
      </c>
      <c r="AO56" s="36">
        <f t="shared" ca="1" si="165"/>
        <v>1</v>
      </c>
      <c r="AP56" s="36">
        <f t="shared" ca="1" si="165"/>
        <v>0</v>
      </c>
      <c r="AQ56" s="36">
        <f t="shared" ca="1" si="165"/>
        <v>2</v>
      </c>
      <c r="AR56" s="36">
        <f t="shared" ca="1" si="165"/>
        <v>4</v>
      </c>
      <c r="AS56" s="36">
        <f t="shared" ca="1" si="165"/>
        <v>6</v>
      </c>
      <c r="AT56" s="40">
        <f t="shared" ca="1" si="165"/>
        <v>-2</v>
      </c>
      <c r="AU56" s="318">
        <f ca="1">INDEX($DL$6:$DL$53,MATCH(AI56,$DP$6:$DP$53,0))</f>
        <v>1</v>
      </c>
      <c r="AV56" s="178" t="str">
        <f ca="1">INDEX($BD$6:$BD$53,MATCH(AI56,$BM$6:$BM$53,0))</f>
        <v>Egipto</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13"/>
      <c r="X57" s="25">
        <f ca="1">Horarios!C57</f>
        <v>46199.958333333336</v>
      </c>
      <c r="Y57" s="26">
        <f ca="1">Horarios!C57</f>
        <v>46199.958333333336</v>
      </c>
      <c r="Z57" s="27" t="str">
        <f>$Z$8</f>
        <v>J3</v>
      </c>
      <c r="AA57" s="28" t="str">
        <f ca="1">A56</f>
        <v>Nueva Zelanda</v>
      </c>
      <c r="AB57" s="49" t="str" cm="1">
        <f t="array" aca="1" ref="AB57" ca="1">Ver_flag_local</f>
        <v/>
      </c>
      <c r="AC57" s="50">
        <v>0</v>
      </c>
      <c r="AD57" s="51">
        <v>4</v>
      </c>
      <c r="AE57" s="583" t="str" cm="1">
        <f t="array" aca="1" ref="AE57" ca="1">Ver_flag_visit</f>
        <v/>
      </c>
      <c r="AF57" s="30" t="str">
        <f ca="1">A53</f>
        <v>Bélgica</v>
      </c>
      <c r="AG57" s="311">
        <f t="shared" si="162"/>
        <v>1</v>
      </c>
      <c r="AH57" s="188">
        <v>64</v>
      </c>
      <c r="AI57" s="177" t="str">
        <f t="shared" si="166"/>
        <v>4G</v>
      </c>
      <c r="AJ57" s="41">
        <v>4</v>
      </c>
      <c r="AK57" s="591" t="str" cm="1">
        <f t="array" aca="1" ref="AK57" ca="1">Ver_flag_visit</f>
        <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2</v>
      </c>
      <c r="AS57" s="44">
        <f t="shared" ca="1" si="165"/>
        <v>8</v>
      </c>
      <c r="AT57" s="45">
        <f t="shared" ca="1" si="165"/>
        <v>-6</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3">
        <f ca="1">+BJ58-BK58</f>
        <v>-1</v>
      </c>
      <c r="BM58" s="13">
        <f ca="1">CB58</f>
        <v>6</v>
      </c>
      <c r="BN58" s="13">
        <f ca="1">CF58</f>
        <v>6</v>
      </c>
      <c r="BO58" s="13" t="str">
        <f t="shared" ref="BO58:BO69" si="174">"4"&amp;BC58</f>
        <v>4A</v>
      </c>
      <c r="BP58" s="13"/>
      <c r="BQ58" s="13"/>
      <c r="BR58" s="13">
        <f t="shared" ref="BR58:BR69" ca="1" si="175">+BE58</f>
        <v>3</v>
      </c>
      <c r="BS58" s="13">
        <f ca="1">COUNTIFS(BR$58:BR$69,"&gt;"&amp;BR58)+1</f>
        <v>5</v>
      </c>
      <c r="BT58" s="13" t="str">
        <f ca="1">IF(COUNTIF(BS$58:BS$69,BS58)=1,"-","Pos. "&amp;BS58&amp;" ("&amp;COUNTIF(BS$58:BS$69,BS58)&amp;")")</f>
        <v>Pos. 5 (6)</v>
      </c>
      <c r="BU58" s="13">
        <f t="shared" ref="BU58:BU69" ca="1" si="176">IF(BT58="-","-",BL58)</f>
        <v>-1</v>
      </c>
      <c r="BV58" s="13">
        <f t="shared" ref="BV58:BV69" ca="1" si="177">BS58+COUNTIFS(BT$58:BT$69,BT58,BU$58:BU$69,"&gt;"&amp;BU58)</f>
        <v>5</v>
      </c>
      <c r="BW58" s="13" t="str">
        <f t="shared" ref="BW58:BW69" ca="1" si="178">IF(COUNTIF(BV$58:BV$69,BV58)=1,"-","Pos. "&amp;BV58&amp;" ("&amp;COUNTIF(BV$58:BV$69,BV58)&amp;")")</f>
        <v>Pos. 5 (2)</v>
      </c>
      <c r="BX58" s="13">
        <f t="shared" ref="BX58:BX69" ca="1" si="179">IF(BW58="-","-",BJ58)</f>
        <v>4</v>
      </c>
      <c r="BY58" s="13">
        <f t="shared" ref="BY58:BY69" ca="1" si="180">BV58+COUNTIFS(BW$58:BW$69,BW58,BX$58:BX$69,"&gt;"&amp;BX58)</f>
        <v>6</v>
      </c>
      <c r="BZ58" s="13" t="str">
        <f t="shared" ref="BZ58:BZ69" ca="1" si="181">IF(COUNTIF(BY$58:BY$69,BY58)=1,"-","Pos. "&amp;BY58&amp;" ("&amp;COUNTIF(BY$58:BY$69,BY58)&amp;")")</f>
        <v>-</v>
      </c>
      <c r="CA58" s="13" t="str">
        <f t="shared" ref="CA58:CA69" ca="1" si="182">IF(BZ58="-","-",COUNTIF($BD$58:$BD$69,"&gt;"&amp;BD58))</f>
        <v>-</v>
      </c>
      <c r="CB58" s="13">
        <f ca="1">BY58+COUNTIFS(BZ$58:BZ$69,BZ58,CA$58:CA$69,"&gt;"&amp;CA58)</f>
        <v>6</v>
      </c>
      <c r="CC58" s="13"/>
      <c r="CD58" s="13">
        <f t="shared" ref="CD58:CD69" ca="1" si="183">IF(OR(INDEX($AW$102:$AW$113,MATCH($BD58,$AV$102:$AV$113,0))="",BZ58="-"),CB58,INDEX($AW$102:$AW$113,MATCH($BD58,$AV$102:$AV$113,0))+CB58/1000)</f>
        <v>6</v>
      </c>
      <c r="CE58" s="13" t="str">
        <f ca="1">IF(BZ58="-","-",COUNTIF(CD$58:CD$69,"&lt;"&amp;CD58))</f>
        <v>-</v>
      </c>
      <c r="CF58" s="13">
        <f ca="1">BY58+COUNTIFS(BZ$58:BZ$69,BZ58,CE$58:CE$69,"&lt;"&amp;CE58)</f>
        <v>6</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Costa de Marfil</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1</v>
      </c>
      <c r="BF59" s="13">
        <f t="shared" ref="BF59:BF69" ca="1" si="189">+BG59+BH59+BI59</f>
        <v>3</v>
      </c>
      <c r="BG59" s="13">
        <f t="shared" ca="1" si="169"/>
        <v>0</v>
      </c>
      <c r="BH59" s="13">
        <f t="shared" ca="1" si="170"/>
        <v>1</v>
      </c>
      <c r="BI59" s="13">
        <f t="shared" ca="1" si="171"/>
        <v>2</v>
      </c>
      <c r="BJ59" s="13">
        <f t="shared" ca="1" si="172"/>
        <v>3</v>
      </c>
      <c r="BK59" s="13">
        <f t="shared" ca="1" si="173"/>
        <v>5</v>
      </c>
      <c r="BL59" s="13">
        <f t="shared" ref="BL59:BL69" ca="1" si="190">+BJ59-BK59</f>
        <v>-2</v>
      </c>
      <c r="BM59" s="13">
        <f t="shared" ref="BM59:BM69" ca="1" si="191">CB59</f>
        <v>11</v>
      </c>
      <c r="BN59" s="13">
        <f t="shared" ref="BN59:BN69" ca="1" si="192">CF59</f>
        <v>11</v>
      </c>
      <c r="BO59" s="13" t="str">
        <f t="shared" si="174"/>
        <v>4B</v>
      </c>
      <c r="BP59" s="13"/>
      <c r="BQ59" s="13"/>
      <c r="BR59" s="13">
        <f t="shared" ca="1" si="175"/>
        <v>1</v>
      </c>
      <c r="BS59" s="13">
        <f t="shared" ref="BS59:BS69" ca="1" si="193">COUNTIFS(BR$58:BR$69,"&gt;"&amp;BR59)+1</f>
        <v>11</v>
      </c>
      <c r="BT59" s="13" t="str">
        <f t="shared" ref="BT59:BT69" ca="1" si="194">IF(COUNTIF(BS$58:BS$69,BS59)=1,"-","Pos. "&amp;BS59&amp;" ("&amp;COUNTIF(BS$58:BS$69,BS59)&amp;")")</f>
        <v>Pos. 11 (2)</v>
      </c>
      <c r="BU59" s="13">
        <f t="shared" ca="1" si="176"/>
        <v>-2</v>
      </c>
      <c r="BV59" s="13">
        <f t="shared" ca="1" si="177"/>
        <v>11</v>
      </c>
      <c r="BW59" s="13" t="str">
        <f t="shared" ca="1" si="178"/>
        <v>-</v>
      </c>
      <c r="BX59" s="13" t="str">
        <f t="shared" ca="1" si="179"/>
        <v>-</v>
      </c>
      <c r="BY59" s="13">
        <f t="shared" ca="1" si="180"/>
        <v>11</v>
      </c>
      <c r="BZ59" s="13" t="str">
        <f t="shared" ca="1" si="181"/>
        <v>-</v>
      </c>
      <c r="CA59" s="13" t="str">
        <f t="shared" ca="1" si="182"/>
        <v>-</v>
      </c>
      <c r="CB59" s="13">
        <f t="shared" ref="CB59:CB68" ca="1" si="195">BY59+COUNTIFS(BZ$58:BZ$69,BZ59,CA$58:CA$69,"&gt;"&amp;CA59)</f>
        <v>11</v>
      </c>
      <c r="CC59" s="13"/>
      <c r="CD59" s="13">
        <f t="shared" ca="1" si="183"/>
        <v>11</v>
      </c>
      <c r="CE59" s="13" t="str">
        <f t="shared" ref="CE59:CE69" ca="1" si="196">IF(BZ59="-","-",COUNTIF(CD$58:CD$69,"&lt;"&amp;CD59))</f>
        <v>-</v>
      </c>
      <c r="CF59" s="13">
        <f t="shared" ref="CF59:CF69" ca="1" si="197">BY59+COUNTIFS(BZ$58:BZ$69,BZ59,CE$58:CE$69,"&lt;"&amp;CE59)</f>
        <v>11</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Turquía</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94" t="s">
        <v>447</v>
      </c>
      <c r="X60" s="21">
        <f ca="1">Horarios!C60</f>
        <v>46188.5</v>
      </c>
      <c r="Y60" s="22">
        <f ca="1">Horarios!C60</f>
        <v>46188.5</v>
      </c>
      <c r="Z60" s="23" t="str">
        <f>$Z$4</f>
        <v>J1</v>
      </c>
      <c r="AA60" s="24" t="str">
        <f ca="1">A61</f>
        <v>España</v>
      </c>
      <c r="AB60" s="46" t="str" cm="1">
        <f t="array" aca="1" ref="AB60" ca="1">Ver_flag_local</f>
        <v/>
      </c>
      <c r="AC60" s="47">
        <v>7</v>
      </c>
      <c r="AD60" s="48">
        <v>0</v>
      </c>
      <c r="AE60" s="582" t="str" cm="1">
        <f t="array" aca="1" ref="AE60" ca="1">Ver_flag_visit</f>
        <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5</v>
      </c>
      <c r="BK60" s="13">
        <f t="shared" ca="1" si="173"/>
        <v>6</v>
      </c>
      <c r="BL60" s="13">
        <f t="shared" ca="1" si="190"/>
        <v>-1</v>
      </c>
      <c r="BM60" s="13">
        <f t="shared" ca="1" si="191"/>
        <v>5</v>
      </c>
      <c r="BN60" s="13">
        <f t="shared" ca="1" si="192"/>
        <v>5</v>
      </c>
      <c r="BO60" s="13" t="str">
        <f t="shared" si="174"/>
        <v>4C</v>
      </c>
      <c r="BP60" s="13"/>
      <c r="BQ60" s="13"/>
      <c r="BR60" s="13">
        <f t="shared" ca="1" si="175"/>
        <v>3</v>
      </c>
      <c r="BS60" s="13">
        <f t="shared" ca="1" si="193"/>
        <v>5</v>
      </c>
      <c r="BT60" s="13" t="str">
        <f t="shared" ca="1" si="194"/>
        <v>Pos. 5 (6)</v>
      </c>
      <c r="BU60" s="13">
        <f t="shared" ca="1" si="176"/>
        <v>-1</v>
      </c>
      <c r="BV60" s="13">
        <f t="shared" ca="1" si="177"/>
        <v>5</v>
      </c>
      <c r="BW60" s="13" t="str">
        <f t="shared" ca="1" si="178"/>
        <v>Pos. 5 (2)</v>
      </c>
      <c r="BX60" s="13">
        <f t="shared" ca="1" si="179"/>
        <v>5</v>
      </c>
      <c r="BY60" s="13">
        <f t="shared" ca="1" si="180"/>
        <v>5</v>
      </c>
      <c r="BZ60" s="13" t="str">
        <f t="shared" ca="1" si="181"/>
        <v>-</v>
      </c>
      <c r="CA60" s="13" t="str">
        <f t="shared" ca="1" si="182"/>
        <v>-</v>
      </c>
      <c r="CB60" s="13">
        <f t="shared" ca="1" si="195"/>
        <v>5</v>
      </c>
      <c r="CC60" s="13"/>
      <c r="CD60" s="13">
        <f t="shared" ca="1" si="183"/>
        <v>5</v>
      </c>
      <c r="CE60" s="13" t="str">
        <f t="shared" ca="1" si="196"/>
        <v>-</v>
      </c>
      <c r="CF60" s="13">
        <f t="shared" ca="1" si="197"/>
        <v>5</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Austria</v>
      </c>
    </row>
    <row r="61" spans="1:121" ht="16.05"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94"/>
      <c r="X61" s="21">
        <f ca="1">Horarios!C61</f>
        <v>46188.75</v>
      </c>
      <c r="Y61" s="22">
        <f ca="1">Horarios!C61</f>
        <v>46188.75</v>
      </c>
      <c r="Z61" s="23" t="str">
        <f>$Z$4</f>
        <v>J1</v>
      </c>
      <c r="AA61" s="24" t="str">
        <f ca="1">A63</f>
        <v>Arabia Saudita</v>
      </c>
      <c r="AB61" s="46" t="str" cm="1">
        <f t="array" aca="1" ref="AB61" ca="1">Ver_flag_local</f>
        <v/>
      </c>
      <c r="AC61" s="47">
        <v>1</v>
      </c>
      <c r="AD61" s="48">
        <v>3</v>
      </c>
      <c r="AE61" s="582" t="str" cm="1">
        <f t="array" aca="1" ref="AE61" ca="1">Ver_flag_visit</f>
        <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Turquía</v>
      </c>
      <c r="BE61" s="13">
        <f t="shared" ca="1" si="188"/>
        <v>4</v>
      </c>
      <c r="BF61" s="13">
        <f t="shared" ca="1" si="189"/>
        <v>3</v>
      </c>
      <c r="BG61" s="13">
        <f t="shared" ca="1" si="169"/>
        <v>1</v>
      </c>
      <c r="BH61" s="13">
        <f t="shared" ca="1" si="170"/>
        <v>1</v>
      </c>
      <c r="BI61" s="13">
        <f t="shared" ca="1" si="171"/>
        <v>1</v>
      </c>
      <c r="BJ61" s="13">
        <f t="shared" ca="1" si="172"/>
        <v>6</v>
      </c>
      <c r="BK61" s="13">
        <f t="shared" ca="1" si="173"/>
        <v>5</v>
      </c>
      <c r="BL61" s="13">
        <f t="shared" ca="1" si="190"/>
        <v>1</v>
      </c>
      <c r="BM61" s="13">
        <f t="shared" ca="1" si="191"/>
        <v>2</v>
      </c>
      <c r="BN61" s="13">
        <f t="shared" ca="1" si="192"/>
        <v>2</v>
      </c>
      <c r="BO61" s="13" t="str">
        <f t="shared" si="174"/>
        <v>4D</v>
      </c>
      <c r="BP61" s="13"/>
      <c r="BQ61" s="13"/>
      <c r="BR61" s="13">
        <f t="shared" ca="1" si="175"/>
        <v>4</v>
      </c>
      <c r="BS61" s="13">
        <f t="shared" ca="1" si="193"/>
        <v>1</v>
      </c>
      <c r="BT61" s="13" t="str">
        <f t="shared" ca="1" si="194"/>
        <v>Pos. 1 (4)</v>
      </c>
      <c r="BU61" s="13">
        <f t="shared" ca="1" si="176"/>
        <v>1</v>
      </c>
      <c r="BV61" s="13">
        <f t="shared" ca="1" si="177"/>
        <v>2</v>
      </c>
      <c r="BW61" s="13" t="str">
        <f t="shared" ca="1" si="178"/>
        <v>-</v>
      </c>
      <c r="BX61" s="13" t="str">
        <f t="shared" ca="1" si="179"/>
        <v>-</v>
      </c>
      <c r="BY61" s="13">
        <f t="shared" ca="1" si="180"/>
        <v>2</v>
      </c>
      <c r="BZ61" s="13" t="str">
        <f t="shared" ca="1" si="181"/>
        <v>-</v>
      </c>
      <c r="CA61" s="13" t="str">
        <f t="shared" ca="1" si="182"/>
        <v>-</v>
      </c>
      <c r="CB61" s="13">
        <f t="shared" ca="1" si="195"/>
        <v>2</v>
      </c>
      <c r="CC61" s="13"/>
      <c r="CD61" s="13">
        <f t="shared" ca="1" si="183"/>
        <v>2</v>
      </c>
      <c r="CE61" s="13" t="str">
        <f t="shared" ca="1" si="196"/>
        <v>-</v>
      </c>
      <c r="CF61" s="13">
        <f t="shared" ca="1" si="197"/>
        <v>2</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Noruega</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94"/>
      <c r="X62" s="21">
        <f ca="1">Horarios!C62</f>
        <v>46194.5</v>
      </c>
      <c r="Y62" s="22">
        <f ca="1">Horarios!C62</f>
        <v>46194.5</v>
      </c>
      <c r="Z62" s="23" t="str">
        <f>$Z$6</f>
        <v>J2</v>
      </c>
      <c r="AA62" s="24" t="str">
        <f ca="1">A61</f>
        <v>España</v>
      </c>
      <c r="AB62" s="46" t="str" cm="1">
        <f t="array" aca="1" ref="AB62" ca="1">Ver_flag_local</f>
        <v/>
      </c>
      <c r="AC62" s="47">
        <v>3</v>
      </c>
      <c r="AD62" s="48">
        <v>0</v>
      </c>
      <c r="AE62" s="582" t="str" cm="1">
        <f t="array" aca="1" ref="AE62" ca="1">Ver_flag_visit</f>
        <v/>
      </c>
      <c r="AF62" s="29" t="str">
        <f ca="1">A63</f>
        <v>Arabia Saudita</v>
      </c>
      <c r="AG62" s="311">
        <f t="shared" si="212"/>
        <v>1</v>
      </c>
      <c r="AH62" s="188">
        <v>38</v>
      </c>
      <c r="AI62" s="177" t="str">
        <f>AJ62&amp;$B$60</f>
        <v>1H</v>
      </c>
      <c r="AJ62" s="37">
        <v>1</v>
      </c>
      <c r="AK62" s="588" t="str" cm="1">
        <f t="array" aca="1" ref="AK62" ca="1">Ver_flag_visit</f>
        <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13</v>
      </c>
      <c r="AS62" s="33">
        <f t="shared" ca="1" si="215"/>
        <v>2</v>
      </c>
      <c r="AT62" s="38">
        <f t="shared" ca="1" si="215"/>
        <v>11</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4</v>
      </c>
      <c r="BF62" s="13">
        <f t="shared" ca="1" si="189"/>
        <v>3</v>
      </c>
      <c r="BG62" s="13">
        <f t="shared" ca="1" si="169"/>
        <v>1</v>
      </c>
      <c r="BH62" s="13">
        <f t="shared" ca="1" si="170"/>
        <v>1</v>
      </c>
      <c r="BI62" s="13">
        <f t="shared" ca="1" si="171"/>
        <v>1</v>
      </c>
      <c r="BJ62" s="13">
        <f t="shared" ca="1" si="172"/>
        <v>8</v>
      </c>
      <c r="BK62" s="13">
        <f t="shared" ca="1" si="173"/>
        <v>6</v>
      </c>
      <c r="BL62" s="13">
        <f t="shared" ca="1" si="190"/>
        <v>2</v>
      </c>
      <c r="BM62" s="13">
        <f t="shared" ca="1" si="191"/>
        <v>1</v>
      </c>
      <c r="BN62" s="13">
        <f t="shared" ca="1" si="192"/>
        <v>1</v>
      </c>
      <c r="BO62" s="13" t="str">
        <f t="shared" si="174"/>
        <v>4E</v>
      </c>
      <c r="BP62" s="13"/>
      <c r="BQ62" s="13"/>
      <c r="BR62" s="13">
        <f t="shared" ca="1" si="175"/>
        <v>4</v>
      </c>
      <c r="BS62" s="13">
        <f t="shared" ca="1" si="193"/>
        <v>1</v>
      </c>
      <c r="BT62" s="13" t="str">
        <f t="shared" ca="1" si="194"/>
        <v>Pos. 1 (4)</v>
      </c>
      <c r="BU62" s="13">
        <f t="shared" ca="1" si="176"/>
        <v>2</v>
      </c>
      <c r="BV62" s="13">
        <f t="shared" ca="1" si="177"/>
        <v>1</v>
      </c>
      <c r="BW62" s="13" t="str">
        <f t="shared" ca="1" si="178"/>
        <v>-</v>
      </c>
      <c r="BX62" s="13" t="str">
        <f t="shared" ca="1" si="179"/>
        <v>-</v>
      </c>
      <c r="BY62" s="13">
        <f t="shared" ca="1" si="180"/>
        <v>1</v>
      </c>
      <c r="BZ62" s="13" t="str">
        <f t="shared" ca="1" si="181"/>
        <v>-</v>
      </c>
      <c r="CA62" s="13" t="str">
        <f t="shared" ca="1" si="182"/>
        <v>-</v>
      </c>
      <c r="CB62" s="13">
        <f t="shared" ca="1" si="195"/>
        <v>1</v>
      </c>
      <c r="CC62" s="13"/>
      <c r="CD62" s="13">
        <f t="shared" ca="1" si="183"/>
        <v>1</v>
      </c>
      <c r="CE62" s="13" t="str">
        <f t="shared" ca="1" si="196"/>
        <v>-</v>
      </c>
      <c r="CF62" s="13">
        <f t="shared" ca="1" si="197"/>
        <v>1</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Escocia</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94"/>
      <c r="X63" s="21">
        <f ca="1">Horarios!C63</f>
        <v>46194.75</v>
      </c>
      <c r="Y63" s="22">
        <f ca="1">Horarios!C63</f>
        <v>46194.75</v>
      </c>
      <c r="Z63" s="23" t="str">
        <f>$Z$6</f>
        <v>J2</v>
      </c>
      <c r="AA63" s="24" t="str">
        <f ca="1">A64</f>
        <v>Uruguay</v>
      </c>
      <c r="AB63" s="46" t="str" cm="1">
        <f t="array" aca="1" ref="AB63" ca="1">Ver_flag_local</f>
        <v/>
      </c>
      <c r="AC63" s="47">
        <v>4</v>
      </c>
      <c r="AD63" s="48">
        <v>0</v>
      </c>
      <c r="AE63" s="582" t="str" cm="1">
        <f t="array" aca="1" ref="AE63" ca="1">Ver_flag_visit</f>
        <v/>
      </c>
      <c r="AF63" s="29" t="str">
        <f ca="1">A62</f>
        <v>Cabo Verde</v>
      </c>
      <c r="AG63" s="311">
        <f t="shared" si="212"/>
        <v>1</v>
      </c>
      <c r="AH63" s="188">
        <v>37</v>
      </c>
      <c r="AI63" s="177" t="str">
        <f t="shared" ref="AI63:AI65" si="216">AJ63&amp;$B$60</f>
        <v>2H</v>
      </c>
      <c r="AJ63" s="39">
        <v>2</v>
      </c>
      <c r="AK63" s="589" t="str" cm="1">
        <f t="array" aca="1" ref="AK63" ca="1">Ver_flag_visit</f>
        <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9</v>
      </c>
      <c r="AS63" s="36">
        <f t="shared" ca="1" si="215"/>
        <v>4</v>
      </c>
      <c r="AT63" s="40">
        <f t="shared" ca="1" si="215"/>
        <v>5</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4</v>
      </c>
      <c r="BK63" s="13">
        <f t="shared" ca="1" si="173"/>
        <v>6</v>
      </c>
      <c r="BL63" s="13">
        <f t="shared" ca="1" si="190"/>
        <v>-2</v>
      </c>
      <c r="BM63" s="13">
        <f t="shared" ca="1" si="191"/>
        <v>9</v>
      </c>
      <c r="BN63" s="13">
        <f t="shared" ca="1" si="192"/>
        <v>8</v>
      </c>
      <c r="BO63" s="13" t="str">
        <f t="shared" si="174"/>
        <v>4F</v>
      </c>
      <c r="BP63" s="13"/>
      <c r="BQ63" s="13"/>
      <c r="BR63" s="13">
        <f t="shared" ca="1" si="175"/>
        <v>3</v>
      </c>
      <c r="BS63" s="13">
        <f t="shared" ca="1" si="193"/>
        <v>5</v>
      </c>
      <c r="BT63" s="13" t="str">
        <f t="shared" ca="1" si="194"/>
        <v>Pos. 5 (6)</v>
      </c>
      <c r="BU63" s="13">
        <f t="shared" ca="1" si="176"/>
        <v>-2</v>
      </c>
      <c r="BV63" s="13">
        <f t="shared" ca="1" si="177"/>
        <v>7</v>
      </c>
      <c r="BW63" s="13" t="str">
        <f t="shared" ca="1" si="178"/>
        <v>Pos. 7 (3)</v>
      </c>
      <c r="BX63" s="13">
        <f t="shared" ca="1" si="179"/>
        <v>4</v>
      </c>
      <c r="BY63" s="13">
        <f t="shared" ca="1" si="180"/>
        <v>8</v>
      </c>
      <c r="BZ63" s="13" t="str">
        <f t="shared" ca="1" si="181"/>
        <v>Pos. 8 (2)</v>
      </c>
      <c r="CA63" s="13">
        <f t="shared" ca="1" si="182"/>
        <v>2</v>
      </c>
      <c r="CB63" s="13">
        <f t="shared" ca="1" si="195"/>
        <v>9</v>
      </c>
      <c r="CC63" s="13"/>
      <c r="CD63" s="13">
        <f t="shared" ca="1" si="183"/>
        <v>8.0090000000000003</v>
      </c>
      <c r="CE63" s="13">
        <f t="shared" ca="1" si="196"/>
        <v>7</v>
      </c>
      <c r="CF63" s="13">
        <f t="shared" ca="1" si="197"/>
        <v>8</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República Checa</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94"/>
      <c r="X64" s="21">
        <f ca="1">Horarios!C64</f>
        <v>46199.833333333336</v>
      </c>
      <c r="Y64" s="22">
        <f ca="1">Horarios!C64</f>
        <v>46199.833333333336</v>
      </c>
      <c r="Z64" s="23" t="str">
        <f>$Z$8</f>
        <v>J3</v>
      </c>
      <c r="AA64" s="24" t="str">
        <f ca="1">A62</f>
        <v>Cabo Verde</v>
      </c>
      <c r="AB64" s="46" t="str" cm="1">
        <f t="array" aca="1" ref="AB64" ca="1">Ver_flag_local</f>
        <v/>
      </c>
      <c r="AC64" s="47">
        <v>0</v>
      </c>
      <c r="AD64" s="48">
        <v>2</v>
      </c>
      <c r="AE64" s="582" t="str" cm="1">
        <f t="array" aca="1" ref="AE64" ca="1">Ver_flag_visit</f>
        <v/>
      </c>
      <c r="AF64" s="29" t="str">
        <f ca="1">A63</f>
        <v>Arabia Saudita</v>
      </c>
      <c r="AG64" s="311">
        <f t="shared" si="212"/>
        <v>1</v>
      </c>
      <c r="AH64" s="188">
        <v>65</v>
      </c>
      <c r="AI64" s="177" t="str">
        <f t="shared" si="216"/>
        <v>3H</v>
      </c>
      <c r="AJ64" s="39">
        <v>3</v>
      </c>
      <c r="AK64" s="589" t="str" cm="1">
        <f t="array" aca="1" ref="AK64" ca="1">Ver_flag_visit</f>
        <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3</v>
      </c>
      <c r="AS64" s="36">
        <f t="shared" ca="1" si="215"/>
        <v>6</v>
      </c>
      <c r="AT64" s="40">
        <f t="shared" ca="1" si="215"/>
        <v>-3</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Egipto</v>
      </c>
      <c r="BE64" s="13">
        <f t="shared" ca="1" si="188"/>
        <v>3</v>
      </c>
      <c r="BF64" s="13">
        <f t="shared" ca="1" si="189"/>
        <v>3</v>
      </c>
      <c r="BG64" s="13">
        <f t="shared" ca="1" si="169"/>
        <v>1</v>
      </c>
      <c r="BH64" s="13">
        <f t="shared" ca="1" si="170"/>
        <v>0</v>
      </c>
      <c r="BI64" s="13">
        <f t="shared" ca="1" si="171"/>
        <v>2</v>
      </c>
      <c r="BJ64" s="13">
        <f t="shared" ca="1" si="172"/>
        <v>4</v>
      </c>
      <c r="BK64" s="13">
        <f t="shared" ca="1" si="173"/>
        <v>6</v>
      </c>
      <c r="BL64" s="13">
        <f t="shared" ca="1" si="190"/>
        <v>-2</v>
      </c>
      <c r="BM64" s="13">
        <f t="shared" ca="1" si="191"/>
        <v>8</v>
      </c>
      <c r="BN64" s="13">
        <f t="shared" ca="1" si="192"/>
        <v>9</v>
      </c>
      <c r="BO64" s="13" t="str">
        <f t="shared" si="174"/>
        <v>4G</v>
      </c>
      <c r="BP64" s="13"/>
      <c r="BQ64" s="13"/>
      <c r="BR64" s="13">
        <f t="shared" ca="1" si="175"/>
        <v>3</v>
      </c>
      <c r="BS64" s="13">
        <f t="shared" ca="1" si="193"/>
        <v>5</v>
      </c>
      <c r="BT64" s="13" t="str">
        <f t="shared" ca="1" si="194"/>
        <v>Pos. 5 (6)</v>
      </c>
      <c r="BU64" s="13">
        <f t="shared" ca="1" si="176"/>
        <v>-2</v>
      </c>
      <c r="BV64" s="13">
        <f t="shared" ca="1" si="177"/>
        <v>7</v>
      </c>
      <c r="BW64" s="13" t="str">
        <f t="shared" ca="1" si="178"/>
        <v>Pos. 7 (3)</v>
      </c>
      <c r="BX64" s="13">
        <f t="shared" ca="1" si="179"/>
        <v>4</v>
      </c>
      <c r="BY64" s="13">
        <f t="shared" ca="1" si="180"/>
        <v>8</v>
      </c>
      <c r="BZ64" s="13" t="str">
        <f t="shared" ca="1" si="181"/>
        <v>Pos. 8 (2)</v>
      </c>
      <c r="CA64" s="13">
        <f t="shared" ca="1" si="182"/>
        <v>7</v>
      </c>
      <c r="CB64" s="13">
        <f t="shared" ca="1" si="195"/>
        <v>8</v>
      </c>
      <c r="CC64" s="13"/>
      <c r="CD64" s="13">
        <f t="shared" ca="1" si="183"/>
        <v>9.0079999999999991</v>
      </c>
      <c r="CE64" s="13">
        <f t="shared" ca="1" si="196"/>
        <v>8</v>
      </c>
      <c r="CF64" s="13">
        <f t="shared" ca="1" si="197"/>
        <v>9</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Ghana</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95"/>
      <c r="X65" s="25">
        <f ca="1">Horarios!C65</f>
        <v>46199.833333333336</v>
      </c>
      <c r="Y65" s="26">
        <f ca="1">Horarios!C65</f>
        <v>46199.833333333336</v>
      </c>
      <c r="Z65" s="27" t="str">
        <f>$Z$8</f>
        <v>J3</v>
      </c>
      <c r="AA65" s="28" t="str">
        <f ca="1">A64</f>
        <v>Uruguay</v>
      </c>
      <c r="AB65" s="49" t="str" cm="1">
        <f t="array" aca="1" ref="AB65" ca="1">Ver_flag_local</f>
        <v/>
      </c>
      <c r="AC65" s="50">
        <v>2</v>
      </c>
      <c r="AD65" s="51">
        <v>3</v>
      </c>
      <c r="AE65" s="583" t="str" cm="1">
        <f t="array" aca="1" ref="AE65" ca="1">Ver_flag_visit</f>
        <v/>
      </c>
      <c r="AF65" s="30" t="str">
        <f ca="1">A61</f>
        <v>España</v>
      </c>
      <c r="AG65" s="311">
        <f t="shared" si="212"/>
        <v>1</v>
      </c>
      <c r="AH65" s="188">
        <v>66</v>
      </c>
      <c r="AI65" s="177" t="str">
        <f t="shared" si="216"/>
        <v>4H</v>
      </c>
      <c r="AJ65" s="41">
        <v>4</v>
      </c>
      <c r="AK65" s="591" t="str" cm="1">
        <f t="array" aca="1" ref="AK65" ca="1">Ver_flag_visit</f>
        <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13</v>
      </c>
      <c r="AT65" s="45">
        <f t="shared" ca="1" si="215"/>
        <v>-13</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3</v>
      </c>
      <c r="BK65" s="13">
        <f t="shared" ca="1" si="173"/>
        <v>6</v>
      </c>
      <c r="BL65" s="13">
        <f t="shared" ca="1" si="190"/>
        <v>-3</v>
      </c>
      <c r="BM65" s="13">
        <f t="shared" ca="1" si="191"/>
        <v>10</v>
      </c>
      <c r="BN65" s="13">
        <f t="shared" ca="1" si="192"/>
        <v>10</v>
      </c>
      <c r="BO65" s="13" t="str">
        <f t="shared" si="174"/>
        <v>4H</v>
      </c>
      <c r="BP65" s="13"/>
      <c r="BQ65" s="13"/>
      <c r="BR65" s="13">
        <f t="shared" ca="1" si="175"/>
        <v>3</v>
      </c>
      <c r="BS65" s="13">
        <f t="shared" ca="1" si="193"/>
        <v>5</v>
      </c>
      <c r="BT65" s="13" t="str">
        <f t="shared" ca="1" si="194"/>
        <v>Pos. 5 (6)</v>
      </c>
      <c r="BU65" s="13">
        <f t="shared" ca="1" si="176"/>
        <v>-3</v>
      </c>
      <c r="BV65" s="13">
        <f t="shared" ca="1" si="177"/>
        <v>10</v>
      </c>
      <c r="BW65" s="13" t="str">
        <f t="shared" ca="1" si="178"/>
        <v>-</v>
      </c>
      <c r="BX65" s="13" t="str">
        <f t="shared" ca="1" si="179"/>
        <v>-</v>
      </c>
      <c r="BY65" s="13">
        <f t="shared" ca="1" si="180"/>
        <v>10</v>
      </c>
      <c r="BZ65" s="13" t="str">
        <f t="shared" ca="1" si="181"/>
        <v>-</v>
      </c>
      <c r="CA65" s="13" t="str">
        <f t="shared" ca="1" si="182"/>
        <v>-</v>
      </c>
      <c r="CB65" s="13">
        <f t="shared" ca="1" si="195"/>
        <v>10</v>
      </c>
      <c r="CC65" s="13"/>
      <c r="CD65" s="13">
        <f t="shared" ca="1" si="183"/>
        <v>10</v>
      </c>
      <c r="CE65" s="13" t="str">
        <f t="shared" ca="1" si="196"/>
        <v>-</v>
      </c>
      <c r="CF65" s="13">
        <f t="shared" ca="1" si="197"/>
        <v>10</v>
      </c>
      <c r="DJ65" s="13">
        <f t="shared" ca="1" si="184"/>
        <v>8</v>
      </c>
      <c r="DK65" s="13"/>
      <c r="DL65" s="13">
        <f t="shared" ca="1" si="185"/>
        <v>2</v>
      </c>
      <c r="DM65" s="13" t="str">
        <f t="shared" ca="1" si="186"/>
        <v>8.2</v>
      </c>
      <c r="DN65" s="13" t="e" cm="1" vm="1">
        <f t="array" aca="1" ref="DN65" ca="1">OFFSET(Horarios!$P$3,DJ65-1,0,DL65,1)</f>
        <v>#VALUE!</v>
      </c>
      <c r="DO65" s="13"/>
      <c r="DP65" s="13">
        <v>8</v>
      </c>
      <c r="DQ65" s="13" t="str">
        <f t="shared" ca="1" si="198"/>
        <v>Egipto</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Noruega</v>
      </c>
      <c r="BE66" s="13">
        <f t="shared" ca="1" si="188"/>
        <v>4</v>
      </c>
      <c r="BF66" s="13">
        <f t="shared" ca="1" si="189"/>
        <v>3</v>
      </c>
      <c r="BG66" s="13">
        <f t="shared" ca="1" si="169"/>
        <v>1</v>
      </c>
      <c r="BH66" s="13">
        <f t="shared" ca="1" si="170"/>
        <v>1</v>
      </c>
      <c r="BI66" s="13">
        <f t="shared" ca="1" si="171"/>
        <v>1</v>
      </c>
      <c r="BJ66" s="13">
        <f t="shared" ca="1" si="172"/>
        <v>6</v>
      </c>
      <c r="BK66" s="13">
        <f t="shared" ca="1" si="173"/>
        <v>7</v>
      </c>
      <c r="BL66" s="13">
        <f t="shared" ca="1" si="190"/>
        <v>-1</v>
      </c>
      <c r="BM66" s="13">
        <f t="shared" ca="1" si="191"/>
        <v>4</v>
      </c>
      <c r="BN66" s="13">
        <f t="shared" ca="1" si="192"/>
        <v>4</v>
      </c>
      <c r="BO66" s="13" t="str">
        <f t="shared" si="174"/>
        <v>4I</v>
      </c>
      <c r="BP66" s="13"/>
      <c r="BQ66" s="13"/>
      <c r="BR66" s="13">
        <f t="shared" ca="1" si="175"/>
        <v>4</v>
      </c>
      <c r="BS66" s="13">
        <f t="shared" ca="1" si="193"/>
        <v>1</v>
      </c>
      <c r="BT66" s="13" t="str">
        <f t="shared" ca="1" si="194"/>
        <v>Pos. 1 (4)</v>
      </c>
      <c r="BU66" s="13">
        <f t="shared" ca="1" si="176"/>
        <v>-1</v>
      </c>
      <c r="BV66" s="13">
        <f t="shared" ca="1" si="177"/>
        <v>4</v>
      </c>
      <c r="BW66" s="13" t="str">
        <f t="shared" ca="1" si="178"/>
        <v>-</v>
      </c>
      <c r="BX66" s="13" t="str">
        <f t="shared" ca="1" si="179"/>
        <v>-</v>
      </c>
      <c r="BY66" s="13">
        <f t="shared" ca="1" si="180"/>
        <v>4</v>
      </c>
      <c r="BZ66" s="13" t="str">
        <f t="shared" ca="1" si="181"/>
        <v>-</v>
      </c>
      <c r="CA66" s="13" t="str">
        <f t="shared" ca="1" si="182"/>
        <v>-</v>
      </c>
      <c r="CB66" s="13">
        <f t="shared" ca="1" si="195"/>
        <v>4</v>
      </c>
      <c r="CC66" s="13"/>
      <c r="CD66" s="13">
        <f t="shared" ca="1" si="183"/>
        <v>4</v>
      </c>
      <c r="CE66" s="13" t="str">
        <f t="shared" ca="1" si="196"/>
        <v>-</v>
      </c>
      <c r="CF66" s="13">
        <f t="shared" ca="1" si="197"/>
        <v>4</v>
      </c>
      <c r="DJ66" s="13">
        <f t="shared" ca="1" si="184"/>
        <v>8</v>
      </c>
      <c r="DK66" s="13"/>
      <c r="DL66" s="13">
        <f t="shared" ca="1" si="185"/>
        <v>2</v>
      </c>
      <c r="DM66" s="13" t="str">
        <f t="shared" ca="1" si="186"/>
        <v>8.2</v>
      </c>
      <c r="DN66" s="13" t="e" cm="1" vm="1">
        <f t="array" aca="1" ref="DN66" ca="1">OFFSET(Horarios!$P$3,DJ66-1,0,DL66,1)</f>
        <v>#VALUE!</v>
      </c>
      <c r="DO66" s="13"/>
      <c r="DP66" s="13">
        <v>9</v>
      </c>
      <c r="DQ66" s="13" t="str">
        <f t="shared" ca="1" si="198"/>
        <v>Suecia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4</v>
      </c>
      <c r="BF67" s="13">
        <f t="shared" ca="1" si="189"/>
        <v>3</v>
      </c>
      <c r="BG67" s="13">
        <f t="shared" ca="1" si="169"/>
        <v>1</v>
      </c>
      <c r="BH67" s="13">
        <f t="shared" ca="1" si="170"/>
        <v>1</v>
      </c>
      <c r="BI67" s="13">
        <f t="shared" ca="1" si="171"/>
        <v>1</v>
      </c>
      <c r="BJ67" s="13">
        <f t="shared" ca="1" si="172"/>
        <v>5</v>
      </c>
      <c r="BK67" s="13">
        <f t="shared" ca="1" si="173"/>
        <v>5</v>
      </c>
      <c r="BL67" s="13">
        <f t="shared" ca="1" si="190"/>
        <v>0</v>
      </c>
      <c r="BM67" s="13">
        <f t="shared" ca="1" si="191"/>
        <v>3</v>
      </c>
      <c r="BN67" s="13">
        <f t="shared" ca="1" si="192"/>
        <v>3</v>
      </c>
      <c r="BO67" s="13" t="str">
        <f t="shared" si="174"/>
        <v>4J</v>
      </c>
      <c r="BP67" s="13"/>
      <c r="BQ67" s="13"/>
      <c r="BR67" s="13">
        <f t="shared" ca="1" si="175"/>
        <v>4</v>
      </c>
      <c r="BS67" s="13">
        <f t="shared" ca="1" si="193"/>
        <v>1</v>
      </c>
      <c r="BT67" s="13" t="str">
        <f t="shared" ca="1" si="194"/>
        <v>Pos. 1 (4)</v>
      </c>
      <c r="BU67" s="13">
        <f t="shared" ca="1" si="176"/>
        <v>0</v>
      </c>
      <c r="BV67" s="13">
        <f t="shared" ca="1" si="177"/>
        <v>3</v>
      </c>
      <c r="BW67" s="13" t="str">
        <f t="shared" ca="1" si="178"/>
        <v>-</v>
      </c>
      <c r="BX67" s="13" t="str">
        <f t="shared" ca="1" si="179"/>
        <v>-</v>
      </c>
      <c r="BY67" s="13">
        <f t="shared" ca="1" si="180"/>
        <v>3</v>
      </c>
      <c r="BZ67" s="13" t="str">
        <f t="shared" ca="1" si="181"/>
        <v>-</v>
      </c>
      <c r="CA67" s="13" t="str">
        <f t="shared" ca="1" si="182"/>
        <v>-</v>
      </c>
      <c r="CB67" s="13">
        <f t="shared" ca="1" si="195"/>
        <v>3</v>
      </c>
      <c r="CC67" s="13"/>
      <c r="CD67" s="13">
        <f t="shared" ca="1" si="183"/>
        <v>3</v>
      </c>
      <c r="CE67" s="13" t="str">
        <f t="shared" ca="1" si="196"/>
        <v>-</v>
      </c>
      <c r="CF67" s="13">
        <f t="shared" ca="1" si="197"/>
        <v>3</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Arabia Saudita</v>
      </c>
    </row>
    <row r="68" spans="1:121" ht="16.05" customHeight="1" thickBot="1">
      <c r="A68" s="13" t="s">
        <v>32</v>
      </c>
      <c r="B68" s="13" t="s">
        <v>448</v>
      </c>
      <c r="C68" s="13">
        <f>COUNTIF(Equipos!$C$2:$C$49,WORLDCUP!B68)</f>
        <v>4</v>
      </c>
      <c r="D68" s="13" t="str">
        <f t="shared" ref="D68:D73" si="217">IF(OR(AC68="",AD68=""),"Pendiente",IF(AC68&gt;AD68,"Local",IF(AC68&lt;AD68,"Visitante","Empate")))</f>
        <v>Visitante</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700" t="s">
        <v>448</v>
      </c>
      <c r="X68" s="21">
        <f ca="1">Horarios!C68</f>
        <v>46189.625</v>
      </c>
      <c r="Y68" s="22">
        <f ca="1">Horarios!C68</f>
        <v>46189.625</v>
      </c>
      <c r="Z68" s="23" t="str">
        <f>$Z$4</f>
        <v>J1</v>
      </c>
      <c r="AA68" s="24" t="str">
        <f ca="1">A69</f>
        <v>Francia</v>
      </c>
      <c r="AB68" s="46" t="str" cm="1">
        <f t="array" aca="1" ref="AB68" ca="1">Ver_flag_local</f>
        <v/>
      </c>
      <c r="AC68" s="47">
        <v>2</v>
      </c>
      <c r="AD68" s="48">
        <v>3</v>
      </c>
      <c r="AE68" s="582" t="str" cm="1">
        <f t="array" aca="1" ref="AE68" ca="1">Ver_flag_visit</f>
        <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4</v>
      </c>
      <c r="BK68" s="13">
        <f t="shared" ca="1" si="173"/>
        <v>9</v>
      </c>
      <c r="BL68" s="13">
        <f t="shared" ca="1" si="190"/>
        <v>-5</v>
      </c>
      <c r="BM68" s="13">
        <f t="shared" ca="1" si="191"/>
        <v>12</v>
      </c>
      <c r="BN68" s="13">
        <f t="shared" ca="1" si="192"/>
        <v>12</v>
      </c>
      <c r="BO68" s="13" t="str">
        <f t="shared" si="174"/>
        <v>4K</v>
      </c>
      <c r="BP68" s="13"/>
      <c r="BQ68" s="13"/>
      <c r="BR68" s="13">
        <f t="shared" ca="1" si="175"/>
        <v>1</v>
      </c>
      <c r="BS68" s="13">
        <f t="shared" ca="1" si="193"/>
        <v>11</v>
      </c>
      <c r="BT68" s="13" t="str">
        <f t="shared" ca="1" si="194"/>
        <v>Pos. 11 (2)</v>
      </c>
      <c r="BU68" s="13">
        <f t="shared" ca="1" si="176"/>
        <v>-5</v>
      </c>
      <c r="BV68" s="13">
        <f t="shared" ca="1" si="177"/>
        <v>12</v>
      </c>
      <c r="BW68" s="13" t="str">
        <f t="shared" ca="1" si="178"/>
        <v>-</v>
      </c>
      <c r="BX68" s="13" t="str">
        <f t="shared" ca="1" si="179"/>
        <v>-</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Bosnia y Herzegovina</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700"/>
      <c r="X69" s="21">
        <f ca="1">Horarios!C69</f>
        <v>46189.75</v>
      </c>
      <c r="Y69" s="22">
        <f ca="1">Horarios!C69</f>
        <v>46189.75</v>
      </c>
      <c r="Z69" s="23" t="str">
        <f>$Z$4</f>
        <v>J1</v>
      </c>
      <c r="AA69" s="24" t="str">
        <f ca="1">A71</f>
        <v>Irak</v>
      </c>
      <c r="AB69" s="46" t="str" cm="1">
        <f t="array" aca="1" ref="AB69" ca="1">Ver_flag_local</f>
        <v/>
      </c>
      <c r="AC69" s="47">
        <v>1</v>
      </c>
      <c r="AD69" s="48">
        <v>2</v>
      </c>
      <c r="AE69" s="582" t="str" cm="1">
        <f t="array" aca="1" ref="AE69" ca="1">Ver_flag_visit</f>
        <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5</v>
      </c>
      <c r="BK69" s="13">
        <f t="shared" ca="1" si="173"/>
        <v>7</v>
      </c>
      <c r="BL69" s="13">
        <f t="shared" ca="1" si="190"/>
        <v>-2</v>
      </c>
      <c r="BM69" s="13">
        <f t="shared" ca="1" si="191"/>
        <v>7</v>
      </c>
      <c r="BN69" s="13">
        <f t="shared" ca="1" si="192"/>
        <v>7</v>
      </c>
      <c r="BO69" s="13" t="str">
        <f t="shared" si="174"/>
        <v>4L</v>
      </c>
      <c r="BP69" s="13"/>
      <c r="BQ69" s="13"/>
      <c r="BR69" s="13">
        <f t="shared" ca="1" si="175"/>
        <v>3</v>
      </c>
      <c r="BS69" s="13">
        <f t="shared" ca="1" si="193"/>
        <v>5</v>
      </c>
      <c r="BT69" s="13" t="str">
        <f t="shared" ca="1" si="194"/>
        <v>Pos. 5 (6)</v>
      </c>
      <c r="BU69" s="13">
        <f t="shared" ca="1" si="176"/>
        <v>-2</v>
      </c>
      <c r="BV69" s="13">
        <f t="shared" ca="1" si="177"/>
        <v>7</v>
      </c>
      <c r="BW69" s="13" t="str">
        <f t="shared" ca="1" si="178"/>
        <v>Pos. 7 (3)</v>
      </c>
      <c r="BX69" s="13">
        <f t="shared" ca="1" si="179"/>
        <v>5</v>
      </c>
      <c r="BY69" s="13">
        <f t="shared" ca="1" si="180"/>
        <v>7</v>
      </c>
      <c r="BZ69" s="13" t="str">
        <f t="shared" ca="1" si="181"/>
        <v>-</v>
      </c>
      <c r="CA69" s="13" t="str">
        <f t="shared" ca="1" si="182"/>
        <v>-</v>
      </c>
      <c r="CB69" s="13">
        <f ca="1">BY69+COUNTIFS(BZ$58:BZ$69,BZ69,CA$58:CA$69,"&gt;"&amp;CA69)</f>
        <v>7</v>
      </c>
      <c r="CC69" s="13"/>
      <c r="CD69" s="13">
        <f t="shared" ca="1" si="183"/>
        <v>7</v>
      </c>
      <c r="CE69" s="13" t="str">
        <f t="shared" ca="1" si="196"/>
        <v>-</v>
      </c>
      <c r="CF69" s="13">
        <f t="shared" ca="1" si="197"/>
        <v>7</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Uzbekistán</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700"/>
      <c r="X70" s="21">
        <f ca="1">Horarios!C70</f>
        <v>46195.708333333336</v>
      </c>
      <c r="Y70" s="22">
        <f ca="1">Horarios!C70</f>
        <v>46195.708333333336</v>
      </c>
      <c r="Z70" s="23" t="str">
        <f>$Z$6</f>
        <v>J2</v>
      </c>
      <c r="AA70" s="24" t="str">
        <f ca="1">A69</f>
        <v>Francia</v>
      </c>
      <c r="AB70" s="46" t="str" cm="1">
        <f t="array" aca="1" ref="AB70" ca="1">Ver_flag_local</f>
        <v/>
      </c>
      <c r="AC70" s="47">
        <v>4</v>
      </c>
      <c r="AD70" s="48">
        <v>1</v>
      </c>
      <c r="AE70" s="582" t="str" cm="1">
        <f t="array" aca="1" ref="AE70" ca="1">Ver_flag_visit</f>
        <v/>
      </c>
      <c r="AF70" s="29" t="str">
        <f ca="1">A71</f>
        <v>Irak</v>
      </c>
      <c r="AG70" s="311">
        <f t="shared" si="230"/>
        <v>1</v>
      </c>
      <c r="AH70" s="188">
        <v>42</v>
      </c>
      <c r="AI70" s="177" t="str">
        <f>AJ70&amp;$B$68</f>
        <v>1I</v>
      </c>
      <c r="AJ70" s="37">
        <v>1</v>
      </c>
      <c r="AK70" s="588" t="str" cm="1">
        <f t="array" aca="1" ref="AK70" ca="1">Ver_flag_visit</f>
        <v/>
      </c>
      <c r="AL70" s="31" t="str">
        <f ca="1">IFERROR(INDEX($BD$6:$BD$53,MATCH(AI70,$BN$6:$BN$53,0)),"")</f>
        <v>Senegal</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8</v>
      </c>
      <c r="AS70" s="33">
        <f t="shared" ca="1" si="233"/>
        <v>5</v>
      </c>
      <c r="AT70" s="38">
        <f t="shared" ca="1" si="233"/>
        <v>3</v>
      </c>
      <c r="AU70" s="318">
        <f ca="1">INDEX($DL$6:$DL$53,MATCH(AI70,$DP$6:$DP$53,0))</f>
        <v>1</v>
      </c>
      <c r="AV70" s="178" t="str">
        <f ca="1">INDEX($BD$6:$BD$53,MATCH(AI70,$BM$6:$BM$53,0))</f>
        <v>Senegal</v>
      </c>
      <c r="AW70" s="202"/>
      <c r="AX70" s="167"/>
      <c r="AY70" s="193" t="str">
        <f ca="1">+A69</f>
        <v>Francia</v>
      </c>
      <c r="AZ70" s="194"/>
      <c r="DN70" s="13"/>
    </row>
    <row r="71" spans="1:121" ht="16.05" customHeight="1">
      <c r="A71" s="13" t="str">
        <f ca="1">+Equipos!B36</f>
        <v>Irak</v>
      </c>
      <c r="B71" s="13"/>
      <c r="C71" s="13"/>
      <c r="D71" s="13" t="str">
        <f t="shared" si="217"/>
        <v>Empate</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700"/>
      <c r="X71" s="21">
        <f ca="1">Horarios!C71</f>
        <v>46195.833333333336</v>
      </c>
      <c r="Y71" s="22">
        <f ca="1">Horarios!C71</f>
        <v>46195.833333333336</v>
      </c>
      <c r="Z71" s="23" t="str">
        <f>$Z$6</f>
        <v>J2</v>
      </c>
      <c r="AA71" s="24" t="str">
        <f ca="1">A72</f>
        <v>Noruega</v>
      </c>
      <c r="AB71" s="46" t="str" cm="1">
        <f t="array" aca="1" ref="AB71" ca="1">Ver_flag_local</f>
        <v/>
      </c>
      <c r="AC71" s="47">
        <v>2</v>
      </c>
      <c r="AD71" s="48">
        <v>2</v>
      </c>
      <c r="AE71" s="582" t="str" cm="1">
        <f t="array" aca="1" ref="AE71" ca="1">Ver_flag_visit</f>
        <v/>
      </c>
      <c r="AF71" s="29" t="str">
        <f ca="1">A70</f>
        <v>Senegal</v>
      </c>
      <c r="AG71" s="311">
        <f t="shared" si="230"/>
        <v>1</v>
      </c>
      <c r="AH71" s="188">
        <v>41</v>
      </c>
      <c r="AI71" s="177" t="str">
        <f t="shared" ref="AI71:AI73" si="234">AJ71&amp;$B$68</f>
        <v>2I</v>
      </c>
      <c r="AJ71" s="39">
        <v>2</v>
      </c>
      <c r="AK71" s="589" t="str" cm="1">
        <f t="array" aca="1" ref="AK71" ca="1">Ver_flag_visit</f>
        <v/>
      </c>
      <c r="AL71" s="34" t="str">
        <f ca="1">IFERROR(INDEX($BD$6:$BD$53,MATCH(AI71,$BN$6:$BN$53,0)),"")</f>
        <v>Francia</v>
      </c>
      <c r="AM71" s="35">
        <f t="shared" ca="1" si="233"/>
        <v>6</v>
      </c>
      <c r="AN71" s="36">
        <f t="shared" ca="1" si="233"/>
        <v>3</v>
      </c>
      <c r="AO71" s="36">
        <f t="shared" ca="1" si="233"/>
        <v>2</v>
      </c>
      <c r="AP71" s="36">
        <f t="shared" ca="1" si="233"/>
        <v>0</v>
      </c>
      <c r="AQ71" s="36">
        <f t="shared" ca="1" si="233"/>
        <v>1</v>
      </c>
      <c r="AR71" s="36">
        <f t="shared" ca="1" si="233"/>
        <v>10</v>
      </c>
      <c r="AS71" s="36">
        <f t="shared" ca="1" si="233"/>
        <v>6</v>
      </c>
      <c r="AT71" s="40">
        <f t="shared" ca="1" si="233"/>
        <v>4</v>
      </c>
      <c r="AU71" s="318">
        <f ca="1">INDEX($DL$6:$DL$53,MATCH(AI71,$DP$6:$DP$53,0))</f>
        <v>1</v>
      </c>
      <c r="AV71" s="178" t="str">
        <f ca="1">INDEX($BD$6:$BD$53,MATCH(AI71,$BM$6:$BM$53,0))</f>
        <v>Francia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700"/>
      <c r="X72" s="21">
        <f ca="1">Horarios!C72</f>
        <v>46199.625</v>
      </c>
      <c r="Y72" s="22">
        <f ca="1">Horarios!C72</f>
        <v>46199.625</v>
      </c>
      <c r="Z72" s="23" t="str">
        <f>$Z$8</f>
        <v>J3</v>
      </c>
      <c r="AA72" s="24" t="str">
        <f ca="1">A72</f>
        <v>Noruega</v>
      </c>
      <c r="AB72" s="46" t="str" cm="1">
        <f t="array" aca="1" ref="AB72" ca="1">Ver_flag_local</f>
        <v/>
      </c>
      <c r="AC72" s="47">
        <v>2</v>
      </c>
      <c r="AD72" s="48">
        <v>4</v>
      </c>
      <c r="AE72" s="582" t="str" cm="1">
        <f t="array" aca="1" ref="AE72" ca="1">Ver_flag_visit</f>
        <v/>
      </c>
      <c r="AF72" s="29" t="str">
        <f ca="1">A69</f>
        <v>Francia</v>
      </c>
      <c r="AG72" s="311">
        <f t="shared" si="230"/>
        <v>1</v>
      </c>
      <c r="AH72" s="188">
        <v>61</v>
      </c>
      <c r="AI72" s="177" t="str">
        <f t="shared" si="234"/>
        <v>3I</v>
      </c>
      <c r="AJ72" s="39">
        <v>3</v>
      </c>
      <c r="AK72" s="589" t="str" cm="1">
        <f t="array" aca="1" ref="AK72" ca="1">Ver_flag_visit</f>
        <v/>
      </c>
      <c r="AL72" s="34" t="str">
        <f ca="1">IFERROR(INDEX($BD$6:$BD$53,MATCH(AI72,$BN$6:$BN$53,0)),"")</f>
        <v>Noruega</v>
      </c>
      <c r="AM72" s="35">
        <f t="shared" ca="1" si="233"/>
        <v>4</v>
      </c>
      <c r="AN72" s="36">
        <f t="shared" ca="1" si="233"/>
        <v>3</v>
      </c>
      <c r="AO72" s="36">
        <f t="shared" ca="1" si="233"/>
        <v>1</v>
      </c>
      <c r="AP72" s="36">
        <f t="shared" ca="1" si="233"/>
        <v>1</v>
      </c>
      <c r="AQ72" s="36">
        <f t="shared" ca="1" si="233"/>
        <v>1</v>
      </c>
      <c r="AR72" s="36">
        <f t="shared" ca="1" si="233"/>
        <v>6</v>
      </c>
      <c r="AS72" s="36">
        <f t="shared" ca="1" si="233"/>
        <v>7</v>
      </c>
      <c r="AT72" s="40">
        <f t="shared" ca="1" si="233"/>
        <v>-1</v>
      </c>
      <c r="AU72" s="318">
        <f ca="1">INDEX($DL$6:$DL$53,MATCH(AI72,$DP$6:$DP$53,0))</f>
        <v>1</v>
      </c>
      <c r="AV72" s="178" t="str">
        <f ca="1">INDEX($BD$6:$BD$53,MATCH(AI72,$BM$6:$BM$53,0))</f>
        <v>Noruega</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701"/>
      <c r="X73" s="25">
        <f ca="1">Horarios!C73</f>
        <v>46199.625</v>
      </c>
      <c r="Y73" s="26">
        <f ca="1">Horarios!C73</f>
        <v>46199.625</v>
      </c>
      <c r="Z73" s="27" t="str">
        <f>$Z$8</f>
        <v>J3</v>
      </c>
      <c r="AA73" s="28" t="str">
        <f ca="1">A70</f>
        <v>Senegal</v>
      </c>
      <c r="AB73" s="49" t="str" cm="1">
        <f t="array" aca="1" ref="AB73" ca="1">Ver_flag_local</f>
        <v/>
      </c>
      <c r="AC73" s="50">
        <v>3</v>
      </c>
      <c r="AD73" s="51">
        <v>1</v>
      </c>
      <c r="AE73" s="583" t="str" cm="1">
        <f t="array" aca="1" ref="AE73" ca="1">Ver_flag_visit</f>
        <v/>
      </c>
      <c r="AF73" s="30" t="str">
        <f ca="1">A71</f>
        <v>Irak</v>
      </c>
      <c r="AG73" s="311">
        <f t="shared" si="230"/>
        <v>1</v>
      </c>
      <c r="AH73" s="188">
        <v>62</v>
      </c>
      <c r="AI73" s="177" t="str">
        <f t="shared" si="234"/>
        <v>4I</v>
      </c>
      <c r="AJ73" s="41">
        <v>4</v>
      </c>
      <c r="AK73" s="591" t="str" cm="1">
        <f t="array" aca="1" ref="AK73" ca="1">Ver_flag_visit</f>
        <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3</v>
      </c>
      <c r="AS73" s="44">
        <f t="shared" ca="1" si="233"/>
        <v>9</v>
      </c>
      <c r="AT73" s="45">
        <f t="shared" ca="1" si="233"/>
        <v>-6</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96" t="s">
        <v>5</v>
      </c>
      <c r="X76" s="21">
        <f ca="1">Horarios!C76</f>
        <v>46189.875</v>
      </c>
      <c r="Y76" s="22">
        <f ca="1">Horarios!C76</f>
        <v>46189.875</v>
      </c>
      <c r="Z76" s="23" t="str">
        <f>$Z$4</f>
        <v>J1</v>
      </c>
      <c r="AA76" s="24" t="str">
        <f ca="1">A77</f>
        <v>Argentina</v>
      </c>
      <c r="AB76" s="46" t="str" cm="1">
        <f t="array" aca="1" ref="AB76" ca="1">Ver_flag_local</f>
        <v/>
      </c>
      <c r="AC76" s="47">
        <v>3</v>
      </c>
      <c r="AD76" s="48">
        <v>1</v>
      </c>
      <c r="AE76" s="582" t="str" cm="1">
        <f t="array" aca="1" ref="AE76" ca="1">Ver_flag_visit</f>
        <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96"/>
      <c r="X77" s="21">
        <f ca="1">Horarios!C77</f>
        <v>46190</v>
      </c>
      <c r="Y77" s="22">
        <f ca="1">Horarios!C77</f>
        <v>46190</v>
      </c>
      <c r="Z77" s="23" t="str">
        <f>$Z$4</f>
        <v>J1</v>
      </c>
      <c r="AA77" s="24" t="str">
        <f ca="1">A79</f>
        <v>Austria</v>
      </c>
      <c r="AB77" s="46" t="str" cm="1">
        <f t="array" aca="1" ref="AB77" ca="1">Ver_flag_local</f>
        <v/>
      </c>
      <c r="AC77" s="47">
        <v>2</v>
      </c>
      <c r="AD77" s="48">
        <v>1</v>
      </c>
      <c r="AE77" s="582" t="str" cm="1">
        <f t="array" aca="1" ref="AE77" ca="1">Ver_flag_visit</f>
        <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96"/>
      <c r="X78" s="21">
        <f ca="1">Horarios!C78</f>
        <v>46195.541666666664</v>
      </c>
      <c r="Y78" s="22">
        <f ca="1">Horarios!C78</f>
        <v>46195.541666666664</v>
      </c>
      <c r="Z78" s="23" t="str">
        <f>$Z$6</f>
        <v>J2</v>
      </c>
      <c r="AA78" s="24" t="str">
        <f ca="1">A77</f>
        <v>Argentina</v>
      </c>
      <c r="AB78" s="46" t="str" cm="1">
        <f t="array" aca="1" ref="AB78" ca="1">Ver_flag_local</f>
        <v/>
      </c>
      <c r="AC78" s="47">
        <v>2</v>
      </c>
      <c r="AD78" s="48">
        <v>1</v>
      </c>
      <c r="AE78" s="582" t="str" cm="1">
        <f t="array" aca="1" ref="AE78" ca="1">Ver_flag_visit</f>
        <v/>
      </c>
      <c r="AF78" s="29" t="str">
        <f ca="1">A79</f>
        <v>Austria</v>
      </c>
      <c r="AG78" s="311">
        <f t="shared" si="248"/>
        <v>1</v>
      </c>
      <c r="AH78" s="188">
        <v>43</v>
      </c>
      <c r="AI78" s="177" t="str">
        <f>AJ78&amp;$B$76</f>
        <v>1J</v>
      </c>
      <c r="AJ78" s="37">
        <v>1</v>
      </c>
      <c r="AK78" s="588" t="str" cm="1">
        <f t="array" aca="1" ref="AK78" ca="1">Ver_flag_visit</f>
        <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2</v>
      </c>
      <c r="AT78" s="38">
        <f t="shared" ca="1" si="251"/>
        <v>7</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96"/>
      <c r="X79" s="21">
        <f ca="1">Horarios!C79</f>
        <v>46195.958333333336</v>
      </c>
      <c r="Y79" s="22">
        <f ca="1">Horarios!C79</f>
        <v>46195.958333333336</v>
      </c>
      <c r="Z79" s="23" t="str">
        <f>$Z$6</f>
        <v>J2</v>
      </c>
      <c r="AA79" s="24" t="str">
        <f ca="1">A80</f>
        <v>Jordania</v>
      </c>
      <c r="AB79" s="46" t="str" cm="1">
        <f t="array" aca="1" ref="AB79" ca="1">Ver_flag_local</f>
        <v/>
      </c>
      <c r="AC79" s="47">
        <v>0</v>
      </c>
      <c r="AD79" s="48">
        <v>3</v>
      </c>
      <c r="AE79" s="582" t="str" cm="1">
        <f t="array" aca="1" ref="AE79" ca="1">Ver_flag_visit</f>
        <v/>
      </c>
      <c r="AF79" s="29" t="str">
        <f ca="1">A78</f>
        <v>Argelia</v>
      </c>
      <c r="AG79" s="311">
        <f t="shared" si="248"/>
        <v>1</v>
      </c>
      <c r="AH79" s="188">
        <v>44</v>
      </c>
      <c r="AI79" s="177" t="str">
        <f t="shared" ref="AI79:AI81" si="252">AJ79&amp;$B$76</f>
        <v>2J</v>
      </c>
      <c r="AJ79" s="39">
        <v>2</v>
      </c>
      <c r="AK79" s="589" t="str" cm="1">
        <f t="array" aca="1" ref="AK79" ca="1">Ver_flag_visit</f>
        <v/>
      </c>
      <c r="AL79" s="34" t="str">
        <f ca="1">IFERROR(INDEX($BD$6:$BD$53,MATCH(AI79,$BN$6:$BN$53,0)),"")</f>
        <v>Argelia</v>
      </c>
      <c r="AM79" s="35">
        <f t="shared" ca="1" si="251"/>
        <v>4</v>
      </c>
      <c r="AN79" s="36">
        <f t="shared" ca="1" si="251"/>
        <v>3</v>
      </c>
      <c r="AO79" s="36">
        <f t="shared" ca="1" si="251"/>
        <v>1</v>
      </c>
      <c r="AP79" s="36">
        <f t="shared" ca="1" si="251"/>
        <v>1</v>
      </c>
      <c r="AQ79" s="36">
        <f t="shared" ca="1" si="251"/>
        <v>1</v>
      </c>
      <c r="AR79" s="36">
        <f t="shared" ca="1" si="251"/>
        <v>6</v>
      </c>
      <c r="AS79" s="36">
        <f t="shared" ca="1" si="251"/>
        <v>5</v>
      </c>
      <c r="AT79" s="40">
        <f t="shared" ca="1" si="251"/>
        <v>1</v>
      </c>
      <c r="AU79" s="318">
        <f ca="1">INDEX($DL$6:$DL$53,MATCH(AI79,$DP$6:$DP$53,0))</f>
        <v>1</v>
      </c>
      <c r="AV79" s="178" t="str">
        <f ca="1">INDEX($BD$6:$BD$53,MATCH(AI79,$BM$6:$BM$53,0))</f>
        <v>Argelia</v>
      </c>
      <c r="AW79" s="202"/>
      <c r="AX79" s="167"/>
      <c r="AY79" s="195" t="str">
        <f ca="1">+A78</f>
        <v>Argelia</v>
      </c>
      <c r="AZ79" s="196"/>
      <c r="DN79" s="13"/>
    </row>
    <row r="80" spans="1:121" ht="16.05"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96"/>
      <c r="X80" s="21">
        <f ca="1">Horarios!C80</f>
        <v>46200.916666666664</v>
      </c>
      <c r="Y80" s="22">
        <f ca="1">Horarios!C80</f>
        <v>46200.916666666664</v>
      </c>
      <c r="Z80" s="23" t="str">
        <f>$Z$8</f>
        <v>J3</v>
      </c>
      <c r="AA80" s="24" t="str">
        <f ca="1">A78</f>
        <v>Argelia</v>
      </c>
      <c r="AB80" s="46" t="str" cm="1">
        <f t="array" aca="1" ref="AB80" ca="1">Ver_flag_local</f>
        <v/>
      </c>
      <c r="AC80" s="47">
        <v>2</v>
      </c>
      <c r="AD80" s="48">
        <v>2</v>
      </c>
      <c r="AE80" s="582" t="str" cm="1">
        <f t="array" aca="1" ref="AE80" ca="1">Ver_flag_visit</f>
        <v/>
      </c>
      <c r="AF80" s="29" t="str">
        <f ca="1">A79</f>
        <v>Austria</v>
      </c>
      <c r="AG80" s="311">
        <f t="shared" si="248"/>
        <v>1</v>
      </c>
      <c r="AH80" s="188">
        <v>69</v>
      </c>
      <c r="AI80" s="177" t="str">
        <f t="shared" si="252"/>
        <v>3J</v>
      </c>
      <c r="AJ80" s="39">
        <v>3</v>
      </c>
      <c r="AK80" s="589" t="str" cm="1">
        <f t="array" aca="1" ref="AK80" ca="1">Ver_flag_visit</f>
        <v/>
      </c>
      <c r="AL80" s="34" t="str">
        <f ca="1">IFERROR(INDEX($BD$6:$BD$53,MATCH(AI80,$BN$6:$BN$53,0)),"")</f>
        <v>Austria</v>
      </c>
      <c r="AM80" s="35">
        <f t="shared" ca="1" si="251"/>
        <v>4</v>
      </c>
      <c r="AN80" s="36">
        <f t="shared" ca="1" si="251"/>
        <v>3</v>
      </c>
      <c r="AO80" s="36">
        <f t="shared" ca="1" si="251"/>
        <v>1</v>
      </c>
      <c r="AP80" s="36">
        <f t="shared" ca="1" si="251"/>
        <v>1</v>
      </c>
      <c r="AQ80" s="36">
        <f t="shared" ca="1" si="251"/>
        <v>1</v>
      </c>
      <c r="AR80" s="36">
        <f t="shared" ca="1" si="251"/>
        <v>5</v>
      </c>
      <c r="AS80" s="36">
        <f t="shared" ca="1" si="251"/>
        <v>5</v>
      </c>
      <c r="AT80" s="40">
        <f t="shared" ca="1" si="251"/>
        <v>0</v>
      </c>
      <c r="AU80" s="318">
        <f ca="1">INDEX($DL$6:$DL$53,MATCH(AI80,$DP$6:$DP$53,0))</f>
        <v>1</v>
      </c>
      <c r="AV80" s="178" t="str">
        <f ca="1">INDEX($BD$6:$BD$53,MATCH(AI80,$BM$6:$BM$53,0))</f>
        <v>Austria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97"/>
      <c r="X81" s="25">
        <f ca="1">Horarios!C81</f>
        <v>46200.916666666664</v>
      </c>
      <c r="Y81" s="26">
        <f ca="1">Horarios!C81</f>
        <v>46200.916666666664</v>
      </c>
      <c r="Z81" s="27" t="str">
        <f>$Z$8</f>
        <v>J3</v>
      </c>
      <c r="AA81" s="28" t="str">
        <f ca="1">A80</f>
        <v>Jordania</v>
      </c>
      <c r="AB81" s="49" t="str" cm="1">
        <f t="array" aca="1" ref="AB81" ca="1">Ver_flag_local</f>
        <v/>
      </c>
      <c r="AC81" s="50">
        <v>0</v>
      </c>
      <c r="AD81" s="51">
        <v>4</v>
      </c>
      <c r="AE81" s="583" t="str" cm="1">
        <f t="array" aca="1" ref="AE81" ca="1">Ver_flag_visit</f>
        <v/>
      </c>
      <c r="AF81" s="30" t="str">
        <f ca="1">A77</f>
        <v>Argentina</v>
      </c>
      <c r="AG81" s="311">
        <f t="shared" si="248"/>
        <v>1</v>
      </c>
      <c r="AH81" s="188">
        <v>70</v>
      </c>
      <c r="AI81" s="177" t="str">
        <f t="shared" si="252"/>
        <v>4J</v>
      </c>
      <c r="AJ81" s="41">
        <v>4</v>
      </c>
      <c r="AK81" s="591" t="str" cm="1">
        <f t="array" aca="1" ref="AK81" ca="1">Ver_flag_visit</f>
        <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1</v>
      </c>
      <c r="AS81" s="44">
        <f t="shared" ca="1" si="251"/>
        <v>9</v>
      </c>
      <c r="AT81" s="45">
        <f t="shared" ca="1" si="251"/>
        <v>-8</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702" t="s">
        <v>449</v>
      </c>
      <c r="X84" s="21">
        <f ca="1">Horarios!C84</f>
        <v>46190.541666666664</v>
      </c>
      <c r="Y84" s="22">
        <f ca="1">Horarios!C84</f>
        <v>46190.541666666664</v>
      </c>
      <c r="Z84" s="23" t="str">
        <f>$Z$4</f>
        <v>J1</v>
      </c>
      <c r="AA84" s="24" t="str">
        <f ca="1">A85</f>
        <v>Portugal</v>
      </c>
      <c r="AB84" s="46" t="str" cm="1">
        <f t="array" aca="1" ref="AB84" ca="1">Ver_flag_local</f>
        <v/>
      </c>
      <c r="AC84" s="47">
        <v>4</v>
      </c>
      <c r="AD84" s="48">
        <v>0</v>
      </c>
      <c r="AE84" s="582" t="str" cm="1">
        <f t="array" aca="1" ref="AE84" ca="1">Ver_flag_visit</f>
        <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702"/>
      <c r="X85" s="21">
        <f ca="1">Horarios!C85</f>
        <v>46190.916666666664</v>
      </c>
      <c r="Y85" s="22">
        <f ca="1">Horarios!C85</f>
        <v>46190.916666666664</v>
      </c>
      <c r="Z85" s="23" t="str">
        <f>$Z$4</f>
        <v>J1</v>
      </c>
      <c r="AA85" s="24" t="str">
        <f ca="1">A87</f>
        <v>Uzbekistán</v>
      </c>
      <c r="AB85" s="46" t="str" cm="1">
        <f t="array" aca="1" ref="AB85" ca="1">Ver_flag_local</f>
        <v/>
      </c>
      <c r="AC85" s="47">
        <v>1</v>
      </c>
      <c r="AD85" s="48">
        <v>3</v>
      </c>
      <c r="AE85" s="582" t="str" cm="1">
        <f t="array" aca="1" ref="AE85" ca="1">Ver_flag_visit</f>
        <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702"/>
      <c r="X86" s="21">
        <f ca="1">Horarios!C86</f>
        <v>46196.541666666664</v>
      </c>
      <c r="Y86" s="22">
        <f ca="1">Horarios!C86</f>
        <v>46196.541666666664</v>
      </c>
      <c r="Z86" s="23" t="str">
        <f>$Z$6</f>
        <v>J2</v>
      </c>
      <c r="AA86" s="24" t="str">
        <f ca="1">A85</f>
        <v>Portugal</v>
      </c>
      <c r="AB86" s="46" t="str" cm="1">
        <f t="array" aca="1" ref="AB86" ca="1">Ver_flag_local</f>
        <v/>
      </c>
      <c r="AC86" s="47">
        <v>4</v>
      </c>
      <c r="AD86" s="48">
        <v>1</v>
      </c>
      <c r="AE86" s="582" t="str" cm="1">
        <f t="array" aca="1" ref="AE86" ca="1">Ver_flag_visit</f>
        <v/>
      </c>
      <c r="AF86" s="29" t="str">
        <f ca="1">A87</f>
        <v>Uzbekistán</v>
      </c>
      <c r="AG86" s="311">
        <f t="shared" si="266"/>
        <v>1</v>
      </c>
      <c r="AH86" s="188">
        <v>47</v>
      </c>
      <c r="AI86" s="177" t="str">
        <f>AJ86&amp;$B$84</f>
        <v>1K</v>
      </c>
      <c r="AJ86" s="37">
        <v>1</v>
      </c>
      <c r="AK86" s="588" t="str" cm="1">
        <f t="array" aca="1" ref="AK86" ca="1">Ver_flag_visit</f>
        <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11</v>
      </c>
      <c r="AS86" s="33">
        <f t="shared" ca="1" si="269"/>
        <v>3</v>
      </c>
      <c r="AT86" s="38">
        <f t="shared" ca="1" si="269"/>
        <v>8</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702"/>
      <c r="X87" s="21">
        <f ca="1">Horarios!C87</f>
        <v>46196.916666666664</v>
      </c>
      <c r="Y87" s="22">
        <f ca="1">Horarios!C87</f>
        <v>46196.916666666664</v>
      </c>
      <c r="Z87" s="23" t="str">
        <f>$Z$6</f>
        <v>J2</v>
      </c>
      <c r="AA87" s="24" t="str">
        <f ca="1">A88</f>
        <v>Colombia</v>
      </c>
      <c r="AB87" s="46" t="str" cm="1">
        <f t="array" aca="1" ref="AB87" ca="1">Ver_flag_local</f>
        <v/>
      </c>
      <c r="AC87" s="47">
        <v>3</v>
      </c>
      <c r="AD87" s="48">
        <v>1</v>
      </c>
      <c r="AE87" s="582" t="str" cm="1">
        <f t="array" aca="1" ref="AE87" ca="1">Ver_flag_visit</f>
        <v/>
      </c>
      <c r="AF87" s="29" t="str">
        <f ca="1">A86</f>
        <v>RD Congo</v>
      </c>
      <c r="AG87" s="311">
        <f t="shared" si="266"/>
        <v>1</v>
      </c>
      <c r="AH87" s="188">
        <v>48</v>
      </c>
      <c r="AI87" s="177" t="str">
        <f t="shared" ref="AI87:AI89" si="270">AJ87&amp;$B$84</f>
        <v>2K</v>
      </c>
      <c r="AJ87" s="39">
        <v>2</v>
      </c>
      <c r="AK87" s="589" t="str" cm="1">
        <f t="array" aca="1" ref="AK87" ca="1">Ver_flag_visit</f>
        <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8</v>
      </c>
      <c r="AS87" s="36">
        <f t="shared" ca="1" si="269"/>
        <v>5</v>
      </c>
      <c r="AT87" s="40">
        <f t="shared" ca="1" si="269"/>
        <v>3</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702"/>
      <c r="X88" s="21">
        <f ca="1">Horarios!C88</f>
        <v>46200.8125</v>
      </c>
      <c r="Y88" s="22">
        <f ca="1">Horarios!C88</f>
        <v>46200.8125</v>
      </c>
      <c r="Z88" s="23" t="str">
        <f>$Z$8</f>
        <v>J3</v>
      </c>
      <c r="AA88" s="24" t="str">
        <f ca="1">A88</f>
        <v>Colombia</v>
      </c>
      <c r="AB88" s="46" t="str" cm="1">
        <f t="array" aca="1" ref="AB88" ca="1">Ver_flag_local</f>
        <v/>
      </c>
      <c r="AC88" s="47">
        <v>2</v>
      </c>
      <c r="AD88" s="48">
        <v>3</v>
      </c>
      <c r="AE88" s="582" t="str" cm="1">
        <f t="array" aca="1" ref="AE88" ca="1">Ver_flag_visit</f>
        <v/>
      </c>
      <c r="AF88" s="29" t="str">
        <f ca="1">A85</f>
        <v>Portugal</v>
      </c>
      <c r="AG88" s="311">
        <f t="shared" si="266"/>
        <v>1</v>
      </c>
      <c r="AH88" s="188">
        <v>71</v>
      </c>
      <c r="AI88" s="177" t="str">
        <f t="shared" si="270"/>
        <v>3K</v>
      </c>
      <c r="AJ88" s="39">
        <v>3</v>
      </c>
      <c r="AK88" s="589" t="str" cm="1">
        <f t="array" aca="1" ref="AK88" ca="1">Ver_flag_visit</f>
        <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4</v>
      </c>
      <c r="AS88" s="36">
        <f t="shared" ca="1" si="269"/>
        <v>9</v>
      </c>
      <c r="AT88" s="40">
        <f t="shared" ca="1" si="269"/>
        <v>-5</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703"/>
      <c r="X89" s="25">
        <f ca="1">Horarios!C89</f>
        <v>46200.8125</v>
      </c>
      <c r="Y89" s="26">
        <f ca="1">Horarios!C89</f>
        <v>46200.8125</v>
      </c>
      <c r="Z89" s="27" t="str">
        <f>$Z$8</f>
        <v>J3</v>
      </c>
      <c r="AA89" s="28" t="str">
        <f ca="1">A86</f>
        <v>RD Congo</v>
      </c>
      <c r="AB89" s="49" t="str" cm="1">
        <f t="array" aca="1" ref="AB89" ca="1">Ver_flag_local</f>
        <v/>
      </c>
      <c r="AC89" s="50">
        <v>2</v>
      </c>
      <c r="AD89" s="51">
        <v>2</v>
      </c>
      <c r="AE89" s="583" t="str" cm="1">
        <f t="array" aca="1" ref="AE89" ca="1">Ver_flag_visit</f>
        <v/>
      </c>
      <c r="AF89" s="30" t="str">
        <f ca="1">A87</f>
        <v>Uzbekistán</v>
      </c>
      <c r="AG89" s="311">
        <f t="shared" si="266"/>
        <v>1</v>
      </c>
      <c r="AH89" s="188">
        <v>72</v>
      </c>
      <c r="AI89" s="177" t="str">
        <f t="shared" si="270"/>
        <v>4K</v>
      </c>
      <c r="AJ89" s="41">
        <v>4</v>
      </c>
      <c r="AK89" s="591" t="str" cm="1">
        <f t="array" aca="1" ref="AK89" ca="1">Ver_flag_visit</f>
        <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3</v>
      </c>
      <c r="AS89" s="44">
        <f t="shared" ca="1" si="269"/>
        <v>9</v>
      </c>
      <c r="AT89" s="45">
        <f t="shared" ca="1" si="269"/>
        <v>-6</v>
      </c>
      <c r="AU89" s="318">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Visitante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8" t="s">
        <v>247</v>
      </c>
      <c r="X92" s="21">
        <f ca="1">Horarios!C92</f>
        <v>46190.666666666664</v>
      </c>
      <c r="Y92" s="22">
        <f ca="1">Horarios!C92</f>
        <v>46190.666666666664</v>
      </c>
      <c r="Z92" s="23" t="str">
        <f>$Z$4</f>
        <v>J1</v>
      </c>
      <c r="AA92" s="24" t="str">
        <f ca="1">A93</f>
        <v>Inglaterra</v>
      </c>
      <c r="AB92" s="46" t="str" cm="1">
        <f t="array" aca="1" ref="AB92" ca="1">Ver_flag_local</f>
        <v/>
      </c>
      <c r="AC92" s="47">
        <v>1</v>
      </c>
      <c r="AD92" s="48">
        <v>2</v>
      </c>
      <c r="AE92" s="582" t="str" cm="1">
        <f t="array" aca="1" ref="AE92" ca="1">Ver_flag_visit</f>
        <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8"/>
      <c r="X93" s="21">
        <f ca="1">Horarios!C93</f>
        <v>46190.791666666664</v>
      </c>
      <c r="Y93" s="22">
        <f ca="1">Horarios!C93</f>
        <v>46190.791666666664</v>
      </c>
      <c r="Z93" s="23" t="str">
        <f>$Z$4</f>
        <v>J1</v>
      </c>
      <c r="AA93" s="24" t="str">
        <f ca="1">A95</f>
        <v>Ghana</v>
      </c>
      <c r="AB93" s="46" t="str" cm="1">
        <f t="array" aca="1" ref="AB93" ca="1">Ver_flag_local</f>
        <v/>
      </c>
      <c r="AC93" s="47">
        <v>2</v>
      </c>
      <c r="AD93" s="48">
        <v>1</v>
      </c>
      <c r="AE93" s="582" t="str" cm="1">
        <f t="array" aca="1" ref="AE93" ca="1">Ver_flag_visit</f>
        <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8"/>
      <c r="X94" s="21">
        <f ca="1">Horarios!C94</f>
        <v>46196.666666666664</v>
      </c>
      <c r="Y94" s="22">
        <f ca="1">Horarios!C94</f>
        <v>46196.666666666664</v>
      </c>
      <c r="Z94" s="23" t="str">
        <f>$Z$6</f>
        <v>J2</v>
      </c>
      <c r="AA94" s="24" t="str">
        <f ca="1">A93</f>
        <v>Inglaterra</v>
      </c>
      <c r="AB94" s="46" t="str" cm="1">
        <f t="array" aca="1" ref="AB94" ca="1">Ver_flag_local</f>
        <v/>
      </c>
      <c r="AC94" s="47">
        <v>3</v>
      </c>
      <c r="AD94" s="48">
        <v>1</v>
      </c>
      <c r="AE94" s="582" t="str" cm="1">
        <f t="array" aca="1" ref="AE94" ca="1">Ver_flag_visit</f>
        <v/>
      </c>
      <c r="AF94" s="29" t="str">
        <f ca="1">A95</f>
        <v>Ghana</v>
      </c>
      <c r="AG94" s="311">
        <f t="shared" si="284"/>
        <v>1</v>
      </c>
      <c r="AH94" s="188">
        <v>45</v>
      </c>
      <c r="AI94" s="177" t="str">
        <f>AJ94&amp;$B$92</f>
        <v>1L</v>
      </c>
      <c r="AJ94" s="37">
        <v>1</v>
      </c>
      <c r="AK94" s="588" t="str" cm="1">
        <f t="array" aca="1" ref="AK94" ca="1">Ver_flag_visit</f>
        <v/>
      </c>
      <c r="AL94" s="31" t="str">
        <f ca="1">IFERROR(INDEX($BD$6:$BD$53,MATCH(AI94,$BN$6:$BN$53,0)),"")</f>
        <v>Croacia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9</v>
      </c>
      <c r="AS94" s="33">
        <f t="shared" ca="1" si="287"/>
        <v>4</v>
      </c>
      <c r="AT94" s="38">
        <f t="shared" ca="1" si="287"/>
        <v>5</v>
      </c>
      <c r="AU94" s="318">
        <f ca="1">INDEX($DL$6:$DL$53,MATCH(AI94,$DP$6:$DP$53,0))</f>
        <v>1</v>
      </c>
      <c r="AV94" s="178" t="str">
        <f ca="1">INDEX($BD$6:$BD$53,MATCH(AI94,$BM$6:$BM$53,0))</f>
        <v>Croacia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8"/>
      <c r="X95" s="21">
        <f ca="1">Horarios!C95</f>
        <v>46196.791666666664</v>
      </c>
      <c r="Y95" s="22">
        <f ca="1">Horarios!C95</f>
        <v>46196.791666666664</v>
      </c>
      <c r="Z95" s="23" t="str">
        <f>$Z$6</f>
        <v>J2</v>
      </c>
      <c r="AA95" s="24" t="str">
        <f ca="1">A96</f>
        <v>Panamá</v>
      </c>
      <c r="AB95" s="46" t="str" cm="1">
        <f t="array" aca="1" ref="AB95" ca="1">Ver_flag_local</f>
        <v/>
      </c>
      <c r="AC95" s="47">
        <v>1</v>
      </c>
      <c r="AD95" s="48">
        <v>4</v>
      </c>
      <c r="AE95" s="582" t="str" cm="1">
        <f t="array" aca="1" ref="AE95" ca="1">Ver_flag_visit</f>
        <v/>
      </c>
      <c r="AF95" s="29" t="str">
        <f ca="1">A94</f>
        <v>Croacia</v>
      </c>
      <c r="AG95" s="311">
        <f t="shared" si="284"/>
        <v>1</v>
      </c>
      <c r="AH95" s="188">
        <v>46</v>
      </c>
      <c r="AI95" s="177" t="str">
        <f t="shared" ref="AI95:AI97" si="288">AJ95&amp;$B$92</f>
        <v>2L</v>
      </c>
      <c r="AJ95" s="39">
        <v>2</v>
      </c>
      <c r="AK95" s="589" t="str" cm="1">
        <f t="array" aca="1" ref="AK95" ca="1">Ver_flag_visit</f>
        <v/>
      </c>
      <c r="AL95" s="34" t="str">
        <f ca="1">IFERROR(INDEX($BD$6:$BD$53,MATCH(AI95,$BN$6:$BN$53,0)),"")</f>
        <v>Inglaterra</v>
      </c>
      <c r="AM95" s="35">
        <f t="shared" ca="1" si="287"/>
        <v>6</v>
      </c>
      <c r="AN95" s="36">
        <f t="shared" ca="1" si="287"/>
        <v>3</v>
      </c>
      <c r="AO95" s="36">
        <f t="shared" ca="1" si="287"/>
        <v>2</v>
      </c>
      <c r="AP95" s="36">
        <f t="shared" ca="1" si="287"/>
        <v>0</v>
      </c>
      <c r="AQ95" s="36">
        <f t="shared" ca="1" si="287"/>
        <v>1</v>
      </c>
      <c r="AR95" s="36">
        <f t="shared" ca="1" si="287"/>
        <v>8</v>
      </c>
      <c r="AS95" s="36">
        <f t="shared" ca="1" si="287"/>
        <v>4</v>
      </c>
      <c r="AT95" s="40">
        <f t="shared" ca="1" si="287"/>
        <v>4</v>
      </c>
      <c r="AU95" s="318">
        <f ca="1">INDEX($DL$6:$DL$53,MATCH(AI95,$DP$6:$DP$53,0))</f>
        <v>1</v>
      </c>
      <c r="AV95" s="178" t="str">
        <f ca="1">INDEX($BD$6:$BD$53,MATCH(AI95,$BM$6:$BM$53,0))</f>
        <v>Inglaterra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8"/>
      <c r="X96" s="21">
        <f ca="1">Horarios!C96</f>
        <v>46200.708333333336</v>
      </c>
      <c r="Y96" s="22">
        <f ca="1">Horarios!C96</f>
        <v>46200.708333333336</v>
      </c>
      <c r="Z96" s="23" t="str">
        <f>$Z$8</f>
        <v>J3</v>
      </c>
      <c r="AA96" s="24" t="str">
        <f ca="1">A96</f>
        <v>Panamá</v>
      </c>
      <c r="AB96" s="46" t="str" cm="1">
        <f t="array" aca="1" ref="AB96" ca="1">Ver_flag_local</f>
        <v/>
      </c>
      <c r="AC96" s="47">
        <v>1</v>
      </c>
      <c r="AD96" s="48">
        <v>4</v>
      </c>
      <c r="AE96" s="582" t="str" cm="1">
        <f t="array" aca="1" ref="AE96" ca="1">Ver_flag_visit</f>
        <v/>
      </c>
      <c r="AF96" s="29" t="str">
        <f ca="1">A93</f>
        <v>Inglaterra</v>
      </c>
      <c r="AG96" s="311">
        <f t="shared" si="284"/>
        <v>1</v>
      </c>
      <c r="AH96" s="188">
        <v>67</v>
      </c>
      <c r="AI96" s="177" t="str">
        <f t="shared" si="288"/>
        <v>3L</v>
      </c>
      <c r="AJ96" s="39">
        <v>3</v>
      </c>
      <c r="AK96" s="589" t="str" cm="1">
        <f t="array" aca="1" ref="AK96" ca="1">Ver_flag_visit</f>
        <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5</v>
      </c>
      <c r="AS96" s="36">
        <f t="shared" ca="1" si="287"/>
        <v>7</v>
      </c>
      <c r="AT96" s="40">
        <f t="shared" ca="1" si="287"/>
        <v>-2</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9"/>
      <c r="X97" s="25">
        <f ca="1">Horarios!C97</f>
        <v>46200.708333333336</v>
      </c>
      <c r="Y97" s="26">
        <f ca="1">Horarios!C97</f>
        <v>46200.708333333336</v>
      </c>
      <c r="Z97" s="27" t="str">
        <f>$Z$8</f>
        <v>J3</v>
      </c>
      <c r="AA97" s="28" t="str">
        <f ca="1">A94</f>
        <v>Croacia</v>
      </c>
      <c r="AB97" s="49" t="str" cm="1">
        <f t="array" aca="1" ref="AB97" ca="1">Ver_flag_local</f>
        <v/>
      </c>
      <c r="AC97" s="50">
        <v>3</v>
      </c>
      <c r="AD97" s="51">
        <v>2</v>
      </c>
      <c r="AE97" s="583" t="str" cm="1">
        <f t="array" aca="1" ref="AE97" ca="1">Ver_flag_visit</f>
        <v/>
      </c>
      <c r="AF97" s="30" t="str">
        <f ca="1">A95</f>
        <v>Ghana</v>
      </c>
      <c r="AG97" s="311">
        <f t="shared" si="284"/>
        <v>1</v>
      </c>
      <c r="AH97" s="188">
        <v>68</v>
      </c>
      <c r="AI97" s="177" t="str">
        <f t="shared" si="288"/>
        <v>4L</v>
      </c>
      <c r="AJ97" s="41">
        <v>4</v>
      </c>
      <c r="AK97" s="591" t="str" cm="1">
        <f t="array" aca="1" ref="AK97" ca="1">Ver_flag_visit</f>
        <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3</v>
      </c>
      <c r="AS97" s="44">
        <f t="shared" ca="1" si="287"/>
        <v>10</v>
      </c>
      <c r="AT97" s="45">
        <f t="shared" ca="1" si="287"/>
        <v>-7</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México</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704" t="s">
        <v>493</v>
      </c>
      <c r="X101" s="21">
        <f ca="1">Horarios!C101</f>
        <v>46201.625</v>
      </c>
      <c r="Y101" s="22">
        <f ca="1">Horarios!C101</f>
        <v>46201.625</v>
      </c>
      <c r="Z101" s="269">
        <f>AH101</f>
        <v>73</v>
      </c>
      <c r="AA101" s="85" t="str">
        <f t="shared" ref="AA101:AA116" ca="1" si="292">+INDEX($M$101:$M$147,MATCH(AH101,$J$101:$J$147,0))</f>
        <v>México</v>
      </c>
      <c r="AB101" s="86"/>
      <c r="AC101" s="48">
        <v>2</v>
      </c>
      <c r="AD101" s="48">
        <v>1</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ACDEFIJL</v>
      </c>
    </row>
    <row r="102" spans="1:62" ht="16.05"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Ecuador</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3"/>
      <c r="P102" s="13"/>
      <c r="Q102" s="13"/>
      <c r="R102" s="13"/>
      <c r="S102" s="13"/>
      <c r="T102" s="13"/>
      <c r="U102" s="13"/>
      <c r="V102" s="14"/>
      <c r="W102" s="704"/>
      <c r="X102" s="21">
        <f ca="1">Horarios!C102</f>
        <v>46202.541666666664</v>
      </c>
      <c r="Y102" s="22">
        <f ca="1">Horarios!C102</f>
        <v>46202.541666666664</v>
      </c>
      <c r="Z102" s="269">
        <f t="shared" ref="Z102:Z116" si="296">AH102</f>
        <v>76</v>
      </c>
      <c r="AA102" s="85" t="str">
        <f t="shared" ca="1" si="292"/>
        <v>Brasil</v>
      </c>
      <c r="AB102" s="86"/>
      <c r="AC102" s="89">
        <v>3</v>
      </c>
      <c r="AD102" s="89">
        <v>2</v>
      </c>
      <c r="AE102" s="86"/>
      <c r="AF102" s="88" t="str">
        <f t="shared" ca="1" si="293"/>
        <v>Japón</v>
      </c>
      <c r="AG102" s="315">
        <f t="shared" ca="1" si="294"/>
        <v>1</v>
      </c>
      <c r="AH102" s="188">
        <v>76</v>
      </c>
      <c r="AI102" s="178">
        <v>1</v>
      </c>
      <c r="AJ102" s="77">
        <v>1</v>
      </c>
      <c r="AK102" s="592" t="str" cm="1">
        <f t="array" aca="1" ref="AK102" ca="1">Ver_flag_visit</f>
        <v/>
      </c>
      <c r="AL102" s="78" t="str">
        <f t="shared" ref="AL102:AL113" ca="1" si="297">+IF($H$113&gt;=48,INDEX($BD$58:$BD$69,MATCH(AI102,$BN$58:$BN$69,0)),BB58)</f>
        <v>Costa de Marfil</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8</v>
      </c>
      <c r="AS102" s="80">
        <f t="shared" ca="1" si="298"/>
        <v>6</v>
      </c>
      <c r="AT102" s="81">
        <f t="shared" ca="1" si="298"/>
        <v>2</v>
      </c>
      <c r="AU102" s="318">
        <f t="shared" ref="AU102:AU113" ca="1" si="299">IF($H$113=144,INDEX($DL$58:$DL$69,MATCH(AI102,$DP$58:$DP$69,0)),"")</f>
        <v>1</v>
      </c>
      <c r="AV102" s="178" t="str">
        <f t="shared" ref="AV102:AV113" ca="1" si="300">INDEX($BD$58:$BD$69,MATCH(AI102,$BM$58:$BM$69,0))</f>
        <v>Costa de Marfil</v>
      </c>
      <c r="AW102" s="207"/>
      <c r="AX102" s="166"/>
      <c r="AY102" s="150"/>
      <c r="AZ102" s="151"/>
      <c r="BE102" t="s">
        <v>454</v>
      </c>
      <c r="BF102" t="s">
        <v>731</v>
      </c>
      <c r="BG102" t="s">
        <v>776</v>
      </c>
      <c r="BI102" t="s">
        <v>86</v>
      </c>
    </row>
    <row r="103" spans="1:62" ht="16.05" customHeight="1">
      <c r="A103" s="13" t="s">
        <v>676</v>
      </c>
      <c r="B103" s="13" t="s">
        <v>668</v>
      </c>
      <c r="C103" s="13"/>
      <c r="D103" s="13" t="str">
        <f t="shared" ca="1" si="289"/>
        <v>Ecuador</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704"/>
      <c r="X103" s="21">
        <f ca="1">Horarios!C103</f>
        <v>46202.6875</v>
      </c>
      <c r="Y103" s="22">
        <f ca="1">Horarios!C103</f>
        <v>46202.6875</v>
      </c>
      <c r="Z103" s="269">
        <f t="shared" si="296"/>
        <v>74</v>
      </c>
      <c r="AA103" s="85" t="str">
        <f t="shared" ca="1" si="292"/>
        <v>Ecuador</v>
      </c>
      <c r="AB103" s="86"/>
      <c r="AC103" s="89">
        <v>3</v>
      </c>
      <c r="AD103" s="89">
        <v>1</v>
      </c>
      <c r="AE103" s="86"/>
      <c r="AF103" s="88" t="str">
        <f t="shared" ca="1" si="293"/>
        <v>Turquía</v>
      </c>
      <c r="AG103" s="315">
        <f t="shared" ca="1" si="294"/>
        <v>1</v>
      </c>
      <c r="AH103" s="188">
        <v>74</v>
      </c>
      <c r="AI103" s="178">
        <v>2</v>
      </c>
      <c r="AJ103" s="39">
        <v>2</v>
      </c>
      <c r="AK103" s="589" t="str" cm="1">
        <f t="array" aca="1" ref="AK103" ca="1">Ver_flag_visit</f>
        <v/>
      </c>
      <c r="AL103" s="82" t="str">
        <f t="shared" ca="1" si="297"/>
        <v>Turquía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6</v>
      </c>
      <c r="AS103" s="83">
        <f t="shared" ca="1" si="302"/>
        <v>5</v>
      </c>
      <c r="AT103" s="84">
        <f t="shared" ca="1" si="302"/>
        <v>1</v>
      </c>
      <c r="AU103" s="318">
        <f t="shared" ca="1" si="299"/>
        <v>1</v>
      </c>
      <c r="AV103" s="178" t="str">
        <f t="shared" ca="1" si="300"/>
        <v>Turquía</v>
      </c>
      <c r="AW103" s="207"/>
      <c r="AX103" s="166"/>
      <c r="AY103" s="265"/>
      <c r="AZ103" s="268" t="str">
        <f t="shared" ref="AZ103:AZ110" ca="1" si="303">+IF(OR($H$113&gt;=48,$AJ$99=144),BF117&amp;" - "&amp;BG117,"")</f>
        <v>1A - 3C</v>
      </c>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6.05"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704"/>
      <c r="X104" s="21">
        <f ca="1">Horarios!C104</f>
        <v>46202.875</v>
      </c>
      <c r="Y104" s="22">
        <f ca="1">Horarios!C104</f>
        <v>46202.875</v>
      </c>
      <c r="Z104" s="269">
        <f t="shared" si="296"/>
        <v>75</v>
      </c>
      <c r="AA104" s="85" t="str">
        <f t="shared" ca="1" si="292"/>
        <v>Países Bajos</v>
      </c>
      <c r="AB104" s="86">
        <v>5</v>
      </c>
      <c r="AC104" s="89">
        <v>2</v>
      </c>
      <c r="AD104" s="89">
        <v>2</v>
      </c>
      <c r="AE104" s="86">
        <v>4</v>
      </c>
      <c r="AF104" s="88" t="str">
        <f t="shared" ca="1" si="293"/>
        <v>Marruecos</v>
      </c>
      <c r="AG104" s="315">
        <f t="shared" ca="1" si="294"/>
        <v>1</v>
      </c>
      <c r="AH104" s="188">
        <v>75</v>
      </c>
      <c r="AI104" s="178">
        <v>3</v>
      </c>
      <c r="AJ104" s="39">
        <v>3</v>
      </c>
      <c r="AK104" s="589" t="str" cm="1">
        <f t="array" aca="1" ref="AK104" ca="1">Ver_flag_visit</f>
        <v/>
      </c>
      <c r="AL104" s="82" t="str">
        <f t="shared" ca="1" si="297"/>
        <v>Austria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5</v>
      </c>
      <c r="AS104" s="83">
        <f t="shared" ca="1" si="307"/>
        <v>5</v>
      </c>
      <c r="AT104" s="84">
        <f t="shared" ca="1" si="307"/>
        <v>0</v>
      </c>
      <c r="AU104" s="318">
        <f t="shared" ca="1" si="299"/>
        <v>1</v>
      </c>
      <c r="AV104" s="178" t="str">
        <f t="shared" ca="1" si="300"/>
        <v>Austria</v>
      </c>
      <c r="AW104" s="207"/>
      <c r="AX104" s="166"/>
      <c r="AY104" s="265"/>
      <c r="AZ104" s="268" t="str">
        <f t="shared" ca="1" si="303"/>
        <v>1B - 3J</v>
      </c>
      <c r="BF104" t="str">
        <f t="shared" ca="1" si="304"/>
        <v>D</v>
      </c>
      <c r="BG104">
        <f t="shared" ca="1" si="305"/>
        <v>3</v>
      </c>
      <c r="BI104">
        <v>2</v>
      </c>
      <c r="BJ104" t="str">
        <f t="shared" ca="1" si="306"/>
        <v>C</v>
      </c>
    </row>
    <row r="105" spans="1:62" ht="16.05" customHeight="1">
      <c r="A105" s="13" t="s">
        <v>685</v>
      </c>
      <c r="B105" s="13" t="s">
        <v>735</v>
      </c>
      <c r="C105" s="13"/>
      <c r="D105" s="13" t="str">
        <f t="shared" ca="1" si="289"/>
        <v>Francia</v>
      </c>
      <c r="E105" s="13" t="s">
        <v>448</v>
      </c>
      <c r="F105" s="13" t="s">
        <v>733</v>
      </c>
      <c r="G105" s="13" t="s">
        <v>3</v>
      </c>
      <c r="H105" s="13">
        <f t="shared" ca="1" si="290"/>
        <v>12</v>
      </c>
      <c r="I105" s="13"/>
      <c r="J105" s="13">
        <v>77</v>
      </c>
      <c r="K105" s="13">
        <v>46203.75</v>
      </c>
      <c r="L105" s="13" t="s">
        <v>701</v>
      </c>
      <c r="M105" s="13" t="str">
        <f t="shared" ca="1" si="291"/>
        <v>Senegal</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704"/>
      <c r="X105" s="21">
        <f ca="1">Horarios!C105</f>
        <v>46203.541666666664</v>
      </c>
      <c r="Y105" s="22">
        <f ca="1">Horarios!C105</f>
        <v>46203.541666666664</v>
      </c>
      <c r="Z105" s="269">
        <f t="shared" si="296"/>
        <v>78</v>
      </c>
      <c r="AA105" s="85" t="str">
        <f t="shared" ca="1" si="292"/>
        <v>Alemania</v>
      </c>
      <c r="AB105" s="86"/>
      <c r="AC105" s="89">
        <v>2</v>
      </c>
      <c r="AD105" s="89">
        <v>4</v>
      </c>
      <c r="AE105" s="86"/>
      <c r="AF105" s="88" t="str">
        <f t="shared" ca="1" si="293"/>
        <v>Francia</v>
      </c>
      <c r="AG105" s="315">
        <f t="shared" ca="1" si="294"/>
        <v>1</v>
      </c>
      <c r="AH105" s="188">
        <v>78</v>
      </c>
      <c r="AI105" s="178">
        <v>4</v>
      </c>
      <c r="AJ105" s="39">
        <v>4</v>
      </c>
      <c r="AK105" s="589" t="str" cm="1">
        <f t="array" aca="1" ref="AK105" ca="1">Ver_flag_visit</f>
        <v/>
      </c>
      <c r="AL105" s="82" t="str">
        <f t="shared" ca="1" si="297"/>
        <v>Noruega</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6</v>
      </c>
      <c r="AS105" s="83">
        <f t="shared" ca="1" si="308"/>
        <v>7</v>
      </c>
      <c r="AT105" s="84">
        <f t="shared" ca="1" si="308"/>
        <v>-1</v>
      </c>
      <c r="AU105" s="318">
        <f t="shared" ca="1" si="299"/>
        <v>1</v>
      </c>
      <c r="AV105" s="178" t="str">
        <f t="shared" ca="1" si="300"/>
        <v>Noruega</v>
      </c>
      <c r="AW105" s="207"/>
      <c r="AX105" s="166"/>
      <c r="AY105" s="265"/>
      <c r="AZ105" s="268" t="str">
        <f t="shared" ca="1" si="303"/>
        <v>1D - 3E</v>
      </c>
      <c r="BF105" t="str">
        <f t="shared" ca="1" si="304"/>
        <v>J</v>
      </c>
      <c r="BG105">
        <f t="shared" ca="1" si="305"/>
        <v>7</v>
      </c>
      <c r="BI105">
        <v>3</v>
      </c>
      <c r="BJ105" t="str">
        <f t="shared" ca="1" si="306"/>
        <v>D</v>
      </c>
    </row>
    <row r="106" spans="1:62" ht="16.05" customHeight="1">
      <c r="A106" s="13" t="s">
        <v>674</v>
      </c>
      <c r="B106" s="13" t="s">
        <v>686</v>
      </c>
      <c r="C106" s="13"/>
      <c r="D106" s="13" t="str">
        <f t="shared" ca="1" si="289"/>
        <v>Senegal</v>
      </c>
      <c r="E106" s="13" t="s">
        <v>3</v>
      </c>
      <c r="F106" s="13" t="s">
        <v>448</v>
      </c>
      <c r="G106" s="13" t="s">
        <v>4</v>
      </c>
      <c r="H106" s="13">
        <f t="shared" ca="1" si="290"/>
        <v>12</v>
      </c>
      <c r="I106" s="13"/>
      <c r="J106" s="13">
        <v>78</v>
      </c>
      <c r="K106" s="13">
        <v>46203.75</v>
      </c>
      <c r="L106" s="13" t="s">
        <v>702</v>
      </c>
      <c r="M106" s="13" t="str">
        <f t="shared" ca="1" si="291"/>
        <v>Alemania</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3"/>
      <c r="P106" s="13"/>
      <c r="Q106" s="13"/>
      <c r="R106" s="13"/>
      <c r="S106" s="13"/>
      <c r="T106" s="13"/>
      <c r="U106" s="13"/>
      <c r="V106" s="14"/>
      <c r="W106" s="704"/>
      <c r="X106" s="21">
        <f ca="1">Horarios!C106</f>
        <v>46203.708333333336</v>
      </c>
      <c r="Y106" s="22">
        <f ca="1">Horarios!C106</f>
        <v>46203.708333333336</v>
      </c>
      <c r="Z106" s="269">
        <f t="shared" si="296"/>
        <v>77</v>
      </c>
      <c r="AA106" s="85" t="str">
        <f t="shared" ca="1" si="292"/>
        <v>Senegal</v>
      </c>
      <c r="AB106" s="86"/>
      <c r="AC106" s="89">
        <v>3</v>
      </c>
      <c r="AD106" s="89">
        <v>1</v>
      </c>
      <c r="AE106" s="86"/>
      <c r="AF106" s="88" t="str">
        <f t="shared" ca="1" si="293"/>
        <v>Suecia</v>
      </c>
      <c r="AG106" s="315">
        <f t="shared" ca="1" si="294"/>
        <v>1</v>
      </c>
      <c r="AH106" s="188">
        <v>77</v>
      </c>
      <c r="AI106" s="178">
        <v>5</v>
      </c>
      <c r="AJ106" s="39">
        <v>5</v>
      </c>
      <c r="AK106" s="589" t="str" cm="1">
        <f t="array" aca="1" ref="AK106" ca="1">Ver_flag_visit</f>
        <v/>
      </c>
      <c r="AL106" s="82" t="str">
        <f t="shared" ca="1" si="297"/>
        <v>Escocia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5</v>
      </c>
      <c r="AS106" s="83">
        <f t="shared" ca="1" si="309"/>
        <v>6</v>
      </c>
      <c r="AT106" s="84">
        <f t="shared" ca="1" si="309"/>
        <v>-1</v>
      </c>
      <c r="AU106" s="318">
        <f t="shared" ca="1" si="299"/>
        <v>1</v>
      </c>
      <c r="AV106" s="178" t="str">
        <f t="shared" ca="1" si="300"/>
        <v>Escocia</v>
      </c>
      <c r="AW106" s="207"/>
      <c r="AX106" s="166"/>
      <c r="AY106" s="265"/>
      <c r="AZ106" s="268" t="str">
        <f t="shared" ca="1" si="303"/>
        <v>1E - 3D</v>
      </c>
      <c r="BF106" t="str">
        <f t="shared" ca="1" si="304"/>
        <v>I</v>
      </c>
      <c r="BG106">
        <f t="shared" ca="1" si="305"/>
        <v>6</v>
      </c>
      <c r="BI106">
        <v>4</v>
      </c>
      <c r="BJ106" t="str">
        <f t="shared" ca="1" si="306"/>
        <v>E</v>
      </c>
    </row>
    <row r="107" spans="1:62" ht="16.05"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704"/>
      <c r="X107" s="21">
        <f ca="1">Horarios!C107</f>
        <v>46203.875</v>
      </c>
      <c r="Y107" s="22">
        <f ca="1">Horarios!C107</f>
        <v>46203.875</v>
      </c>
      <c r="Z107" s="269">
        <f t="shared" si="296"/>
        <v>79</v>
      </c>
      <c r="AA107" s="85" t="str">
        <f t="shared" ca="1" si="292"/>
        <v>Corea del Sur</v>
      </c>
      <c r="AB107" s="86"/>
      <c r="AC107" s="89">
        <v>2</v>
      </c>
      <c r="AD107" s="89">
        <v>1</v>
      </c>
      <c r="AE107" s="86"/>
      <c r="AF107" s="88" t="str">
        <f t="shared" ca="1" si="293"/>
        <v>Escocia</v>
      </c>
      <c r="AG107" s="315">
        <f t="shared" ca="1" si="294"/>
        <v>1</v>
      </c>
      <c r="AH107" s="188">
        <v>79</v>
      </c>
      <c r="AI107" s="178">
        <v>6</v>
      </c>
      <c r="AJ107" s="39">
        <v>6</v>
      </c>
      <c r="AK107" s="589" t="str" cm="1">
        <f t="array" aca="1" ref="AK107" ca="1">Ver_flag_visit</f>
        <v/>
      </c>
      <c r="AL107" s="82" t="str">
        <f t="shared" ca="1" si="297"/>
        <v>República Checa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4</v>
      </c>
      <c r="AS107" s="83">
        <f t="shared" ca="1" si="310"/>
        <v>5</v>
      </c>
      <c r="AT107" s="84">
        <f t="shared" ca="1" si="310"/>
        <v>-1</v>
      </c>
      <c r="AU107" s="318">
        <f t="shared" ca="1" si="299"/>
        <v>1</v>
      </c>
      <c r="AV107" s="178" t="str">
        <f ca="1">INDEX($BD$58:$BD$69,MATCH(AI107,$BM$58:$BM$69,0))</f>
        <v>República Checa</v>
      </c>
      <c r="AW107" s="207"/>
      <c r="AX107" s="166"/>
      <c r="AY107" s="265"/>
      <c r="AZ107" s="268" t="str">
        <f t="shared" ca="1" si="303"/>
        <v>1G - 3A</v>
      </c>
      <c r="BF107" t="str">
        <f t="shared" ca="1" si="304"/>
        <v>C</v>
      </c>
      <c r="BG107">
        <f t="shared" ca="1" si="305"/>
        <v>2</v>
      </c>
      <c r="BI107">
        <v>5</v>
      </c>
      <c r="BJ107" t="str">
        <f t="shared" ca="1" si="306"/>
        <v>F</v>
      </c>
    </row>
    <row r="108" spans="1:62" ht="16.05" customHeight="1">
      <c r="A108" s="13" t="s">
        <v>694</v>
      </c>
      <c r="B108" s="13" t="s">
        <v>737</v>
      </c>
      <c r="C108" s="13"/>
      <c r="D108" s="13" t="str">
        <f t="shared" ca="1" si="289"/>
        <v>Noruega</v>
      </c>
      <c r="E108" s="13" t="s">
        <v>247</v>
      </c>
      <c r="F108" s="13" t="s">
        <v>733</v>
      </c>
      <c r="G108" s="13" t="s">
        <v>447</v>
      </c>
      <c r="H108" s="13">
        <f t="shared" ca="1" si="290"/>
        <v>12</v>
      </c>
      <c r="I108" s="13"/>
      <c r="J108" s="13">
        <v>80</v>
      </c>
      <c r="K108" s="13">
        <v>46204.75</v>
      </c>
      <c r="L108" s="13" t="s">
        <v>704</v>
      </c>
      <c r="M108" s="13" t="str">
        <f t="shared" ca="1" si="291"/>
        <v>Croacia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3"/>
      <c r="P108" s="13"/>
      <c r="Q108" s="13"/>
      <c r="R108" s="13"/>
      <c r="S108" s="13"/>
      <c r="T108" s="13"/>
      <c r="U108" s="13"/>
      <c r="V108" s="14"/>
      <c r="W108" s="704"/>
      <c r="X108" s="21">
        <f ca="1">Horarios!C108</f>
        <v>46204.5</v>
      </c>
      <c r="Y108" s="22">
        <f ca="1">Horarios!C108</f>
        <v>46204.5</v>
      </c>
      <c r="Z108" s="269">
        <f t="shared" si="296"/>
        <v>80</v>
      </c>
      <c r="AA108" s="85" t="str">
        <f t="shared" ca="1" si="292"/>
        <v>Croacia</v>
      </c>
      <c r="AB108" s="86">
        <v>3</v>
      </c>
      <c r="AC108" s="89">
        <v>2</v>
      </c>
      <c r="AD108" s="89">
        <v>2</v>
      </c>
      <c r="AE108" s="86">
        <v>4</v>
      </c>
      <c r="AF108" s="88" t="str">
        <f t="shared" ca="1" si="293"/>
        <v>Noruega</v>
      </c>
      <c r="AG108" s="315">
        <f t="shared" ca="1" si="294"/>
        <v>1</v>
      </c>
      <c r="AH108" s="188">
        <v>80</v>
      </c>
      <c r="AI108" s="178">
        <v>7</v>
      </c>
      <c r="AJ108" s="39">
        <v>7</v>
      </c>
      <c r="AK108" s="589" t="str" cm="1">
        <f t="array" aca="1" ref="AK108" ca="1">Ver_flag_visit</f>
        <v/>
      </c>
      <c r="AL108" s="82" t="str">
        <f t="shared" ca="1" si="297"/>
        <v>Ghana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5</v>
      </c>
      <c r="AS108" s="83">
        <f t="shared" ca="1" si="311"/>
        <v>7</v>
      </c>
      <c r="AT108" s="84">
        <f t="shared" ca="1" si="311"/>
        <v>-2</v>
      </c>
      <c r="AU108" s="318">
        <f t="shared" ca="1" si="299"/>
        <v>1</v>
      </c>
      <c r="AV108" s="178" t="str">
        <f t="shared" ca="1" si="300"/>
        <v>Ghana</v>
      </c>
      <c r="AW108" s="207"/>
      <c r="AX108" s="166"/>
      <c r="AY108" s="265"/>
      <c r="AZ108" s="268" t="str">
        <f t="shared" ca="1" si="303"/>
        <v>1I - 3F</v>
      </c>
      <c r="BF108" t="str">
        <f t="shared" ca="1" si="304"/>
        <v>A</v>
      </c>
      <c r="BG108">
        <f t="shared" ca="1" si="305"/>
        <v>1</v>
      </c>
      <c r="BI108">
        <v>6</v>
      </c>
      <c r="BJ108" t="str">
        <f t="shared" ca="1" si="306"/>
        <v>I</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Paraguay</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3"/>
      <c r="P109" s="13"/>
      <c r="Q109" s="13"/>
      <c r="R109" s="13"/>
      <c r="S109" s="13"/>
      <c r="T109" s="13"/>
      <c r="U109" s="13"/>
      <c r="V109" s="14"/>
      <c r="W109" s="704"/>
      <c r="X109" s="21">
        <f ca="1">Horarios!C109</f>
        <v>46204.666666666664</v>
      </c>
      <c r="Y109" s="22">
        <f ca="1">Horarios!C109</f>
        <v>46204.666666666664</v>
      </c>
      <c r="Z109" s="269">
        <f t="shared" si="296"/>
        <v>82</v>
      </c>
      <c r="AA109" s="85" t="str">
        <f t="shared" ca="1" si="292"/>
        <v>Bélgica</v>
      </c>
      <c r="AB109" s="86"/>
      <c r="AC109" s="89">
        <v>3</v>
      </c>
      <c r="AD109" s="89">
        <v>1</v>
      </c>
      <c r="AE109" s="86"/>
      <c r="AF109" s="88" t="str">
        <f t="shared" ca="1" si="293"/>
        <v>República Checa</v>
      </c>
      <c r="AG109" s="315">
        <f t="shared" ca="1" si="294"/>
        <v>1</v>
      </c>
      <c r="AH109" s="188">
        <v>82</v>
      </c>
      <c r="AI109" s="178">
        <v>8</v>
      </c>
      <c r="AJ109" s="39">
        <v>8</v>
      </c>
      <c r="AK109" s="589" t="str" cm="1">
        <f t="array" aca="1" ref="AK109" ca="1">Ver_flag_visit</f>
        <v/>
      </c>
      <c r="AL109" s="82" t="str">
        <f t="shared" ca="1" si="297"/>
        <v>Suecia</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4</v>
      </c>
      <c r="AS109" s="83">
        <f t="shared" ca="1" si="312"/>
        <v>6</v>
      </c>
      <c r="AT109" s="84">
        <f t="shared" ca="1" si="312"/>
        <v>-2</v>
      </c>
      <c r="AU109" s="318">
        <f t="shared" ca="1" si="299"/>
        <v>2</v>
      </c>
      <c r="AV109" s="178" t="str">
        <f t="shared" ca="1" si="300"/>
        <v>Egipto</v>
      </c>
      <c r="AW109" s="207">
        <v>9</v>
      </c>
      <c r="AX109" s="166"/>
      <c r="AY109" s="265"/>
      <c r="AZ109" s="268" t="str">
        <f t="shared" ca="1" si="303"/>
        <v>1K - 3L</v>
      </c>
      <c r="BF109" t="str">
        <f t="shared" ca="1" si="304"/>
        <v>L</v>
      </c>
      <c r="BG109">
        <f t="shared" ca="1" si="305"/>
        <v>8</v>
      </c>
      <c r="BI109">
        <v>7</v>
      </c>
      <c r="BJ109" t="str">
        <f t="shared" ca="1" si="306"/>
        <v>J</v>
      </c>
    </row>
    <row r="110" spans="1:62" ht="16.05" customHeight="1">
      <c r="A110" s="13" t="s">
        <v>679</v>
      </c>
      <c r="B110" s="13" t="s">
        <v>739</v>
      </c>
      <c r="C110" s="13"/>
      <c r="D110" s="13" t="str">
        <f t="shared" ca="1" si="289"/>
        <v>Paraguay</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704"/>
      <c r="X110" s="21">
        <f ca="1">Horarios!C110</f>
        <v>46204.833333333336</v>
      </c>
      <c r="Y110" s="22">
        <f ca="1">Horarios!C110</f>
        <v>46204.833333333336</v>
      </c>
      <c r="Z110" s="269">
        <f t="shared" si="296"/>
        <v>81</v>
      </c>
      <c r="AA110" s="85" t="str">
        <f t="shared" ca="1" si="292"/>
        <v>Paraguay</v>
      </c>
      <c r="AB110" s="86">
        <v>5</v>
      </c>
      <c r="AC110" s="89">
        <v>2</v>
      </c>
      <c r="AD110" s="89">
        <v>2</v>
      </c>
      <c r="AE110" s="86">
        <v>4</v>
      </c>
      <c r="AF110" s="88" t="str">
        <f t="shared" ca="1" si="293"/>
        <v>Costa de Marfil</v>
      </c>
      <c r="AG110" s="315">
        <f t="shared" ca="1" si="294"/>
        <v>1</v>
      </c>
      <c r="AH110" s="188">
        <v>81</v>
      </c>
      <c r="AI110" s="178">
        <v>9</v>
      </c>
      <c r="AJ110" s="39">
        <v>9</v>
      </c>
      <c r="AK110" s="589" t="str" cm="1">
        <f t="array" aca="1" ref="AK110" ca="1">Ver_flag_visit</f>
        <v/>
      </c>
      <c r="AL110" s="82" t="str">
        <f t="shared" ca="1" si="297"/>
        <v>Egipto</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4</v>
      </c>
      <c r="AS110" s="83">
        <f t="shared" ca="1" si="313"/>
        <v>6</v>
      </c>
      <c r="AT110" s="84">
        <f t="shared" ca="1" si="313"/>
        <v>-2</v>
      </c>
      <c r="AU110" s="318">
        <f t="shared" ca="1" si="299"/>
        <v>2</v>
      </c>
      <c r="AV110" s="178" t="str">
        <f t="shared" ca="1" si="300"/>
        <v>Suecia</v>
      </c>
      <c r="AW110" s="207">
        <v>8</v>
      </c>
      <c r="AX110" s="166"/>
      <c r="AY110" s="265"/>
      <c r="AZ110" s="268" t="str">
        <f t="shared" ca="1" si="303"/>
        <v>1L - 3I</v>
      </c>
      <c r="BF110" t="str">
        <f t="shared" ca="1" si="304"/>
        <v>F</v>
      </c>
      <c r="BG110">
        <f t="shared" ca="1" si="305"/>
        <v>5</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3"/>
      <c r="P111" s="13"/>
      <c r="Q111" s="13"/>
      <c r="R111" s="13"/>
      <c r="S111" s="13"/>
      <c r="T111" s="13"/>
      <c r="U111" s="13"/>
      <c r="V111" s="14"/>
      <c r="W111" s="704"/>
      <c r="X111" s="21">
        <f ca="1">Horarios!C111</f>
        <v>46205.625</v>
      </c>
      <c r="Y111" s="22">
        <f ca="1">Horarios!C111</f>
        <v>46205.625</v>
      </c>
      <c r="Z111" s="269">
        <f t="shared" si="296"/>
        <v>84</v>
      </c>
      <c r="AA111" s="85" t="str">
        <f t="shared" ca="1" si="292"/>
        <v>España</v>
      </c>
      <c r="AB111" s="86"/>
      <c r="AC111" s="89">
        <v>4</v>
      </c>
      <c r="AD111" s="89">
        <v>1</v>
      </c>
      <c r="AE111" s="86"/>
      <c r="AF111" s="88" t="str">
        <f t="shared" ca="1" si="293"/>
        <v>Argelia</v>
      </c>
      <c r="AG111" s="315">
        <f t="shared" ca="1" si="294"/>
        <v>1</v>
      </c>
      <c r="AH111" s="188">
        <v>84</v>
      </c>
      <c r="AI111" s="178">
        <v>10</v>
      </c>
      <c r="AJ111" s="39">
        <v>10</v>
      </c>
      <c r="AK111" s="589" t="str" cm="1">
        <f t="array" aca="1" ref="AK111" ca="1">Ver_flag_visit</f>
        <v/>
      </c>
      <c r="AL111" s="82" t="str">
        <f t="shared" ca="1" si="297"/>
        <v>Arabia Saudita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3</v>
      </c>
      <c r="AS111" s="83">
        <f t="shared" ca="1" si="314"/>
        <v>6</v>
      </c>
      <c r="AT111" s="84">
        <f t="shared" ca="1" si="314"/>
        <v>-3</v>
      </c>
      <c r="AU111" s="318">
        <f t="shared" ca="1" si="299"/>
        <v>1</v>
      </c>
      <c r="AV111" s="178" t="str">
        <f t="shared" ca="1" si="300"/>
        <v>Arabia Saudita</v>
      </c>
      <c r="AW111" s="207"/>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704"/>
      <c r="X112" s="21">
        <f ca="1">Horarios!C112</f>
        <v>46205.791666666664</v>
      </c>
      <c r="Y112" s="22">
        <f ca="1">Horarios!C112</f>
        <v>46205.791666666664</v>
      </c>
      <c r="Z112" s="269">
        <f t="shared" si="296"/>
        <v>83</v>
      </c>
      <c r="AA112" s="85" t="str">
        <f t="shared" ca="1" si="292"/>
        <v>Colombia</v>
      </c>
      <c r="AB112" s="86"/>
      <c r="AC112" s="89">
        <v>3</v>
      </c>
      <c r="AD112" s="89">
        <v>2</v>
      </c>
      <c r="AE112" s="86"/>
      <c r="AF112" s="88" t="str">
        <f t="shared" ca="1" si="293"/>
        <v>Inglaterra</v>
      </c>
      <c r="AG112" s="315">
        <f t="shared" ca="1" si="294"/>
        <v>1</v>
      </c>
      <c r="AH112" s="188">
        <v>83</v>
      </c>
      <c r="AI112" s="178">
        <v>11</v>
      </c>
      <c r="AJ112" s="39">
        <v>11</v>
      </c>
      <c r="AK112" s="589" t="str" cm="1">
        <f t="array" aca="1" ref="AK112" ca="1">Ver_flag_visit</f>
        <v/>
      </c>
      <c r="AL112" s="82" t="str">
        <f t="shared" ca="1" si="297"/>
        <v>Bosnia y Herzegovina</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3</v>
      </c>
      <c r="AS112" s="83">
        <f t="shared" ca="1" si="315"/>
        <v>5</v>
      </c>
      <c r="AT112" s="84">
        <f t="shared" ca="1" si="315"/>
        <v>-2</v>
      </c>
      <c r="AU112" s="318">
        <f t="shared" ca="1" si="299"/>
        <v>1</v>
      </c>
      <c r="AV112" s="178" t="str">
        <f t="shared" ca="1" si="300"/>
        <v>Bosnia y Herzegovina</v>
      </c>
      <c r="AW112" s="207"/>
      <c r="AX112" s="166"/>
      <c r="AY112" s="264"/>
      <c r="AZ112" s="264"/>
      <c r="BI112" t="str">
        <f ca="1">IFERROR(CONCATENATE(BJ103,BJ104,BJ105,BJ106,BJ107,BJ108,BJ109,BJ110),"¿A/B/C/D/E/F/G/H/I/J/K/L?")</f>
        <v>ACDEFIJL</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3"/>
      <c r="P113" s="13"/>
      <c r="Q113" s="13"/>
      <c r="R113" s="13"/>
      <c r="S113" s="13"/>
      <c r="T113" s="13"/>
      <c r="U113" s="13"/>
      <c r="V113" s="14"/>
      <c r="W113" s="704"/>
      <c r="X113" s="21">
        <f ca="1">Horarios!C113</f>
        <v>46205.958333333336</v>
      </c>
      <c r="Y113" s="22">
        <f ca="1">Horarios!C113</f>
        <v>46205.958333333336</v>
      </c>
      <c r="Z113" s="269">
        <f t="shared" si="296"/>
        <v>85</v>
      </c>
      <c r="AA113" s="85" t="str">
        <f t="shared" ca="1" si="292"/>
        <v>Suiza</v>
      </c>
      <c r="AB113" s="86"/>
      <c r="AC113" s="89">
        <v>2</v>
      </c>
      <c r="AD113" s="89">
        <v>1</v>
      </c>
      <c r="AE113" s="87"/>
      <c r="AF113" s="88" t="str">
        <f t="shared" ca="1" si="293"/>
        <v>Austria</v>
      </c>
      <c r="AG113" s="315">
        <f t="shared" ca="1" si="294"/>
        <v>1</v>
      </c>
      <c r="AH113" s="188">
        <v>85</v>
      </c>
      <c r="AI113" s="178">
        <v>12</v>
      </c>
      <c r="AJ113" s="41">
        <v>12</v>
      </c>
      <c r="AK113" s="591" t="str" cm="1">
        <f t="array" aca="1" ref="AK113" ca="1">Ver_flag_visit</f>
        <v/>
      </c>
      <c r="AL113" s="42" t="str">
        <f t="shared" ca="1" si="297"/>
        <v>Uzbekistán</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4</v>
      </c>
      <c r="AS113" s="44">
        <f t="shared" ca="1" si="316"/>
        <v>9</v>
      </c>
      <c r="AT113" s="45">
        <f t="shared" ca="1" si="316"/>
        <v>-5</v>
      </c>
      <c r="AU113" s="318">
        <f t="shared" ca="1" si="299"/>
        <v>1</v>
      </c>
      <c r="AV113" s="178" t="str">
        <f t="shared" ca="1" si="300"/>
        <v>Uzbekistán</v>
      </c>
      <c r="AW113" s="207"/>
      <c r="AX113" s="166"/>
      <c r="AY113" s="150"/>
      <c r="AZ113" s="151"/>
    </row>
    <row r="114" spans="1:59" ht="16.05" customHeight="1">
      <c r="A114" s="13" t="s">
        <v>688</v>
      </c>
      <c r="B114" s="13" t="s">
        <v>683</v>
      </c>
      <c r="C114" s="13"/>
      <c r="D114" s="13" t="str">
        <f t="shared" ca="1" si="289"/>
        <v>Irán</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704"/>
      <c r="X114" s="21">
        <f ca="1">Horarios!C114</f>
        <v>46206.583333333336</v>
      </c>
      <c r="Y114" s="22">
        <f ca="1">Horarios!C114</f>
        <v>46206.583333333336</v>
      </c>
      <c r="Z114" s="269">
        <f t="shared" si="296"/>
        <v>88</v>
      </c>
      <c r="AA114" s="85" t="str">
        <f t="shared" ca="1" si="292"/>
        <v>Estados Unidos</v>
      </c>
      <c r="AB114" s="86">
        <v>4</v>
      </c>
      <c r="AC114" s="89">
        <v>2</v>
      </c>
      <c r="AD114" s="89">
        <v>2</v>
      </c>
      <c r="AE114" s="86">
        <v>5</v>
      </c>
      <c r="AF114" s="88" t="str">
        <f t="shared" ca="1" si="293"/>
        <v>Irán</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704"/>
      <c r="X115" s="21">
        <f ca="1">Horarios!C115</f>
        <v>46206.75</v>
      </c>
      <c r="Y115" s="22">
        <f ca="1">Horarios!C115</f>
        <v>46206.75</v>
      </c>
      <c r="Z115" s="269">
        <f t="shared" si="296"/>
        <v>86</v>
      </c>
      <c r="AA115" s="85" t="str">
        <f t="shared" ca="1" si="292"/>
        <v>Argentina</v>
      </c>
      <c r="AB115" s="86"/>
      <c r="AC115" s="89">
        <v>3</v>
      </c>
      <c r="AD115" s="89">
        <v>2</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3"/>
      <c r="P116" s="13"/>
      <c r="Q116" s="13"/>
      <c r="R116" s="13"/>
      <c r="S116" s="13"/>
      <c r="T116" s="13"/>
      <c r="U116" s="13"/>
      <c r="V116" s="14"/>
      <c r="W116" s="705"/>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3E</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Ecuador</v>
      </c>
      <c r="N120" s="13" t="str">
        <f t="shared" ca="1" si="318"/>
        <v>Senegal</v>
      </c>
      <c r="O120" s="13"/>
      <c r="P120" s="13"/>
      <c r="Q120" s="13"/>
      <c r="R120" s="13"/>
      <c r="S120" s="13"/>
      <c r="T120" s="13"/>
      <c r="U120" s="13"/>
      <c r="V120" s="14"/>
      <c r="W120" s="706" t="s">
        <v>89</v>
      </c>
      <c r="X120" s="21">
        <f ca="1">Horarios!C120</f>
        <v>46207.541666666664</v>
      </c>
      <c r="Y120" s="22">
        <f ca="1">Horarios!C120</f>
        <v>46207.541666666664</v>
      </c>
      <c r="Z120" s="269">
        <f t="shared" ref="Z120:Z127" si="319">AH120</f>
        <v>90</v>
      </c>
      <c r="AA120" s="85" t="str">
        <f t="shared" ref="AA120:AA127" ca="1" si="320">+INDEX($M$101:$M$147,MATCH(AH120,$J$101:$J$147,0))</f>
        <v>México</v>
      </c>
      <c r="AB120" s="86"/>
      <c r="AC120" s="93">
        <v>1</v>
      </c>
      <c r="AD120" s="93">
        <v>3</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05" customHeight="1">
      <c r="A121" s="13" t="s">
        <v>744</v>
      </c>
      <c r="B121" s="13" t="s">
        <v>745</v>
      </c>
      <c r="C121" s="13"/>
      <c r="D121" s="13" t="str">
        <f t="shared" ca="1" si="317"/>
        <v>Ecuador</v>
      </c>
      <c r="E121" s="13">
        <v>73</v>
      </c>
      <c r="F121" s="13">
        <v>75</v>
      </c>
      <c r="G121" s="13"/>
      <c r="H121" s="13"/>
      <c r="I121" s="13"/>
      <c r="J121" s="13">
        <v>90</v>
      </c>
      <c r="K121" s="13">
        <v>46207.875</v>
      </c>
      <c r="L121" s="13" t="s">
        <v>714</v>
      </c>
      <c r="M121" s="13" t="str">
        <f t="shared" ca="1" si="318"/>
        <v>México</v>
      </c>
      <c r="N121" s="13" t="str">
        <f t="shared" ca="1" si="318"/>
        <v>Países Bajos</v>
      </c>
      <c r="O121" s="13"/>
      <c r="P121" s="13"/>
      <c r="Q121" s="13"/>
      <c r="R121" s="13"/>
      <c r="S121" s="13"/>
      <c r="T121" s="13"/>
      <c r="U121" s="13"/>
      <c r="V121" s="14"/>
      <c r="W121" s="706"/>
      <c r="X121" s="21">
        <f ca="1">Horarios!C121</f>
        <v>46207.708333333336</v>
      </c>
      <c r="Y121" s="22">
        <f ca="1">Horarios!C121</f>
        <v>46207.708333333336</v>
      </c>
      <c r="Z121" s="269">
        <f t="shared" si="319"/>
        <v>89</v>
      </c>
      <c r="AA121" s="85" t="str">
        <f t="shared" ca="1" si="320"/>
        <v>Ecuador</v>
      </c>
      <c r="AB121" s="86"/>
      <c r="AC121" s="94">
        <v>3</v>
      </c>
      <c r="AD121" s="94">
        <v>2</v>
      </c>
      <c r="AE121" s="86"/>
      <c r="AF121" s="88" t="str">
        <f t="shared" ca="1" si="321"/>
        <v>Senegal</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Francia</v>
      </c>
      <c r="E122" s="13">
        <v>76</v>
      </c>
      <c r="F122" s="13">
        <v>78</v>
      </c>
      <c r="G122" s="13"/>
      <c r="H122" s="13"/>
      <c r="I122" s="13"/>
      <c r="J122" s="13">
        <v>91</v>
      </c>
      <c r="K122" s="13">
        <v>46208.75</v>
      </c>
      <c r="L122" s="13" t="s">
        <v>715</v>
      </c>
      <c r="M122" s="13" t="str">
        <f t="shared" ca="1" si="318"/>
        <v>Brasil</v>
      </c>
      <c r="N122" s="13" t="str">
        <f t="shared" ca="1" si="318"/>
        <v>Francia</v>
      </c>
      <c r="O122" s="13"/>
      <c r="P122" s="13"/>
      <c r="Q122" s="13"/>
      <c r="R122" s="13"/>
      <c r="S122" s="13"/>
      <c r="T122" s="13"/>
      <c r="U122" s="13"/>
      <c r="V122" s="14"/>
      <c r="W122" s="706"/>
      <c r="X122" s="21">
        <f ca="1">Horarios!C122</f>
        <v>46208.666666666664</v>
      </c>
      <c r="Y122" s="22">
        <f ca="1">Horarios!C122</f>
        <v>46208.666666666664</v>
      </c>
      <c r="Z122" s="269">
        <f t="shared" si="319"/>
        <v>91</v>
      </c>
      <c r="AA122" s="85" t="str">
        <f t="shared" ca="1" si="320"/>
        <v>Brasil</v>
      </c>
      <c r="AB122" s="86"/>
      <c r="AC122" s="94">
        <v>3</v>
      </c>
      <c r="AD122" s="94">
        <v>4</v>
      </c>
      <c r="AE122" s="86"/>
      <c r="AF122" s="88" t="str">
        <f t="shared" ca="1" si="321"/>
        <v>Francia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Noruega</v>
      </c>
      <c r="E123" s="13">
        <v>79</v>
      </c>
      <c r="F123" s="13">
        <v>80</v>
      </c>
      <c r="G123" s="13"/>
      <c r="H123" s="13"/>
      <c r="I123" s="13"/>
      <c r="J123" s="13">
        <v>92</v>
      </c>
      <c r="K123" s="13">
        <v>46208.875</v>
      </c>
      <c r="L123" s="13" t="s">
        <v>716</v>
      </c>
      <c r="M123" s="13" t="str">
        <f t="shared" ca="1" si="318"/>
        <v>Corea del Sur</v>
      </c>
      <c r="N123" s="13" t="str">
        <f t="shared" ca="1" si="318"/>
        <v>Noruega</v>
      </c>
      <c r="O123" s="13"/>
      <c r="P123" s="13"/>
      <c r="Q123" s="13"/>
      <c r="R123" s="13"/>
      <c r="S123" s="13"/>
      <c r="T123" s="13"/>
      <c r="U123" s="13"/>
      <c r="V123" s="14"/>
      <c r="W123" s="706"/>
      <c r="X123" s="21">
        <f ca="1">Horarios!C123</f>
        <v>46208.833333333336</v>
      </c>
      <c r="Y123" s="22">
        <f ca="1">Horarios!C123</f>
        <v>46208.833333333336</v>
      </c>
      <c r="Z123" s="269">
        <f t="shared" si="319"/>
        <v>92</v>
      </c>
      <c r="AA123" s="85" t="str">
        <f t="shared" ca="1" si="320"/>
        <v>Corea del Sur</v>
      </c>
      <c r="AB123" s="86"/>
      <c r="AC123" s="94">
        <v>1</v>
      </c>
      <c r="AD123" s="94">
        <v>2</v>
      </c>
      <c r="AE123" s="86"/>
      <c r="AF123" s="88" t="str">
        <f t="shared" ca="1" si="321"/>
        <v>Noruega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706"/>
      <c r="X124" s="21">
        <f ca="1">Horarios!C124</f>
        <v>46209.625</v>
      </c>
      <c r="Y124" s="22">
        <f ca="1">Horarios!C124</f>
        <v>46209.625</v>
      </c>
      <c r="Z124" s="269">
        <f t="shared" si="319"/>
        <v>93</v>
      </c>
      <c r="AA124" s="85" t="str">
        <f t="shared" ca="1" si="320"/>
        <v>Colombia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Paraguay</v>
      </c>
      <c r="N125" s="13" t="str">
        <f t="shared" ca="1" si="318"/>
        <v>Bélgica</v>
      </c>
      <c r="O125" s="13"/>
      <c r="P125" s="13"/>
      <c r="Q125" s="13"/>
      <c r="R125" s="13"/>
      <c r="S125" s="13"/>
      <c r="T125" s="13"/>
      <c r="U125" s="13"/>
      <c r="V125" s="14"/>
      <c r="W125" s="706"/>
      <c r="X125" s="21">
        <f ca="1">Horarios!C125</f>
        <v>46209.833333333336</v>
      </c>
      <c r="Y125" s="22">
        <f ca="1">Horarios!C125</f>
        <v>46209.833333333336</v>
      </c>
      <c r="Z125" s="269">
        <f t="shared" si="319"/>
        <v>94</v>
      </c>
      <c r="AA125" s="85" t="str">
        <f t="shared" ca="1" si="320"/>
        <v>Paraguay</v>
      </c>
      <c r="AB125" s="86">
        <v>4</v>
      </c>
      <c r="AC125" s="96">
        <v>2</v>
      </c>
      <c r="AD125" s="96">
        <v>2</v>
      </c>
      <c r="AE125" s="86">
        <v>5</v>
      </c>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Irán</v>
      </c>
      <c r="O126" s="13"/>
      <c r="P126" s="13"/>
      <c r="Q126" s="13"/>
      <c r="R126" s="13"/>
      <c r="S126" s="13"/>
      <c r="T126" s="13"/>
      <c r="U126" s="13"/>
      <c r="V126" s="14"/>
      <c r="W126" s="706"/>
      <c r="X126" s="21">
        <f ca="1">Horarios!C126</f>
        <v>46210.5</v>
      </c>
      <c r="Y126" s="22">
        <f ca="1">Horarios!C126</f>
        <v>46210.5</v>
      </c>
      <c r="Z126" s="269">
        <f t="shared" si="319"/>
        <v>95</v>
      </c>
      <c r="AA126" s="85" t="str">
        <f t="shared" ca="1" si="320"/>
        <v>Argentina</v>
      </c>
      <c r="AB126" s="86"/>
      <c r="AC126" s="96">
        <v>3</v>
      </c>
      <c r="AD126" s="96">
        <v>1</v>
      </c>
      <c r="AE126" s="86"/>
      <c r="AF126" s="88" t="str">
        <f t="shared" ca="1" si="321"/>
        <v>Irán</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707"/>
      <c r="X127" s="25">
        <f ca="1">Horarios!C127</f>
        <v>46210.666666666664</v>
      </c>
      <c r="Y127" s="26">
        <f ca="1">Horarios!C127</f>
        <v>46210.666666666664</v>
      </c>
      <c r="Z127" s="270">
        <f t="shared" si="319"/>
        <v>96</v>
      </c>
      <c r="AA127" s="90" t="str">
        <f t="shared" ca="1" si="320"/>
        <v>Suiza</v>
      </c>
      <c r="AB127" s="91"/>
      <c r="AC127" s="97">
        <v>1</v>
      </c>
      <c r="AD127" s="97">
        <v>3</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Ecuador</v>
      </c>
      <c r="E131" s="13">
        <v>89</v>
      </c>
      <c r="F131" s="13">
        <v>90</v>
      </c>
      <c r="G131" s="13"/>
      <c r="H131" s="13"/>
      <c r="I131" s="13"/>
      <c r="J131" s="13">
        <v>97</v>
      </c>
      <c r="K131" s="13">
        <v>46212.75</v>
      </c>
      <c r="L131" s="13" t="s">
        <v>721</v>
      </c>
      <c r="M131" s="13" t="str">
        <f t="shared" ref="M131:N134" ca="1" si="323">+INDEX($D$101:$D$147,MATCH(E131,$AH$101:$AH$147,0))</f>
        <v>Ecuador</v>
      </c>
      <c r="N131" s="13" t="str">
        <f t="shared" ca="1" si="323"/>
        <v>Países Bajos</v>
      </c>
      <c r="O131" s="13"/>
      <c r="P131" s="13"/>
      <c r="Q131" s="13"/>
      <c r="R131" s="13"/>
      <c r="S131" s="13"/>
      <c r="T131" s="13"/>
      <c r="U131" s="13"/>
      <c r="V131" s="14"/>
      <c r="W131" s="708" t="s">
        <v>36</v>
      </c>
      <c r="X131" s="21">
        <f ca="1">Horarios!C131</f>
        <v>46212.666666666664</v>
      </c>
      <c r="Y131" s="22">
        <f ca="1">Horarios!C131</f>
        <v>46212.666666666664</v>
      </c>
      <c r="Z131" s="271">
        <f t="shared" ref="Z131:Z134" si="324">AH131</f>
        <v>97</v>
      </c>
      <c r="AA131" s="85" t="str">
        <f t="shared" ref="AA131:AA134" ca="1" si="325">+INDEX($M$101:$M$147,MATCH(AH131,$J$101:$J$147,0))</f>
        <v>Ecuador</v>
      </c>
      <c r="AB131" s="95"/>
      <c r="AC131" s="93">
        <v>3</v>
      </c>
      <c r="AD131" s="93">
        <v>2</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8"/>
      <c r="X132" s="21">
        <f ca="1">Horarios!C132</f>
        <v>46213.625</v>
      </c>
      <c r="Y132" s="22">
        <f ca="1">Horarios!C132</f>
        <v>46213.625</v>
      </c>
      <c r="Z132" s="271">
        <f t="shared" si="324"/>
        <v>98</v>
      </c>
      <c r="AA132" s="85" t="str">
        <f t="shared" ca="1" si="325"/>
        <v>España</v>
      </c>
      <c r="AB132" s="86"/>
      <c r="AC132" s="96">
        <v>3</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Francia</v>
      </c>
      <c r="E133" s="13">
        <v>91</v>
      </c>
      <c r="F133" s="13">
        <v>92</v>
      </c>
      <c r="G133" s="13"/>
      <c r="H133" s="13"/>
      <c r="I133" s="13"/>
      <c r="J133" s="13">
        <v>99</v>
      </c>
      <c r="K133" s="13">
        <v>46214.75</v>
      </c>
      <c r="L133" s="13" t="s">
        <v>723</v>
      </c>
      <c r="M133" s="13" t="str">
        <f t="shared" ca="1" si="323"/>
        <v>Francia</v>
      </c>
      <c r="N133" s="13" t="str">
        <f t="shared" ca="1" si="323"/>
        <v>Noruega</v>
      </c>
      <c r="O133" s="13"/>
      <c r="P133" s="13"/>
      <c r="Q133" s="13"/>
      <c r="R133" s="13"/>
      <c r="S133" s="13"/>
      <c r="T133" s="13"/>
      <c r="U133" s="13"/>
      <c r="V133" s="14"/>
      <c r="W133" s="708"/>
      <c r="X133" s="21">
        <f ca="1">Horarios!C133</f>
        <v>46214.708333333336</v>
      </c>
      <c r="Y133" s="22">
        <f ca="1">Horarios!C133</f>
        <v>46214.708333333336</v>
      </c>
      <c r="Z133" s="271">
        <f t="shared" si="324"/>
        <v>99</v>
      </c>
      <c r="AA133" s="85" t="str">
        <f t="shared" ca="1" si="325"/>
        <v>Francia</v>
      </c>
      <c r="AB133" s="86"/>
      <c r="AC133" s="96">
        <v>4</v>
      </c>
      <c r="AD133" s="96">
        <v>2</v>
      </c>
      <c r="AE133" s="86"/>
      <c r="AF133" s="113" t="str">
        <f ca="1">+INDEX($N$101:$N$147,MATCH(AH133,$J$101:$J$147,0))</f>
        <v>Noruega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9"/>
      <c r="X134" s="25">
        <f ca="1">Horarios!C134</f>
        <v>46214.875</v>
      </c>
      <c r="Y134" s="26">
        <f ca="1">Horarios!C134</f>
        <v>46214.875</v>
      </c>
      <c r="Z134" s="272">
        <f t="shared" si="324"/>
        <v>100</v>
      </c>
      <c r="AA134" s="90" t="str">
        <f t="shared" ca="1" si="325"/>
        <v>Argentina</v>
      </c>
      <c r="AB134" s="91">
        <v>4</v>
      </c>
      <c r="AC134" s="97">
        <v>2</v>
      </c>
      <c r="AD134" s="97">
        <v>2</v>
      </c>
      <c r="AE134" s="91">
        <v>5</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Ecuador</v>
      </c>
      <c r="I138" s="13"/>
      <c r="J138" s="13">
        <v>101</v>
      </c>
      <c r="K138" s="13">
        <v>46217.875</v>
      </c>
      <c r="L138" s="13" t="s">
        <v>725</v>
      </c>
      <c r="M138" s="13" t="str">
        <f ca="1">+INDEX($D$101:$D$147,MATCH(E138,$AH$101:$AH$147,0))</f>
        <v>Ecuador</v>
      </c>
      <c r="N138" s="13" t="str">
        <f ca="1">+INDEX($D$101:$D$147,MATCH(F138,$AH$101:$AH$147,0))</f>
        <v>España</v>
      </c>
      <c r="O138" s="13"/>
      <c r="P138" s="13"/>
      <c r="Q138" s="13"/>
      <c r="R138" s="13"/>
      <c r="S138" s="13"/>
      <c r="T138" s="13"/>
      <c r="U138" s="13"/>
      <c r="V138" s="14"/>
      <c r="W138" s="710" t="s">
        <v>37</v>
      </c>
      <c r="X138" s="21">
        <f ca="1">Horarios!C138</f>
        <v>46217.625</v>
      </c>
      <c r="Y138" s="22">
        <f ca="1">Horarios!C138</f>
        <v>46217.625</v>
      </c>
      <c r="Z138" s="271">
        <f t="shared" ref="Z138:Z139" si="326">AH138</f>
        <v>101</v>
      </c>
      <c r="AA138" s="85" t="str">
        <f t="shared" ref="AA138:AA139" ca="1" si="327">+INDEX($M$101:$M$147,MATCH(AH138,$J$101:$J$147,0))</f>
        <v>Ecuador</v>
      </c>
      <c r="AB138" s="86">
        <v>4</v>
      </c>
      <c r="AC138" s="98">
        <v>2</v>
      </c>
      <c r="AD138" s="98">
        <v>2</v>
      </c>
      <c r="AE138" s="86">
        <v>5</v>
      </c>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Francia</v>
      </c>
      <c r="I139" s="13"/>
      <c r="J139" s="13">
        <v>102</v>
      </c>
      <c r="K139" s="13">
        <v>46218.875</v>
      </c>
      <c r="L139" s="13" t="s">
        <v>726</v>
      </c>
      <c r="M139" s="13" t="str">
        <f ca="1">+INDEX($D$101:$D$147,MATCH(E139,$AH$101:$AH$147,0))</f>
        <v>Francia</v>
      </c>
      <c r="N139" s="13" t="str">
        <f ca="1">+INDEX($D$101:$D$147,MATCH(F139,$AH$101:$AH$147,0))</f>
        <v>Portugal</v>
      </c>
      <c r="O139" s="13"/>
      <c r="P139" s="13"/>
      <c r="Q139" s="13"/>
      <c r="R139" s="13"/>
      <c r="S139" s="13"/>
      <c r="T139" s="13"/>
      <c r="U139" s="13"/>
      <c r="V139" s="14"/>
      <c r="W139" s="711"/>
      <c r="X139" s="120">
        <f ca="1">Horarios!C139</f>
        <v>46218.625</v>
      </c>
      <c r="Y139" s="121">
        <f ca="1">Horarios!C139</f>
        <v>46218.625</v>
      </c>
      <c r="Z139" s="273">
        <f t="shared" si="326"/>
        <v>102</v>
      </c>
      <c r="AA139" s="136" t="str">
        <f t="shared" ca="1" si="327"/>
        <v>Francia</v>
      </c>
      <c r="AB139" s="137"/>
      <c r="AC139" s="97">
        <v>2</v>
      </c>
      <c r="AD139" s="97">
        <v>3</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Ecuador</v>
      </c>
      <c r="AB143" s="208"/>
      <c r="AC143" s="102">
        <v>2</v>
      </c>
      <c r="AD143" s="102">
        <v>3</v>
      </c>
      <c r="AE143" s="208"/>
      <c r="AF143" s="103" t="str">
        <f ca="1">IF(AND(OR(AC139="",AD139="")),"L102",IF(AC139&gt;AD139,AF139,IF(AC139&lt;AD139,AA139,IF(AND(AC139=AD139,AB139=AE139),"L102",IF(AND(AC139=AD139,OR(AB139="",AE139="")),"L102",IF(AND(AC139=AD139,AB139&gt;AE139),AF139,AA139))))))</f>
        <v>Francia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España</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v>4</v>
      </c>
      <c r="AC147" s="102">
        <v>2</v>
      </c>
      <c r="AD147" s="102">
        <v>2</v>
      </c>
      <c r="AE147" s="208">
        <v>5</v>
      </c>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España</v>
      </c>
      <c r="AB151" s="108"/>
      <c r="AC151" s="108"/>
      <c r="AD151" s="108"/>
      <c r="AE151" s="108"/>
      <c r="AF151" s="104"/>
      <c r="AG151" s="315">
        <f ca="1">IF(AA151="LF",0,1)</f>
        <v>1</v>
      </c>
      <c r="AH151" s="180"/>
      <c r="AI151" s="180"/>
      <c r="AJ151" s="674" t="str">
        <f ca="1">IF(SUM(COUNTIF(AG4:AG97,0),COUNTIF(AG101:AG160,0)&gt;0),AL148,AL149)</f>
        <v>PORRA COMPLETA:</v>
      </c>
      <c r="AK151" s="675"/>
      <c r="AL151" s="675"/>
      <c r="AM151" s="675"/>
      <c r="AN151" s="675"/>
      <c r="AO151" s="675"/>
      <c r="AP151" s="675"/>
      <c r="AQ151" s="675"/>
      <c r="AR151" s="675"/>
      <c r="AS151" s="675"/>
      <c r="AT151" s="675"/>
      <c r="AU151" s="676"/>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77"/>
      <c r="AK152" s="678"/>
      <c r="AL152" s="678"/>
      <c r="AM152" s="678"/>
      <c r="AN152" s="678"/>
      <c r="AO152" s="678"/>
      <c r="AP152" s="678"/>
      <c r="AQ152" s="678"/>
      <c r="AR152" s="678"/>
      <c r="AS152" s="678"/>
      <c r="AT152" s="678"/>
      <c r="AU152" s="679"/>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77"/>
      <c r="AK153" s="678"/>
      <c r="AL153" s="678"/>
      <c r="AM153" s="678"/>
      <c r="AN153" s="678"/>
      <c r="AO153" s="678"/>
      <c r="AP153" s="678"/>
      <c r="AQ153" s="678"/>
      <c r="AR153" s="678"/>
      <c r="AS153" s="678"/>
      <c r="AT153" s="678"/>
      <c r="AU153" s="679"/>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1524</v>
      </c>
      <c r="AB154" s="386"/>
      <c r="AC154" s="386"/>
      <c r="AD154" s="386"/>
      <c r="AE154" s="386"/>
      <c r="AF154" s="387"/>
      <c r="AG154" s="315">
        <f>IF(AA154=$AH$154,0,IF(AA154="",0,1))</f>
        <v>1</v>
      </c>
      <c r="AH154" s="191" t="str">
        <f>Idiomas!D43</f>
        <v>Escribe un jugador</v>
      </c>
      <c r="AI154" s="180"/>
      <c r="AJ154" s="677"/>
      <c r="AK154" s="678"/>
      <c r="AL154" s="678"/>
      <c r="AM154" s="678"/>
      <c r="AN154" s="678"/>
      <c r="AO154" s="678"/>
      <c r="AP154" s="678"/>
      <c r="AQ154" s="678"/>
      <c r="AR154" s="678"/>
      <c r="AS154" s="678"/>
      <c r="AT154" s="678"/>
      <c r="AU154" s="679"/>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1522</v>
      </c>
      <c r="AB155" s="388"/>
      <c r="AC155" s="388"/>
      <c r="AD155" s="388"/>
      <c r="AE155" s="388"/>
      <c r="AF155" s="389"/>
      <c r="AG155" s="315">
        <f>IF(AA155=$AH$154,0,IF(AA155="",0,1))</f>
        <v>1</v>
      </c>
      <c r="AH155" s="180"/>
      <c r="AI155" s="180"/>
      <c r="AJ155" s="686" t="str">
        <f ca="1">IF(SUM(COUNTIF(AG4:AG97,0),COUNTIF(AG101:AG160,0)&gt;0),AM148,AM149)</f>
        <v>Guarda el archivo y envialo al administrador de tu porra</v>
      </c>
      <c r="AK155" s="687"/>
      <c r="AL155" s="687"/>
      <c r="AM155" s="687"/>
      <c r="AN155" s="687"/>
      <c r="AO155" s="687"/>
      <c r="AP155" s="687"/>
      <c r="AQ155" s="687"/>
      <c r="AR155" s="687"/>
      <c r="AS155" s="687"/>
      <c r="AT155" s="687"/>
      <c r="AU155" s="688"/>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1523</v>
      </c>
      <c r="AB156" s="390"/>
      <c r="AC156" s="390"/>
      <c r="AD156" s="390"/>
      <c r="AE156" s="390"/>
      <c r="AF156" s="391"/>
      <c r="AG156" s="315">
        <f>IF(AA156=$AH$154,0,IF(AA156="",0,1))</f>
        <v>1</v>
      </c>
      <c r="AH156" s="180"/>
      <c r="AI156" s="180"/>
      <c r="AJ156" s="686"/>
      <c r="AK156" s="687"/>
      <c r="AL156" s="687"/>
      <c r="AM156" s="687"/>
      <c r="AN156" s="687"/>
      <c r="AO156" s="687"/>
      <c r="AP156" s="687"/>
      <c r="AQ156" s="687"/>
      <c r="AR156" s="687"/>
      <c r="AS156" s="687"/>
      <c r="AT156" s="687"/>
      <c r="AU156" s="688"/>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9"/>
      <c r="AK157" s="690"/>
      <c r="AL157" s="690"/>
      <c r="AM157" s="690"/>
      <c r="AN157" s="690"/>
      <c r="AO157" s="690"/>
      <c r="AP157" s="690"/>
      <c r="AQ157" s="690"/>
      <c r="AR157" s="690"/>
      <c r="AS157" s="690"/>
      <c r="AT157" s="690"/>
      <c r="AU157" s="691"/>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1527</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1525</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1526</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61" t="s">
        <v>1520</v>
      </c>
      <c r="X162" s="662"/>
      <c r="Y162" s="662"/>
      <c r="Z162" s="662"/>
      <c r="AA162" s="656" t="s">
        <v>1527</v>
      </c>
      <c r="AB162" s="656"/>
      <c r="AC162" s="656"/>
      <c r="AD162" s="656"/>
      <c r="AE162" s="656"/>
      <c r="AF162" s="656"/>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67" t="s">
        <v>1516</v>
      </c>
      <c r="X163" s="668"/>
      <c r="Y163" s="668"/>
      <c r="Z163" s="668"/>
      <c r="AA163" s="665" t="s">
        <v>1528</v>
      </c>
      <c r="AB163" s="665"/>
      <c r="AC163" s="665"/>
      <c r="AD163" s="665"/>
      <c r="AE163" s="665"/>
      <c r="AF163" s="666"/>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9" t="s">
        <v>1517</v>
      </c>
      <c r="X164" s="660"/>
      <c r="Y164" s="660"/>
      <c r="Z164" s="660"/>
      <c r="AA164" s="657" t="s">
        <v>1525</v>
      </c>
      <c r="AB164" s="657"/>
      <c r="AC164" s="657"/>
      <c r="AD164" s="657"/>
      <c r="AE164" s="657"/>
      <c r="AF164" s="658"/>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61" t="s">
        <v>1518</v>
      </c>
      <c r="X166" s="662"/>
      <c r="Y166" s="662"/>
      <c r="Z166" s="662"/>
      <c r="AA166" s="656" t="s">
        <v>1529</v>
      </c>
      <c r="AB166" s="656"/>
      <c r="AC166" s="656"/>
      <c r="AD166" s="656"/>
      <c r="AE166" s="656"/>
      <c r="AF166" s="656"/>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63" t="s">
        <v>1519</v>
      </c>
      <c r="X167" s="664"/>
      <c r="Y167" s="664"/>
      <c r="Z167" s="664"/>
      <c r="AA167" s="657" t="s">
        <v>77</v>
      </c>
      <c r="AB167" s="657"/>
      <c r="AC167" s="657"/>
      <c r="AD167" s="657"/>
      <c r="AE167" s="657"/>
      <c r="AF167" s="658"/>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Enmanuel Subero</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1|2-1</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1|2-1</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2|1-3</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1|3-2</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2|0-3</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X|2-2</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2|1-3</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1|6-0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2|2-3</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X|2-2</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1|2-1</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1|3-1</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1|2-1</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1|7-0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2|1-3</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2|2-3</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2|1-2</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1|3-1</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1|2-1</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1|4-0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2|1-3</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2|1-2</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1|2-1</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1|2-1</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X|2-2</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2|1-3</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1|5-0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2|1-2</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X|2-2</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1|4-0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1|3-1</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2|1-2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1|3-1</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2|1-2</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1|3-0</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1|4-0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1|4-1</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X|2-2</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2|0-3</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1|4-1</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1|3-1</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1|3-1</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2|1-4</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2|1-2</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2|0-2</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X|2-2</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X|1-1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2|1-3</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1|4-0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X|2-2</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1|2-1</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2|1-4</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1|2-1</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2|1-3</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2|1-2</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2|0-4</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2|0-2</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2|2-3</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2|2-4</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1|3-1</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X|2-2</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2|0-4</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2|2-3</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X|2-2</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2|1-4</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1|3-2</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Corea del Sur</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México</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República Checa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Paraguay</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Estados Unidos</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Turquía</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Ecuador</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Alemania</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Irán</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Egipto</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Nueva Zelanda</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Senegal</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Francia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Noruega</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Argelia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Austria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Uzbekistán</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RD Congo</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Croacia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Inglaterra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México</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Ecuador</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Alemania</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Senegal</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Corea del Sur</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Croacia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Paraguay</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Estados Unidos</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Turquía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Francia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Suecia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Escocia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Noruega</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República Checa</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Costa de Marfil</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Argelia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Inglaterra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Austria</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Irán</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Ghana</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México-Canadá</v>
      </c>
      <c r="C164" s="337" t="str">
        <f ca="1">CONCATENATE(WORLDCUP!AA101,"-",WORLDCUP!AF101,"·",IF(WORLDCUP!AC101&gt;WORLDCUP!AD101,1,IF(WORLDCUP!AC101&lt;WORLDCUP!AD101,2,IF(AND(WORLDCUP!AC101=WORLDCUP!AD101,WORLDCUP!AC101&lt;&gt;"",WORLDCUP!AD101&lt;&gt;""),"X",0))),"|",WORLDCUP!AC101,"-",WORLDCUP!AD101)</f>
        <v>México-Canadá·1|2-1</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Brasil-Japón·1|3-2</v>
      </c>
      <c r="D165" s="735"/>
      <c r="E165" s="721"/>
      <c r="F165" s="721"/>
      <c r="G165" s="721"/>
      <c r="H165" s="721"/>
      <c r="I165" s="340"/>
      <c r="J165" s="358"/>
      <c r="K165" s="358"/>
      <c r="L165" s="358"/>
      <c r="M165" s="374"/>
      <c r="N165" s="365"/>
    </row>
    <row r="166" spans="1:14" ht="15" customHeight="1">
      <c r="A166" s="732"/>
      <c r="B166" s="348" t="str">
        <f ca="1">CONCATENATE(WORLDCUP!AA103,"-",WORLDCUP!AF103)</f>
        <v>Ecuador-Turquía</v>
      </c>
      <c r="C166" s="337" t="str">
        <f ca="1">CONCATENATE(WORLDCUP!AA103,"-",WORLDCUP!AF103,"·",IF(WORLDCUP!AC103&gt;WORLDCUP!AD103,1,IF(WORLDCUP!AC103&lt;WORLDCUP!AD103,2,IF(AND(WORLDCUP!AC103=WORLDCUP!AD103,WORLDCUP!AC103&lt;&gt;"",WORLDCUP!AD103&lt;&gt;""),"X",0))),"|",WORLDCUP!AC103,"-",WORLDCUP!AD103)</f>
        <v>Ecuador-Turquía·1|3-1</v>
      </c>
      <c r="D166" s="735"/>
      <c r="E166" s="721"/>
      <c r="F166" s="721"/>
      <c r="G166" s="721"/>
      <c r="H166" s="721"/>
      <c r="I166" s="340"/>
      <c r="J166" s="358"/>
      <c r="K166" s="358"/>
      <c r="L166" s="358"/>
      <c r="M166" s="374"/>
      <c r="N166" s="365"/>
    </row>
    <row r="167" spans="1:14" ht="15" customHeight="1">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Bajos-Marruecos·X|2-2</v>
      </c>
      <c r="D167" s="735"/>
      <c r="E167" s="721"/>
      <c r="F167" s="721"/>
      <c r="G167" s="721"/>
      <c r="H167" s="721"/>
      <c r="I167" s="340"/>
      <c r="J167" s="358"/>
      <c r="K167" s="358"/>
      <c r="L167" s="358"/>
      <c r="M167" s="374"/>
      <c r="N167" s="365"/>
    </row>
    <row r="168" spans="1:14" ht="15" customHeight="1">
      <c r="A168" s="732"/>
      <c r="B168" s="348" t="str">
        <f ca="1">CONCATENATE(WORLDCUP!AA105,"-",WORLDCUP!AF105)</f>
        <v>Alemania-Francia</v>
      </c>
      <c r="C168" s="337" t="str">
        <f ca="1">CONCATENATE(WORLDCUP!AA105,"-",WORLDCUP!AF105,"·",IF(WORLDCUP!AC105&gt;WORLDCUP!AD105,1,IF(WORLDCUP!AC105&lt;WORLDCUP!AD105,2,IF(AND(WORLDCUP!AC105=WORLDCUP!AD105,WORLDCUP!AC105&lt;&gt;"",WORLDCUP!AD105&lt;&gt;""),"X",0))),"|",WORLDCUP!AC105,"-",WORLDCUP!AD105)</f>
        <v>Alemania-Francia·2|2-4</v>
      </c>
      <c r="D168" s="735"/>
      <c r="E168" s="358"/>
      <c r="F168" s="358"/>
      <c r="G168" s="358"/>
      <c r="H168" s="358"/>
      <c r="I168" s="340"/>
      <c r="J168" s="358"/>
      <c r="K168" s="358"/>
      <c r="L168" s="358"/>
      <c r="M168" s="374"/>
      <c r="N168" s="365"/>
    </row>
    <row r="169" spans="1:14" ht="15" customHeight="1">
      <c r="A169" s="732"/>
      <c r="B169" s="348" t="str">
        <f ca="1">CONCATENATE(WORLDCUP!AA106,"-",WORLDCUP!AF106)</f>
        <v>Senegal-Suecia</v>
      </c>
      <c r="C169" s="337" t="str">
        <f ca="1">CONCATENATE(WORLDCUP!AA106,"-",WORLDCUP!AF106,"·",IF(WORLDCUP!AC106&gt;WORLDCUP!AD106,1,IF(WORLDCUP!AC106&lt;WORLDCUP!AD106,2,IF(AND(WORLDCUP!AC106=WORLDCUP!AD106,WORLDCUP!AC106&lt;&gt;"",WORLDCUP!AD106&lt;&gt;""),"X",0))),"|",WORLDCUP!AC106,"-",WORLDCUP!AD106)</f>
        <v>Senegal-Suecia·1|3-1</v>
      </c>
      <c r="D169" s="735"/>
      <c r="E169" s="358"/>
      <c r="F169" s="358"/>
      <c r="G169" s="358"/>
      <c r="H169" s="358"/>
      <c r="I169" s="340"/>
      <c r="J169" s="358"/>
      <c r="K169" s="358"/>
      <c r="L169" s="358"/>
      <c r="M169" s="374"/>
      <c r="N169" s="365"/>
    </row>
    <row r="170" spans="1:14" ht="15" customHeight="1">
      <c r="A170" s="732"/>
      <c r="B170" s="348" t="str">
        <f ca="1">CONCATENATE(WORLDCUP!AA107,"-",WORLDCUP!AF107)</f>
        <v>Corea del Sur-Escocia</v>
      </c>
      <c r="C170" s="337" t="str">
        <f ca="1">CONCATENATE(WORLDCUP!AA107,"-",WORLDCUP!AF107,"·",IF(WORLDCUP!AC107&gt;WORLDCUP!AD107,1,IF(WORLDCUP!AC107&lt;WORLDCUP!AD107,2,IF(AND(WORLDCUP!AC107=WORLDCUP!AD107,WORLDCUP!AC107&lt;&gt;"",WORLDCUP!AD107&lt;&gt;""),"X",0))),"|",WORLDCUP!AC107,"-",WORLDCUP!AD107)</f>
        <v>Corea del Sur-Escocia·1|2-1</v>
      </c>
      <c r="D170" s="735"/>
      <c r="E170" s="358"/>
      <c r="F170" s="358"/>
      <c r="G170" s="358"/>
      <c r="H170" s="358"/>
      <c r="I170" s="340"/>
      <c r="J170" s="358"/>
      <c r="K170" s="358"/>
      <c r="L170" s="358"/>
      <c r="M170" s="374"/>
      <c r="N170" s="365"/>
    </row>
    <row r="171" spans="1:14" ht="15" customHeight="1">
      <c r="A171" s="732"/>
      <c r="B171" s="348" t="str">
        <f ca="1">CONCATENATE(WORLDCUP!AA108,"-",WORLDCUP!AF108)</f>
        <v>Croacia-Noruega</v>
      </c>
      <c r="C171" s="337" t="str">
        <f ca="1">CONCATENATE(WORLDCUP!AA108,"-",WORLDCUP!AF108,"·",IF(WORLDCUP!AC108&gt;WORLDCUP!AD108,1,IF(WORLDCUP!AC108&lt;WORLDCUP!AD108,2,IF(AND(WORLDCUP!AC108=WORLDCUP!AD108,WORLDCUP!AC108&lt;&gt;"",WORLDCUP!AD108&lt;&gt;""),"X",0))),"|",WORLDCUP!AC108,"-",WORLDCUP!AD108)</f>
        <v>Croacia-Noruega·X|2-2</v>
      </c>
      <c r="D171" s="735"/>
      <c r="E171" s="358"/>
      <c r="F171" s="358"/>
      <c r="G171" s="358"/>
      <c r="H171" s="358"/>
      <c r="I171" s="340"/>
      <c r="J171" s="358"/>
      <c r="K171" s="358"/>
      <c r="L171" s="358"/>
      <c r="M171" s="374"/>
      <c r="N171" s="365"/>
    </row>
    <row r="172" spans="1:14" ht="15" customHeight="1">
      <c r="A172" s="732"/>
      <c r="B172" s="348" t="str">
        <f ca="1">CONCATENATE(WORLDCUP!AA109,"-",WORLDCUP!AF109)</f>
        <v>Bélgica-República Checa</v>
      </c>
      <c r="C172" s="337" t="str">
        <f ca="1">CONCATENATE(WORLDCUP!AA109,"-",WORLDCUP!AF109,"·",IF(WORLDCUP!AC109&gt;WORLDCUP!AD109,1,IF(WORLDCUP!AC109&lt;WORLDCUP!AD109,2,IF(AND(WORLDCUP!AC109=WORLDCUP!AD109,WORLDCUP!AC109&lt;&gt;"",WORLDCUP!AD109&lt;&gt;""),"X",0))),"|",WORLDCUP!AC109,"-",WORLDCUP!AD109)</f>
        <v>Bélgica-República Checa·1|3-1</v>
      </c>
      <c r="D172" s="735"/>
      <c r="E172" s="358"/>
      <c r="F172" s="358"/>
      <c r="G172" s="358"/>
      <c r="H172" s="358"/>
      <c r="I172" s="340"/>
      <c r="J172" s="358"/>
      <c r="K172" s="358"/>
      <c r="L172" s="358"/>
      <c r="M172" s="374"/>
      <c r="N172" s="365"/>
    </row>
    <row r="173" spans="1:14" ht="15" customHeight="1">
      <c r="A173" s="732"/>
      <c r="B173" s="348" t="str">
        <f ca="1">CONCATENATE(WORLDCUP!AA110,"-",WORLDCUP!AF110)</f>
        <v>Paraguay-Costa de Marfil</v>
      </c>
      <c r="C173" s="337" t="str">
        <f ca="1">CONCATENATE(WORLDCUP!AA110,"-",WORLDCUP!AF110,"·",IF(WORLDCUP!AC110&gt;WORLDCUP!AD110,1,IF(WORLDCUP!AC110&lt;WORLDCUP!AD110,2,IF(AND(WORLDCUP!AC110=WORLDCUP!AD110,WORLDCUP!AC110&lt;&gt;"",WORLDCUP!AD110&lt;&gt;""),"X",0))),"|",WORLDCUP!AC110,"-",WORLDCUP!AD110)</f>
        <v>Paraguay-Costa de Marfil·X|2-2</v>
      </c>
      <c r="D173" s="735"/>
      <c r="E173" s="358"/>
      <c r="F173" s="358"/>
      <c r="G173" s="358"/>
      <c r="H173" s="358"/>
      <c r="I173" s="340"/>
      <c r="J173" s="358"/>
      <c r="K173" s="358"/>
      <c r="L173" s="358"/>
      <c r="M173" s="374"/>
      <c r="N173" s="365"/>
    </row>
    <row r="174" spans="1:14" ht="15" customHeight="1">
      <c r="A174" s="732"/>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España-Argelia·1|4-1</v>
      </c>
      <c r="D174" s="735"/>
      <c r="E174" s="358"/>
      <c r="F174" s="358"/>
      <c r="G174" s="358"/>
      <c r="H174" s="358"/>
      <c r="I174" s="340"/>
      <c r="J174" s="358"/>
      <c r="K174" s="358"/>
      <c r="L174" s="358"/>
      <c r="M174" s="374"/>
      <c r="N174" s="365"/>
    </row>
    <row r="175" spans="1:14" ht="15" customHeight="1">
      <c r="A175" s="732"/>
      <c r="B175" s="348" t="str">
        <f ca="1">CONCATENATE(WORLDCUP!AA112,"-",WORLDCUP!AF112)</f>
        <v>Colombia-Inglaterra</v>
      </c>
      <c r="C175" s="337" t="str">
        <f ca="1">CONCATENATE(WORLDCUP!AA112,"-",WORLDCUP!AF112,"·",IF(WORLDCUP!AC112&gt;WORLDCUP!AD112,1,IF(WORLDCUP!AC112&lt;WORLDCUP!AD112,2,IF(AND(WORLDCUP!AC112=WORLDCUP!AD112,WORLDCUP!AC112&lt;&gt;"",WORLDCUP!AD112&lt;&gt;""),"X",0))),"|",WORLDCUP!AC112,"-",WORLDCUP!AD112)</f>
        <v>Colombia-Inglaterra·1|3-2</v>
      </c>
      <c r="D175" s="735"/>
      <c r="E175" s="358"/>
      <c r="F175" s="358"/>
      <c r="G175" s="358"/>
      <c r="H175" s="358"/>
      <c r="I175" s="340"/>
      <c r="J175" s="358"/>
      <c r="K175" s="358"/>
      <c r="L175" s="358"/>
      <c r="M175" s="374"/>
      <c r="N175" s="365"/>
    </row>
    <row r="176" spans="1:14" ht="15" customHeight="1">
      <c r="A176" s="732"/>
      <c r="B176" s="348" t="str">
        <f ca="1">CONCATENATE(WORLDCUP!AA113,"-",WORLDCUP!AF113)</f>
        <v>Suiza-Austria</v>
      </c>
      <c r="C176" s="337" t="str">
        <f ca="1">CONCATENATE(WORLDCUP!AA113,"-",WORLDCUP!AF113,"·",IF(WORLDCUP!AC113&gt;WORLDCUP!AD113,1,IF(WORLDCUP!AC113&lt;WORLDCUP!AD113,2,IF(AND(WORLDCUP!AC113=WORLDCUP!AD113,WORLDCUP!AC113&lt;&gt;"",WORLDCUP!AD113&lt;&gt;""),"X",0))),"|",WORLDCUP!AC113,"-",WORLDCUP!AD113)</f>
        <v>Suiza-Austria·1|2-1</v>
      </c>
      <c r="D176" s="735"/>
      <c r="E176" s="358"/>
      <c r="F176" s="358"/>
      <c r="G176" s="358"/>
      <c r="H176" s="358"/>
      <c r="I176" s="340"/>
      <c r="J176" s="358"/>
      <c r="K176" s="358"/>
      <c r="L176" s="358"/>
      <c r="M176" s="374"/>
      <c r="N176" s="365"/>
    </row>
    <row r="177" spans="1:14" ht="15" customHeight="1">
      <c r="A177" s="732"/>
      <c r="B177" s="348" t="str">
        <f ca="1">CONCATENATE(WORLDCUP!AA114,"-",WORLDCUP!AF114)</f>
        <v>Estados Unidos-Irán</v>
      </c>
      <c r="C177" s="337" t="str">
        <f ca="1">CONCATENATE(WORLDCUP!AA114,"-",WORLDCUP!AF114,"·",IF(WORLDCUP!AC114&gt;WORLDCUP!AD114,1,IF(WORLDCUP!AC114&lt;WORLDCUP!AD114,2,IF(AND(WORLDCUP!AC114=WORLDCUP!AD114,WORLDCUP!AC114&lt;&gt;"",WORLDCUP!AD114&lt;&gt;""),"X",0))),"|",WORLDCUP!AC114,"-",WORLDCUP!AD114)</f>
        <v>Estados Unidos-Irán·X|2-2</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Argentina-Uruguay·1|3-2</v>
      </c>
      <c r="D178" s="735"/>
      <c r="E178" s="358"/>
      <c r="F178" s="358"/>
      <c r="G178" s="358"/>
      <c r="H178" s="358"/>
      <c r="I178" s="340"/>
      <c r="J178" s="358"/>
      <c r="K178" s="358"/>
      <c r="L178" s="358"/>
      <c r="M178" s="374"/>
      <c r="N178" s="365"/>
    </row>
    <row r="179" spans="1:14" ht="15" customHeight="1">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Portugal-Ghana·1|3-1</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México</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Ecuador</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Corea del Sur</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Paraguay</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Senegal</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Francia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Noruega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Irán</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México-Países Bajos</v>
      </c>
      <c r="C200" s="339" t="str">
        <f ca="1">CONCATENATE(WORLDCUP!AA120,"-",WORLDCUP!AF120,"·",IF(WORLDCUP!AC120&gt;WORLDCUP!AD120,1,IF(WORLDCUP!AC120&lt;WORLDCUP!AD120,2,IF(AND(WORLDCUP!AC120=WORLDCUP!AD120,WORLDCUP!AC120&lt;&gt;"",WORLDCUP!AD120&lt;&gt;""),"X",0))),"|",WORLDCUP!AC120,"-",WORLDCUP!AD120)</f>
        <v>México-Países Bajos·2|1-3</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Ecuador-Senegal</v>
      </c>
      <c r="C201" s="339" t="str">
        <f ca="1">CONCATENATE(WORLDCUP!AA121,"-",WORLDCUP!AF121,"·",IF(WORLDCUP!AC121&gt;WORLDCUP!AD121,1,IF(WORLDCUP!AC121&lt;WORLDCUP!AD121,2,IF(AND(WORLDCUP!AC121=WORLDCUP!AD121,WORLDCUP!AC121&lt;&gt;"",WORLDCUP!AD121&lt;&gt;""),"X",0))),"|",WORLDCUP!AC121,"-",WORLDCUP!AD121)</f>
        <v>Ecuador-Senegal·1|3-2</v>
      </c>
      <c r="D201" s="715"/>
      <c r="E201" s="714"/>
      <c r="F201" s="714"/>
      <c r="G201" s="714"/>
      <c r="H201" s="714"/>
      <c r="I201" s="340"/>
      <c r="J201" s="358"/>
      <c r="K201" s="358"/>
      <c r="L201" s="358"/>
      <c r="M201" s="374"/>
      <c r="N201" s="365"/>
    </row>
    <row r="202" spans="1:14" ht="15" customHeight="1">
      <c r="A202" s="732"/>
      <c r="B202" s="349" t="str">
        <f ca="1">CONCATENATE(WORLDCUP!AA122,"-",WORLDCUP!AF122)</f>
        <v>Brasil-Francia</v>
      </c>
      <c r="C202" s="339" t="str">
        <f ca="1">CONCATENATE(WORLDCUP!AA122,"-",WORLDCUP!AF122,"·",IF(WORLDCUP!AC122&gt;WORLDCUP!AD122,1,IF(WORLDCUP!AC122&lt;WORLDCUP!AD122,2,IF(AND(WORLDCUP!AC122=WORLDCUP!AD122,WORLDCUP!AC122&lt;&gt;"",WORLDCUP!AD122&lt;&gt;""),"X",0))),"|",WORLDCUP!AC122,"-",WORLDCUP!AD122)</f>
        <v>Brasil-Francia·2|3-4</v>
      </c>
      <c r="D202" s="715"/>
      <c r="E202" s="714"/>
      <c r="F202" s="714"/>
      <c r="G202" s="714"/>
      <c r="H202" s="714"/>
      <c r="I202" s="340"/>
      <c r="J202" s="358"/>
      <c r="K202" s="358"/>
      <c r="L202" s="358"/>
      <c r="M202" s="374"/>
      <c r="N202" s="365"/>
    </row>
    <row r="203" spans="1:14" ht="15" customHeight="1">
      <c r="A203" s="732"/>
      <c r="B203" s="349" t="str">
        <f ca="1">CONCATENATE(WORLDCUP!AA123,"-",WORLDCUP!AF123)</f>
        <v>Corea del Sur-Noruega</v>
      </c>
      <c r="C203" s="339" t="str">
        <f ca="1">CONCATENATE(WORLDCUP!AA123,"-",WORLDCUP!AF123,"·",IF(WORLDCUP!AC123&gt;WORLDCUP!AD123,1,IF(WORLDCUP!AC123&lt;WORLDCUP!AD123,2,IF(AND(WORLDCUP!AC123=WORLDCUP!AD123,WORLDCUP!AC123&lt;&gt;"",WORLDCUP!AD123&lt;&gt;""),"X",0))),"|",WORLDCUP!AC123,"-",WORLDCUP!AD123)</f>
        <v>Corea del Sur-Noruega·2|1-2</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Colombia-España·2|2-3</v>
      </c>
      <c r="D204" s="715"/>
      <c r="E204" s="340"/>
      <c r="F204" s="340"/>
      <c r="G204" s="340"/>
      <c r="H204" s="340"/>
      <c r="I204" s="340"/>
      <c r="J204" s="358"/>
      <c r="K204" s="358"/>
      <c r="L204" s="358"/>
      <c r="M204" s="374"/>
      <c r="N204" s="365"/>
    </row>
    <row r="205" spans="1:14" ht="15" customHeight="1">
      <c r="A205" s="732"/>
      <c r="B205" s="349" t="str">
        <f ca="1">CONCATENATE(WORLDCUP!AA125,"-",WORLDCUP!AF125)</f>
        <v>Paraguay-Bélgica</v>
      </c>
      <c r="C205" s="339" t="str">
        <f ca="1">CONCATENATE(WORLDCUP!AA125,"-",WORLDCUP!AF125,"·",IF(WORLDCUP!AC125&gt;WORLDCUP!AD125,1,IF(WORLDCUP!AC125&lt;WORLDCUP!AD125,2,IF(AND(WORLDCUP!AC125=WORLDCUP!AD125,WORLDCUP!AC125&lt;&gt;"",WORLDCUP!AD125&lt;&gt;""),"X",0))),"|",WORLDCUP!AC125,"-",WORLDCUP!AD125)</f>
        <v>Paraguay-Bélgica·X|2-2</v>
      </c>
      <c r="D205" s="715"/>
      <c r="E205" s="340"/>
      <c r="F205" s="340"/>
      <c r="G205" s="340"/>
      <c r="H205" s="340"/>
      <c r="I205" s="340"/>
      <c r="J205" s="358"/>
      <c r="K205" s="358"/>
      <c r="L205" s="358"/>
      <c r="M205" s="374"/>
      <c r="N205" s="365"/>
    </row>
    <row r="206" spans="1:14" ht="15" customHeight="1">
      <c r="A206" s="732"/>
      <c r="B206" s="349" t="str">
        <f ca="1">CONCATENATE(WORLDCUP!AA126,"-",WORLDCUP!AF126)</f>
        <v>Argentina-Irán</v>
      </c>
      <c r="C206" s="339" t="str">
        <f ca="1">CONCATENATE(WORLDCUP!AA126,"-",WORLDCUP!AF126,"·",IF(WORLDCUP!AC126&gt;WORLDCUP!AD126,1,IF(WORLDCUP!AC126&lt;WORLDCUP!AD126,2,IF(AND(WORLDCUP!AC126=WORLDCUP!AD126,WORLDCUP!AC126&lt;&gt;"",WORLDCUP!AD126&lt;&gt;""),"X",0))),"|",WORLDCUP!AC126,"-",WORLDCUP!AD126)</f>
        <v>Argentina-Irán·1|3-1</v>
      </c>
      <c r="D206" s="715"/>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Suiza-Portugal·2|1-3</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Ecuador</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Francia</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Noruega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Ecuador-Países Bajos</v>
      </c>
      <c r="C220" s="337" t="str">
        <f ca="1">CONCATENATE(WORLDCUP!AA131,"-",WORLDCUP!AF131,"·",IF(WORLDCUP!AC131&gt;WORLDCUP!AD131,1,IF(WORLDCUP!AC131&lt;WORLDCUP!AD131,2,IF(AND(WORLDCUP!AC131=WORLDCUP!AD131,WORLDCUP!AC131&lt;&gt;"",WORLDCUP!AD131&lt;&gt;""),"X",0))),"|",WORLDCUP!AC131,"-",WORLDCUP!AD131)</f>
        <v>Ecuador-Países Bajos·1|3-2</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España-Bélgica·1|3-1</v>
      </c>
      <c r="D221" s="735"/>
      <c r="E221" s="714"/>
      <c r="F221" s="714"/>
      <c r="G221" s="714"/>
      <c r="H221" s="714"/>
      <c r="I221" s="340"/>
      <c r="J221" s="358"/>
      <c r="K221" s="358"/>
      <c r="L221" s="358"/>
      <c r="M221" s="374"/>
      <c r="N221" s="365"/>
    </row>
    <row r="222" spans="1:14" ht="15" customHeight="1">
      <c r="A222" s="732"/>
      <c r="B222" s="348" t="str">
        <f ca="1">CONCATENATE(WORLDCUP!AA133,"-",WORLDCUP!AF133)</f>
        <v>Francia-Noruega</v>
      </c>
      <c r="C222" s="337" t="str">
        <f ca="1">CONCATENATE(WORLDCUP!AA133,"-",WORLDCUP!AF133,"·",IF(WORLDCUP!AC133&gt;WORLDCUP!AD133,1,IF(WORLDCUP!AC133&lt;WORLDCUP!AD133,2,IF(AND(WORLDCUP!AC133=WORLDCUP!AD133,WORLDCUP!AC133&lt;&gt;"",WORLDCUP!AD133&lt;&gt;""),"X",0))),"|",WORLDCUP!AC133,"-",WORLDCUP!AD133)</f>
        <v>Francia-Noruega·1|4-2</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Ecuador</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Francia</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Ecuador-España</v>
      </c>
      <c r="C232" s="339" t="str">
        <f ca="1">CONCATENATE(WORLDCUP!AA138,"-",WORLDCUP!AF138,"·",IF(WORLDCUP!AC138&gt;WORLDCUP!AD138,1,IF(WORLDCUP!AC138&lt;WORLDCUP!AD138,2,IF(AND(WORLDCUP!AC138=WORLDCUP!AD138,WORLDCUP!AC138&lt;&gt;"",WORLDCUP!AD138&lt;&gt;""),"X",0))),"|",WORLDCUP!AC138,"-",WORLDCUP!AD138)</f>
        <v>Ecuador-España·X|2-2</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Francia-Portugal</v>
      </c>
      <c r="C233" s="339" t="str">
        <f ca="1">CONCATENATE(WORLDCUP!AA139,"-",WORLDCUP!AF139,"·",IF(WORLDCUP!AC139&gt;WORLDCUP!AD139,1,IF(WORLDCUP!AC139&lt;WORLDCUP!AD139,2,IF(AND(WORLDCUP!AC139=WORLDCUP!AD139,WORLDCUP!AC139&lt;&gt;"",WORLDCUP!AD139&lt;&gt;""),"X",0))),"|",WORLDCUP!AC139,"-",WORLDCUP!AD139)</f>
        <v>Francia-Portugal·2|2-3</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Ecuador</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Francia</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España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Ecuador-Francia</v>
      </c>
      <c r="C244" s="337" t="str">
        <f ca="1">CONCATENATE(WORLDCUP!AA143,"-",WORLDCUP!AF143,"·",IF(WORLDCUP!AC143&gt;WORLDCUP!AD143,1,IF(WORLDCUP!AC143&lt;WORLDCUP!AD143,2,IF(AND(WORLDCUP!AC143=WORLDCUP!AD143,WORLDCUP!AC143&lt;&gt;"",WORLDCUP!AD143&lt;&gt;""),"X",0))),"|",WORLDCUP!AC143,"-",WORLDCUP!AD143)</f>
        <v>Ecuador-Francia·2|2-3</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España-Portugal·X|2-2</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España</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Cr7</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Endrick</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Olise</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Vitinha</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Yamal</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Mbappe</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Vitinha</v>
      </c>
      <c r="O260" s="1"/>
      <c r="P260" s="1"/>
    </row>
    <row r="261" spans="1:16" ht="15.6">
      <c r="A261" s="352"/>
      <c r="B261" s="645" t="s">
        <v>1516</v>
      </c>
      <c r="C261" s="643" t="str">
        <f>WORLDCUP!AA163</f>
        <v>Diogo Costa</v>
      </c>
      <c r="O261" s="1"/>
      <c r="P261" s="1"/>
    </row>
    <row r="262" spans="1:16" ht="15.6">
      <c r="A262" s="352"/>
      <c r="B262" s="646" t="s">
        <v>1517</v>
      </c>
      <c r="C262" s="643" t="str">
        <f>WORLDCUP!AA164</f>
        <v>Yamal</v>
      </c>
      <c r="O262" s="1"/>
      <c r="P262" s="1"/>
    </row>
    <row r="263" spans="1:16" ht="15.6">
      <c r="A263" s="352"/>
      <c r="B263" s="641" t="s">
        <v>1518</v>
      </c>
      <c r="C263" s="643" t="str">
        <f>WORLDCUP!AA166</f>
        <v xml:space="preserve">Ecuador  </v>
      </c>
      <c r="O263" s="1"/>
      <c r="P263" s="1"/>
    </row>
    <row r="264" spans="1:16" ht="15.6">
      <c r="A264" s="640"/>
      <c r="B264" s="646" t="s">
        <v>1519</v>
      </c>
      <c r="C264" s="644" t="str">
        <f>WORLDCUP!AA167</f>
        <v>Inglaterra</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A16"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Ecu</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Cor</v>
      </c>
      <c r="I4" s="436">
        <f ca="1">+INDEX(WORLDCUP!$AM$6:$AM$97,MATCH(L4,WORLDCUP!$AI$6:$AI$97,0))</f>
        <v>7</v>
      </c>
      <c r="J4" s="437">
        <f ca="1">+INDEX(WORLDCUP!$AT$6:$AT$97,MATCH(L4,WORLDCUP!$AI$6:$AI$97,0))</f>
        <v>3</v>
      </c>
      <c r="K4" s="438" t="str">
        <f ca="1">+INDEX(WORLDCUP!$AR$6:$AR$97,MATCH(L4,WORLDCUP!$AI$6:$AI$97,0))&amp;"-"&amp;INDEX(WORLDCUP!$AS$6:$AS$97,MATCH(L4,WORLDCUP!$AI$6:$AI$97,0))</f>
        <v>6-3</v>
      </c>
      <c r="L4" s="177" t="s">
        <v>657</v>
      </c>
      <c r="M4" s="177">
        <v>15</v>
      </c>
      <c r="N4" s="439"/>
      <c r="O4" s="431" t="str">
        <f ca="1">+MID(INDEX(WORLDCUP!$AA$4:$AA$147,MATCH(M4,WORLDCUP!$AH$4:$AH$147,0)),1,3)</f>
        <v>Irá</v>
      </c>
      <c r="P4" s="432">
        <f>IF(ISBLANK(INDEX(WORLDCUP!$AC$4:$AC$147,MATCH(M4,WORLDCUP!$AH$4:$AH$147,0))),"",INDEX(WORLDCUP!$AC$4:$AC$147,MATCH(M4,WORLDCUP!$AH$4:$AH$147,0)))</f>
        <v>2</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8</v>
      </c>
      <c r="W4" s="438" t="str">
        <f ca="1">+INDEX(WORLDCUP!$AR$6:$AR$97,MATCH(X4,WORLDCUP!$AI$6:$AI$97,0))&amp;"-"&amp;INDEX(WORLDCUP!$AS$6:$AS$97,MATCH(X4,WORLDCUP!$AI$6:$AI$97,0))</f>
        <v>10-2</v>
      </c>
      <c r="X4" s="177" t="s">
        <v>679</v>
      </c>
      <c r="Y4" s="177">
        <v>74</v>
      </c>
      <c r="Z4" s="412" t="s">
        <v>734</v>
      </c>
      <c r="AA4" s="413" t="str">
        <f ca="1">+MID(INDEX(WORLDCUP!$AF$101:$AF$147,MATCH(Y4,WORLDCUP!$Z$101:$Z$147,0)),1,IF(WORLDCUP!$H$113&lt;144,6,3))</f>
        <v>Tur</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Ecu</v>
      </c>
      <c r="AF4" s="444">
        <f>+IF(ISBLANK(INDEX(WORLDCUP!$AC$101:$AC$147,MATCH(AD4,WORLDCUP!$Z$101:$Z$147,0))),"",INDEX(WORLDCUP!$AC$101:$AC$147,MATCH(AD4,WORLDCUP!$Z$101:$Z$147,0)))</f>
        <v>3</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1</v>
      </c>
      <c r="BJ4" s="451">
        <f ca="1">COUNTIF(Pool!$C$182:$C$197,Fixture!BG4)-BK4-BL4-BM4-BN4-BO4</f>
        <v>0</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Méx</v>
      </c>
      <c r="I5" s="35">
        <f ca="1">+INDEX(WORLDCUP!$AM$6:$AM$97,MATCH(L5,WORLDCUP!$AI$6:$AI$97,0))</f>
        <v>7</v>
      </c>
      <c r="J5" s="36">
        <f ca="1">+INDEX(WORLDCUP!$AT$6:$AT$97,MATCH(L5,WORLDCUP!$AI$6:$AI$97,0))</f>
        <v>2</v>
      </c>
      <c r="K5" s="40" t="str">
        <f ca="1">+INDEX(WORLDCUP!$AR$6:$AR$97,MATCH(L5,WORLDCUP!$AI$6:$AI$97,0))&amp;"-"&amp;INDEX(WORLDCUP!$AS$6:$AS$97,MATCH(L5,WORLDCUP!$AI$6:$AI$97,0))</f>
        <v>6-4</v>
      </c>
      <c r="L5" s="177" t="s">
        <v>658</v>
      </c>
      <c r="M5" s="177">
        <v>39</v>
      </c>
      <c r="N5" s="439"/>
      <c r="O5" s="431" t="str">
        <f ca="1">+MID(INDEX(WORLDCUP!$AA$4:$AA$147,MATCH(M5,WORLDCUP!$AH$4:$AH$147,0)),1,3)</f>
        <v>Bél</v>
      </c>
      <c r="P5" s="432">
        <f>IF(ISBLANK(INDEX(WORLDCUP!$AC$4:$AC$147,MATCH(M5,WORLDCUP!$AH$4:$AH$147,0))),"",INDEX(WORLDCUP!$AC$4:$AC$147,MATCH(M5,WORLDCUP!$AH$4:$AH$147,0)))</f>
        <v>3</v>
      </c>
      <c r="Q5" s="432">
        <f>IF(ISBLANK(INDEX(WORLDCUP!$AD$4:$AD$147,MATCH(M5,WORLDCUP!$AH$4:$AH$147,0))),"",INDEX(WORLDCUP!$AD$4:$AD$147,MATCH(M5,WORLDCUP!$AH$4:$AH$147,0)))</f>
        <v>1</v>
      </c>
      <c r="R5" s="433" t="str">
        <f ca="1">+MID(INDEX(WORLDCUP!$AF$4:$AF$147,MATCH(M5,WORLDCUP!$AH$4:$AH$147,0)),1,3)</f>
        <v>Irá</v>
      </c>
      <c r="S5" s="454">
        <v>2</v>
      </c>
      <c r="T5" s="455" t="str">
        <f ca="1">+MID(INDEX(WORLDCUP!$AL$6:$AL$97,MATCH(X5,WORLDCUP!$AI$6:$AI$97,0)),1,3)</f>
        <v>Irá</v>
      </c>
      <c r="U5" s="35">
        <f ca="1">+INDEX(WORLDCUP!$AM$6:$AM$97,MATCH(X5,WORLDCUP!$AI$6:$AI$97,0))</f>
        <v>6</v>
      </c>
      <c r="V5" s="36">
        <f ca="1">+INDEX(WORLDCUP!$AT$6:$AT$97,MATCH(X5,WORLDCUP!$AI$6:$AI$97,0))</f>
        <v>0</v>
      </c>
      <c r="W5" s="40" t="str">
        <f ca="1">+INDEX(WORLDCUP!$AR$6:$AR$97,MATCH(X5,WORLDCUP!$AI$6:$AI$97,0))&amp;"-"&amp;INDEX(WORLDCUP!$AS$6:$AS$97,MATCH(X5,WORLDCUP!$AI$6:$AI$97,0))</f>
        <v>5-5</v>
      </c>
      <c r="X5" s="177" t="s">
        <v>680</v>
      </c>
      <c r="Y5" s="177"/>
      <c r="Z5" s="412"/>
      <c r="AA5" s="456"/>
      <c r="AB5" s="456"/>
      <c r="AC5" s="457"/>
      <c r="AD5" s="177">
        <v>89</v>
      </c>
      <c r="AE5" s="443" t="str">
        <f ca="1">+MID(INDEX(WORLDCUP!$AF$101:$AF$147,MATCH(AD5,WORLDCUP!$Z$101:$Z$147,0)),1,3)</f>
        <v>Sen</v>
      </c>
      <c r="AF5" s="444">
        <f>+IF(ISBLANK(INDEX(WORLDCUP!$AD$101:$AD$147,MATCH(AD5,WORLDCUP!$Z$101:$Z$147,0))),"",INDEX(WORLDCUP!$AD$101:$AD$147,MATCH(AD5,WORLDCUP!$Z$101:$Z$147,0)))</f>
        <v>2</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2</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Rep</v>
      </c>
      <c r="I6" s="35">
        <f ca="1">+INDEX(WORLDCUP!$AM$6:$AM$97,MATCH(L6,WORLDCUP!$AI$6:$AI$97,0))</f>
        <v>3</v>
      </c>
      <c r="J6" s="36">
        <f ca="1">+INDEX(WORLDCUP!$AT$6:$AT$97,MATCH(L6,WORLDCUP!$AI$6:$AI$97,0))</f>
        <v>-1</v>
      </c>
      <c r="K6" s="40" t="str">
        <f ca="1">+INDEX(WORLDCUP!$AR$6:$AR$97,MATCH(L6,WORLDCUP!$AI$6:$AI$97,0))&amp;"-"&amp;INDEX(WORLDCUP!$AS$6:$AS$97,MATCH(L6,WORLDCUP!$AI$6:$AI$97,0))</f>
        <v>4-5</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Egi</v>
      </c>
      <c r="U6" s="35">
        <f ca="1">+INDEX(WORLDCUP!$AM$6:$AM$97,MATCH(X6,WORLDCUP!$AI$6:$AI$97,0))</f>
        <v>3</v>
      </c>
      <c r="V6" s="36">
        <f ca="1">+INDEX(WORLDCUP!$AT$6:$AT$97,MATCH(X6,WORLDCUP!$AI$6:$AI$97,0))</f>
        <v>-2</v>
      </c>
      <c r="W6" s="40" t="str">
        <f ca="1">+INDEX(WORLDCUP!$AR$6:$AR$97,MATCH(X6,WORLDCUP!$AI$6:$AI$97,0))&amp;"-"&amp;INDEX(WORLDCUP!$AS$6:$AS$97,MATCH(X6,WORLDCUP!$AI$6:$AI$97,0))</f>
        <v>4-6</v>
      </c>
      <c r="X6" s="177" t="s">
        <v>445</v>
      </c>
      <c r="Y6" s="177">
        <v>77</v>
      </c>
      <c r="Z6" s="412" t="s">
        <v>685</v>
      </c>
      <c r="AA6" s="413" t="str">
        <f ca="1">+MID(INDEX(WORLDCUP!$AA$101:$AA$147,MATCH(Y6,WORLDCUP!$Z$101:$Z$147,0)),1,3)</f>
        <v>Sen</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-4</v>
      </c>
      <c r="K7" s="466" t="str">
        <f ca="1">+INDEX(WORLDCUP!$AR$6:$AR$97,MATCH(L7,WORLDCUP!$AI$6:$AI$97,0))&amp;"-"&amp;INDEX(WORLDCUP!$AS$6:$AS$97,MATCH(L7,WORLDCUP!$AI$6:$AI$97,0))</f>
        <v>2-6</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2</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-6</v>
      </c>
      <c r="W7" s="466" t="str">
        <f ca="1">+INDEX(WORLDCUP!$AR$6:$AR$97,MATCH(X7,WORLDCUP!$AI$6:$AI$97,0))&amp;"-"&amp;INDEX(WORLDCUP!$AS$6:$AS$97,MATCH(X7,WORLDCUP!$AI$6:$AI$97,0))</f>
        <v>2-8</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1</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Ecu</v>
      </c>
      <c r="AJ7" s="471">
        <f>+IF(ISBLANK(INDEX(WORLDCUP!$AC$101:$AC$147,MATCH(AH7,WORLDCUP!$Z$101:$Z$147,0))),"",INDEX(WORLDCUP!$AC$101:$AC$147,MATCH(AH7,WORLDCUP!$Z$101:$Z$147,0)))</f>
        <v>3</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4</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2</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Méx</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7</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3</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Sui</v>
      </c>
      <c r="I12" s="436">
        <f ca="1">+INDEX(WORLDCUP!$AM$6:$AM$97,MATCH(L12,WORLDCUP!$AI$6:$AI$97,0))</f>
        <v>7</v>
      </c>
      <c r="J12" s="437">
        <f ca="1">+INDEX(WORLDCUP!$AT$6:$AT$97,MATCH(L12,WORLDCUP!$AI$6:$AI$97,0))</f>
        <v>3</v>
      </c>
      <c r="K12" s="438" t="str">
        <f ca="1">+INDEX(WORLDCUP!$AR$6:$AR$97,MATCH(L12,WORLDCUP!$AI$6:$AI$97,0))&amp;"-"&amp;INDEX(WORLDCUP!$AS$6:$AS$97,MATCH(L12,WORLDCUP!$AI$6:$AI$97,0))</f>
        <v>7-4</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11</v>
      </c>
      <c r="W12" s="438" t="str">
        <f ca="1">+INDEX(WORLDCUP!$AR$6:$AR$97,MATCH(X12,WORLDCUP!$AI$6:$AI$97,0))&amp;"-"&amp;INDEX(WORLDCUP!$AS$6:$AS$97,MATCH(X12,WORLDCUP!$AI$6:$AI$97,0))</f>
        <v>13-2</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( 5 )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1</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7</v>
      </c>
      <c r="J13" s="36">
        <f ca="1">+INDEX(WORLDCUP!$AT$6:$AT$97,MATCH(L13,WORLDCUP!$AI$6:$AI$97,0))</f>
        <v>2</v>
      </c>
      <c r="K13" s="40" t="str">
        <f ca="1">+INDEX(WORLDCUP!$AR$6:$AR$97,MATCH(L13,WORLDCUP!$AI$6:$AI$97,0))&amp;"-"&amp;INDEX(WORLDCUP!$AS$6:$AS$97,MATCH(L13,WORLDCUP!$AI$6:$AI$97,0))</f>
        <v>6-4</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5</v>
      </c>
      <c r="W13" s="40" t="str">
        <f ca="1">+INDEX(WORLDCUP!$AR$6:$AR$97,MATCH(X13,WORLDCUP!$AI$6:$AI$97,0))&amp;"-"&amp;INDEX(WORLDCUP!$AS$6:$AS$97,MATCH(X13,WORLDCUP!$AI$6:$AI$97,0))</f>
        <v>9-4</v>
      </c>
      <c r="X13" s="177" t="s">
        <v>683</v>
      </c>
      <c r="Y13" s="177">
        <v>75</v>
      </c>
      <c r="Z13" s="412" t="s">
        <v>668</v>
      </c>
      <c r="AA13" s="467" t="str">
        <f ca="1">+MID(INDEX(WORLDCUP!$AF$101:$AF$147,MATCH(Y13,WORLDCUP!$Z$101:$Z$147,0)),1,3)</f>
        <v>Mar</v>
      </c>
      <c r="AB13" s="468">
        <f>+IF(ISBLANK(INDEX(WORLDCUP!$AD$101:$AD$147,MATCH(Y13,WORLDCUP!$Z$101:$Z$147,0))),"",INDEX(WORLDCUP!$AD$101:$AD$147,MATCH(Y13,WORLDCUP!$Z$101:$Z$147,0)))</f>
        <v>2</v>
      </c>
      <c r="AC13" s="494" t="str">
        <f>+IF(ISBLANK(INDEX(WORLDCUP!$AE$101:$AE$147,MATCH(Y13,WORLDCUP!$Z$101:$Z$147,0))),"","( "&amp;INDEX(WORLDCUP!$AE$101:$AE$147,MATCH(Y13,WORLDCUP!$Z$101:$Z$147,0))&amp;" )")</f>
        <v>( 4 )</v>
      </c>
      <c r="AD13" s="177"/>
      <c r="AE13" s="416"/>
      <c r="AF13" s="416"/>
      <c r="AG13" s="416"/>
      <c r="AH13" s="177"/>
      <c r="AI13" s="446"/>
      <c r="AJ13" s="446"/>
      <c r="AK13" s="486"/>
      <c r="AL13" s="487">
        <v>101</v>
      </c>
      <c r="AM13" s="495" t="str">
        <f ca="1">+MID(INDEX(WORLDCUP!$AA$101:$AA$147,MATCH(AL13,WORLDCUP!$Z$101:$Z$147,0)),1,3)</f>
        <v>Ecu</v>
      </c>
      <c r="AN13" s="496">
        <f>+IF(ISBLANK(INDEX(WORLDCUP!$AC$101:$AC$147,MATCH(AL13,WORLDCUP!$Z$101:$Z$147,0))),"",INDEX(WORLDCUP!$AC$101:$AC$147,MATCH(AL13,WORLDCUP!$Z$101:$Z$147,0)))</f>
        <v>2</v>
      </c>
      <c r="AO13" s="497" t="str">
        <f>+IF(ISBLANK(INDEX(WORLDCUP!$AB$101:$AB$147,MATCH(AL13,WORLDCUP!$Z$101:$Z$147,0))),"","( "&amp;INDEX(WORLDCUP!$AB$101:$AB$147,MATCH(AL13,WORLDCUP!$Z$101:$Z$147,0))&amp;" )")</f>
        <v>( 4 )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Bos</v>
      </c>
      <c r="I14" s="35">
        <f ca="1">+INDEX(WORLDCUP!$AM$6:$AM$97,MATCH(L14,WORLDCUP!$AI$6:$AI$97,0))</f>
        <v>1</v>
      </c>
      <c r="J14" s="36">
        <f ca="1">+INDEX(WORLDCUP!$AT$6:$AT$97,MATCH(L14,WORLDCUP!$AI$6:$AI$97,0))</f>
        <v>-2</v>
      </c>
      <c r="K14" s="40" t="str">
        <f ca="1">+INDEX(WORLDCUP!$AR$6:$AR$97,MATCH(L14,WORLDCUP!$AI$6:$AI$97,0))&amp;"-"&amp;INDEX(WORLDCUP!$AS$6:$AS$97,MATCH(L14,WORLDCUP!$AI$6:$AI$97,0))</f>
        <v>3-5</v>
      </c>
      <c r="L14" s="177" t="s">
        <v>91</v>
      </c>
      <c r="M14" s="177">
        <v>37</v>
      </c>
      <c r="N14" s="492"/>
      <c r="O14" s="431" t="str">
        <f ca="1">+MID(INDEX(WORLDCUP!$AA$4:$AA$147,MATCH(M14,WORLDCUP!$AH$4:$AH$147,0)),1,3)</f>
        <v>Uru</v>
      </c>
      <c r="P14" s="432">
        <f>IF(ISBLANK(INDEX(WORLDCUP!$AC$4:$AC$147,MATCH(M14,WORLDCUP!$AH$4:$AH$147,0))),"",INDEX(WORLDCUP!$AC$4:$AC$147,MATCH(M14,WORLDCUP!$AH$4:$AH$147,0)))</f>
        <v>4</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-3</v>
      </c>
      <c r="W14" s="40" t="str">
        <f ca="1">+INDEX(WORLDCUP!$AR$6:$AR$97,MATCH(X14,WORLDCUP!$AI$6:$AI$97,0))&amp;"-"&amp;INDEX(WORLDCUP!$AS$6:$AS$97,MATCH(X14,WORLDCUP!$AI$6:$AI$97,0))</f>
        <v>3-6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2</v>
      </c>
      <c r="AO14" s="498" t="str">
        <f>+IF(ISBLANK(INDEX(WORLDCUP!$AE$101:$AE$147,MATCH(AL14,WORLDCUP!$Z$101:$Z$147,0))),"","( "&amp;INDEX(WORLDCUP!$AE$101:$AE$147,MATCH(AL14,WORLDCUP!$Z$101:$Z$147,0))&amp;" )")</f>
        <v>( 5 )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Cat</v>
      </c>
      <c r="I15" s="464">
        <f ca="1">+INDEX(WORLDCUP!$AM$6:$AM$97,MATCH(L15,WORLDCUP!$AI$6:$AI$97,0))</f>
        <v>1</v>
      </c>
      <c r="J15" s="465">
        <f ca="1">+INDEX(WORLDCUP!$AT$6:$AT$97,MATCH(L15,WORLDCUP!$AI$6:$AI$97,0))</f>
        <v>-3</v>
      </c>
      <c r="K15" s="466" t="str">
        <f ca="1">+INDEX(WORLDCUP!$AR$6:$AR$97,MATCH(L15,WORLDCUP!$AI$6:$AI$97,0))&amp;"-"&amp;INDEX(WORLDCUP!$AS$6:$AS$97,MATCH(L15,WORLDCUP!$AI$6:$AI$97,0))</f>
        <v>3-6</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-13</v>
      </c>
      <c r="W15" s="466" t="str">
        <f ca="1">+INDEX(WORLDCUP!$AR$6:$AR$97,MATCH(X15,WORLDCUP!$AI$6:$AI$97,0))&amp;"-"&amp;INDEX(WORLDCUP!$AS$6:$AS$97,MATCH(X15,WORLDCUP!$AI$6:$AI$97,0))</f>
        <v>0-13</v>
      </c>
      <c r="X15" s="177" t="s">
        <v>684</v>
      </c>
      <c r="Y15" s="177">
        <v>83</v>
      </c>
      <c r="Z15" s="412" t="s">
        <v>692</v>
      </c>
      <c r="AA15" s="413" t="str">
        <f ca="1">+MID(INDEX(WORLDCUP!$AA$101:$AA$147,MATCH(Y15,WORLDCUP!$Z$101:$Z$147,0)),1,3)</f>
        <v>Col</v>
      </c>
      <c r="AB15" s="414">
        <f>+IF(ISBLANK(INDEX(WORLDCUP!$AC$101:$AC$147,MATCH(Y15,WORLDCUP!$Z$101:$Z$147,0))),"",INDEX(WORLDCUP!$AC$101:$AC$147,MATCH(Y15,WORLDCUP!$Z$101:$Z$147,0)))</f>
        <v>3</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2</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Ing</v>
      </c>
      <c r="AB16" s="440">
        <f>+IF(ISBLANK(INDEX(WORLDCUP!$AD$101:$AD$147,MATCH(Y16,WORLDCUP!$Z$101:$Z$147,0))),"",INDEX(WORLDCUP!$AD$101:$AD$147,MATCH(Y16,WORLDCUP!$Z$101:$Z$147,0)))</f>
        <v>2</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4</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3</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3</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3</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8</v>
      </c>
      <c r="K20" s="438" t="str">
        <f ca="1">+INDEX(WORLDCUP!$AR$6:$AR$97,MATCH(L20,WORLDCUP!$AI$6:$AI$97,0))&amp;"-"&amp;INDEX(WORLDCUP!$AS$6:$AS$97,MATCH(L20,WORLDCUP!$AI$6:$AI$97,0))</f>
        <v>11-3</v>
      </c>
      <c r="L20" s="177" t="s">
        <v>663</v>
      </c>
      <c r="M20" s="177">
        <v>18</v>
      </c>
      <c r="N20" s="509"/>
      <c r="O20" s="431" t="str">
        <f ca="1">+MID(INDEX(WORLDCUP!$AA$4:$AA$147,MATCH(M20,WORLDCUP!$AH$4:$AH$147,0)),1,3)</f>
        <v>Ira</v>
      </c>
      <c r="P20" s="432">
        <f>IF(ISBLANK(INDEX(WORLDCUP!$AC$4:$AC$147,MATCH(M20,WORLDCUP!$AH$4:$AH$147,0))),"",INDEX(WORLDCUP!$AC$4:$AC$147,MATCH(M20,WORLDCUP!$AH$4:$AH$147,0)))</f>
        <v>1</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Sen</v>
      </c>
      <c r="U20" s="436">
        <f ca="1">+INDEX(WORLDCUP!$AM$6:$AM$97,MATCH(X20,WORLDCUP!$AI$6:$AI$97,0))</f>
        <v>7</v>
      </c>
      <c r="V20" s="437">
        <f ca="1">+INDEX(WORLDCUP!$AT$6:$AT$97,MATCH(X20,WORLDCUP!$AI$6:$AI$97,0))</f>
        <v>3</v>
      </c>
      <c r="W20" s="438" t="str">
        <f ca="1">+INDEX(WORLDCUP!$AR$6:$AR$97,MATCH(X20,WORLDCUP!$AI$6:$AI$97,0))&amp;"-"&amp;INDEX(WORLDCUP!$AS$6:$AS$97,MATCH(X20,WORLDCUP!$AI$6:$AI$97,0))</f>
        <v>8-5</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3</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5</v>
      </c>
      <c r="K21" s="40" t="str">
        <f ca="1">+INDEX(WORLDCUP!$AR$6:$AR$97,MATCH(L21,WORLDCUP!$AI$6:$AI$97,0))&amp;"-"&amp;INDEX(WORLDCUP!$AS$6:$AS$97,MATCH(L21,WORLDCUP!$AI$6:$AI$97,0))</f>
        <v>9-4</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1</v>
      </c>
      <c r="R21" s="433" t="str">
        <f ca="1">+MID(INDEX(WORLDCUP!$AF$4:$AF$147,MATCH(M21,WORLDCUP!$AH$4:$AH$147,0)),1,3)</f>
        <v>Ira</v>
      </c>
      <c r="S21" s="454">
        <v>2</v>
      </c>
      <c r="T21" s="455" t="str">
        <f ca="1">+MID(INDEX(WORLDCUP!$AL$6:$AL$97,MATCH(X21,WORLDCUP!$AI$6:$AI$97,0)),1,3)</f>
        <v>Fra</v>
      </c>
      <c r="U21" s="35">
        <f ca="1">+INDEX(WORLDCUP!$AM$6:$AM$97,MATCH(X21,WORLDCUP!$AI$6:$AI$97,0))</f>
        <v>6</v>
      </c>
      <c r="V21" s="36">
        <f ca="1">+INDEX(WORLDCUP!$AT$6:$AT$97,MATCH(X21,WORLDCUP!$AI$6:$AI$97,0))</f>
        <v>4</v>
      </c>
      <c r="W21" s="40" t="str">
        <f ca="1">+INDEX(WORLDCUP!$AR$6:$AR$97,MATCH(X21,WORLDCUP!$AI$6:$AI$97,0))&amp;"-"&amp;INDEX(WORLDCUP!$AS$6:$AS$97,MATCH(X21,WORLDCUP!$AI$6:$AI$97,0))</f>
        <v>10-6</v>
      </c>
      <c r="X21" s="177" t="s">
        <v>686</v>
      </c>
      <c r="Y21" s="177">
        <v>81</v>
      </c>
      <c r="Z21" s="412" t="s">
        <v>670</v>
      </c>
      <c r="AA21" s="413" t="str">
        <f ca="1">+MID(INDEX(WORLDCUP!$AA$101:$AA$147,MATCH(Y21,WORLDCUP!$Z$101:$Z$147,0)),1,3)</f>
        <v>Par</v>
      </c>
      <c r="AB21" s="414">
        <f>+IF(ISBLANK(INDEX(WORLDCUP!$AC$101:$AC$147,MATCH(Y21,WORLDCUP!$Z$101:$Z$147,0))),"",INDEX(WORLDCUP!$AC$101:$AC$147,MATCH(Y21,WORLDCUP!$Z$101:$Z$147,0)))</f>
        <v>2</v>
      </c>
      <c r="AC21" s="485" t="str">
        <f>+IF(ISBLANK(INDEX(WORLDCUP!$AB$101:$AB$147,MATCH(Y21,WORLDCUP!$Z$101:$Z$147,0))),"","( "&amp;INDEX(WORLDCUP!$AB$101:$AB$147,MATCH(Y21,WORLDCUP!$Z$101:$Z$147,0))&amp;" )")</f>
        <v>( 5 )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0</v>
      </c>
      <c r="BK21" s="452">
        <f ca="1">COUNTIF(Pool!$C$210:$C$217,Fixture!BG21)-BL21-BM21-BN21-BO21</f>
        <v>0</v>
      </c>
      <c r="BL21" s="452">
        <f ca="1">COUNTIF(Pool!$C$226:$C$229,Fixture!BG21)-BM21-BN21-BO21</f>
        <v>1</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5</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-1</v>
      </c>
      <c r="K22" s="40" t="str">
        <f ca="1">+INDEX(WORLDCUP!$AR$6:$AR$97,MATCH(L22,WORLDCUP!$AI$6:$AI$97,0))&amp;"-"&amp;INDEX(WORLDCUP!$AS$6:$AS$97,MATCH(L22,WORLDCUP!$AI$6:$AI$97,0))</f>
        <v>5-6</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2</v>
      </c>
      <c r="R22" s="433" t="str">
        <f ca="1">+MID(INDEX(WORLDCUP!$AF$4:$AF$147,MATCH(M22,WORLDCUP!$AH$4:$AH$147,0)),1,3)</f>
        <v>Sen</v>
      </c>
      <c r="S22" s="454">
        <v>3</v>
      </c>
      <c r="T22" s="455" t="str">
        <f ca="1">+MID(INDEX(WORLDCUP!$AL$6:$AL$97,MATCH(X22,WORLDCUP!$AI$6:$AI$97,0)),1,3)</f>
        <v>Nor</v>
      </c>
      <c r="U22" s="35">
        <f ca="1">+INDEX(WORLDCUP!$AM$6:$AM$97,MATCH(X22,WORLDCUP!$AI$6:$AI$97,0))</f>
        <v>4</v>
      </c>
      <c r="V22" s="36">
        <f ca="1">+INDEX(WORLDCUP!$AT$6:$AT$97,MATCH(X22,WORLDCUP!$AI$6:$AI$97,0))</f>
        <v>-1</v>
      </c>
      <c r="W22" s="40" t="str">
        <f ca="1">+INDEX(WORLDCUP!$AR$6:$AR$97,MATCH(X22,WORLDCUP!$AI$6:$AI$97,0))&amp;"-"&amp;INDEX(WORLDCUP!$AS$6:$AS$97,MATCH(X22,WORLDCUP!$AI$6:$AI$97,0))</f>
        <v>6-7</v>
      </c>
      <c r="X22" s="177" t="s">
        <v>450</v>
      </c>
      <c r="Y22" s="177">
        <v>81</v>
      </c>
      <c r="Z22" s="412" t="s">
        <v>738</v>
      </c>
      <c r="AA22" s="413" t="str">
        <f ca="1">+MID(INDEX(WORLDCUP!$AF$101:$AF$147,MATCH(Y22,WORLDCUP!$Z$101:$Z$147,0)),1,IF(WORLDCUP!$H$113&lt;144,6,3))</f>
        <v>Cos</v>
      </c>
      <c r="AB22" s="440">
        <f>+IF(ISBLANK(INDEX(WORLDCUP!$AD$101:$AD$147,MATCH(Y22,WORLDCUP!$Z$101:$Z$147,0))),"",INDEX(WORLDCUP!$AD$101:$AD$147,MATCH(Y22,WORLDCUP!$Z$101:$Z$147,0)))</f>
        <v>2</v>
      </c>
      <c r="AC22" s="441" t="str">
        <f>+IF(ISBLANK(INDEX(WORLDCUP!$AE$101:$AE$147,MATCH(Y22,WORLDCUP!$Z$101:$Z$147,0))),"","( "&amp;INDEX(WORLDCUP!$AE$101:$AE$147,MATCH(Y22,WORLDCUP!$Z$101:$Z$147,0))&amp;" )")</f>
        <v>( 4 )</v>
      </c>
      <c r="AD22" s="442">
        <v>94</v>
      </c>
      <c r="AE22" s="443" t="str">
        <f ca="1">+MID(INDEX(WORLDCUP!$AA$101:$AA$147,MATCH(AD22,WORLDCUP!$Z$101:$Z$147,0)),1,3)</f>
        <v>Par</v>
      </c>
      <c r="AF22" s="444">
        <f>+IF(ISBLANK(INDEX(WORLDCUP!$AC$101:$AC$147,MATCH(AD22,WORLDCUP!$Z$101:$Z$147,0))),"",INDEX(WORLDCUP!$AC$101:$AC$147,MATCH(AD22,WORLDCUP!$Z$101:$Z$147,0)))</f>
        <v>2</v>
      </c>
      <c r="AG22" s="488" t="str">
        <f>+IF(ISBLANK(INDEX(WORLDCUP!$AB$101:$AB$147,MATCH(AD22,WORLDCUP!$Z$101:$Z$147,0))),"","( "&amp;INDEX(WORLDCUP!$AB$101:$AB$147,MATCH(AD22,WORLDCUP!$Z$101:$Z$147,0))&amp;" )")</f>
        <v>( 4 )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1</v>
      </c>
      <c r="BI22" s="450">
        <f ca="1">COUNTIF(Pool!$C$130:$C$161,Fixture!BG22)-BJ22-BK22-BL22-BM22-BN22-BO22</f>
        <v>0</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-12</v>
      </c>
      <c r="K23" s="466" t="str">
        <f ca="1">+INDEX(WORLDCUP!$AR$6:$AR$97,MATCH(L23,WORLDCUP!$AI$6:$AI$97,0))&amp;"-"&amp;INDEX(WORLDCUP!$AS$6:$AS$97,MATCH(L23,WORLDCUP!$AI$6:$AI$97,0))</f>
        <v>0-12</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4</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-6</v>
      </c>
      <c r="W23" s="466" t="str">
        <f ca="1">+INDEX(WORLDCUP!$AR$6:$AR$97,MATCH(X23,WORLDCUP!$AI$6:$AI$97,0))&amp;"-"&amp;INDEX(WORLDCUP!$AS$6:$AS$97,MATCH(X23,WORLDCUP!$AI$6:$AI$97,0))</f>
        <v>3-9</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( 5 )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España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4</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3</v>
      </c>
      <c r="Q24" s="475">
        <f>IF(ISBLANK(INDEX(WORLDCUP!$AD$4:$AD$147,MATCH(M24,WORLDCUP!$AH$4:$AH$147,0))),"",INDEX(WORLDCUP!$AD$4:$AD$147,MATCH(M24,WORLDCUP!$AH$4:$AH$147,0)))</f>
        <v>1</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1</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( 4 )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1</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2</v>
      </c>
      <c r="AW26" s="420" t="str">
        <f>+IF(ISBLANK(INDEX(WORLDCUP!$AE$101:$AE$147,MATCH(AT26,WORLDCUP!$Z$101:$Z$147,0))),"","( "&amp;INDEX(WORLDCUP!$AE$101:$AE$147,MATCH(AT26,WORLDCUP!$Z$101:$Z$147,0))&amp;" )")</f>
        <v>( 5 )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3</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3</v>
      </c>
      <c r="F28" s="433" t="str">
        <f ca="1">+MID(INDEX(WORLDCUP!$AF$4:$AF$147,MATCH(A28,WORLDCUP!$AH$4:$AH$147,0)),1,3)</f>
        <v>Tur</v>
      </c>
      <c r="G28" s="434">
        <v>1</v>
      </c>
      <c r="H28" s="435" t="str">
        <f ca="1">+MID(INDEX(WORLDCUP!$AL$6:$AL$97,MATCH(L28,WORLDCUP!$AI$6:$AI$97,0)),1,3)</f>
        <v>Par</v>
      </c>
      <c r="I28" s="436">
        <f ca="1">+INDEX(WORLDCUP!$AM$6:$AM$97,MATCH(L28,WORLDCUP!$AI$6:$AI$97,0))</f>
        <v>7</v>
      </c>
      <c r="J28" s="437">
        <f ca="1">+INDEX(WORLDCUP!$AT$6:$AT$97,MATCH(L28,WORLDCUP!$AI$6:$AI$97,0))</f>
        <v>2</v>
      </c>
      <c r="K28" s="438" t="str">
        <f ca="1">+INDEX(WORLDCUP!$AR$6:$AR$97,MATCH(L28,WORLDCUP!$AI$6:$AI$97,0))&amp;"-"&amp;INDEX(WORLDCUP!$AS$6:$AS$97,MATCH(L28,WORLDCUP!$AI$6:$AI$97,0))</f>
        <v>6-4</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1</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7</v>
      </c>
      <c r="W28" s="438" t="str">
        <f ca="1">+INDEX(WORLDCUP!$AR$6:$AR$97,MATCH(X28,WORLDCUP!$AI$6:$AI$97,0))&amp;"-"&amp;INDEX(WORLDCUP!$AS$6:$AS$97,MATCH(X28,WORLDCUP!$AI$6:$AI$97,0))</f>
        <v>9-2</v>
      </c>
      <c r="X28" s="177" t="s">
        <v>688</v>
      </c>
      <c r="Y28" s="177">
        <v>76</v>
      </c>
      <c r="Z28" s="412" t="s">
        <v>677</v>
      </c>
      <c r="AA28" s="413" t="str">
        <f ca="1">+MID(INDEX(WORLDCUP!$AF$101:$AF$147,MATCH(Y28,WORLDCUP!$Z$101:$Z$147,0)),1,3)</f>
        <v>Jap</v>
      </c>
      <c r="AB28" s="440">
        <f>+IF(ISBLANK(INDEX(WORLDCUP!$AD$101:$AD$147,MATCH(Y28,WORLDCUP!$Z$101:$Z$147,0))),"",INDEX(WORLDCUP!$AD$101:$AD$147,MATCH(Y28,WORLDCUP!$Z$101:$Z$147,0)))</f>
        <v>2</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3</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Est</v>
      </c>
      <c r="I29" s="35">
        <f ca="1">+INDEX(WORLDCUP!$AM$6:$AM$97,MATCH(L29,WORLDCUP!$AI$6:$AI$97,0))</f>
        <v>5</v>
      </c>
      <c r="J29" s="36">
        <f ca="1">+INDEX(WORLDCUP!$AT$6:$AT$97,MATCH(L29,WORLDCUP!$AI$6:$AI$97,0))</f>
        <v>1</v>
      </c>
      <c r="K29" s="40" t="str">
        <f ca="1">+INDEX(WORLDCUP!$AR$6:$AR$97,MATCH(L29,WORLDCUP!$AI$6:$AI$97,0))&amp;"-"&amp;INDEX(WORLDCUP!$AS$6:$AS$97,MATCH(L29,WORLDCUP!$AI$6:$AI$97,0))</f>
        <v>6-5</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Arg</v>
      </c>
      <c r="U29" s="35">
        <f ca="1">+INDEX(WORLDCUP!$AM$6:$AM$97,MATCH(X29,WORLDCUP!$AI$6:$AI$97,0))</f>
        <v>4</v>
      </c>
      <c r="V29" s="36">
        <f ca="1">+INDEX(WORLDCUP!$AT$6:$AT$97,MATCH(X29,WORLDCUP!$AI$6:$AI$97,0))</f>
        <v>1</v>
      </c>
      <c r="W29" s="40" t="str">
        <f ca="1">+INDEX(WORLDCUP!$AR$6:$AR$97,MATCH(X29,WORLDCUP!$AI$6:$AI$97,0))&amp;"-"&amp;INDEX(WORLDCUP!$AS$6:$AS$97,MATCH(X29,WORLDCUP!$AI$6:$AI$97,0))</f>
        <v>6-5</v>
      </c>
      <c r="X29" s="177" t="s">
        <v>689</v>
      </c>
      <c r="Y29" s="177"/>
      <c r="Z29" s="412"/>
      <c r="AA29" s="456"/>
      <c r="AB29" s="456"/>
      <c r="AC29" s="457"/>
      <c r="AD29" s="177">
        <v>91</v>
      </c>
      <c r="AE29" s="443" t="str">
        <f ca="1">+MID(INDEX(WORLDCUP!$AF$101:$AF$147,MATCH(AD29,WORLDCUP!$Z$101:$Z$147,0)),1,3)</f>
        <v>Fra</v>
      </c>
      <c r="AF29" s="444">
        <f>+IF(ISBLANK(INDEX(WORLDCUP!$AD$101:$AD$147,MATCH(AD29,WORLDCUP!$Z$101:$Z$147,0))),"",INDEX(WORLDCUP!$AD$101:$AD$147,MATCH(AD29,WORLDCUP!$Z$101:$Z$147,0)))</f>
        <v>4</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1</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Tur</v>
      </c>
      <c r="I30" s="35">
        <f ca="1">+INDEX(WORLDCUP!$AM$6:$AM$97,MATCH(L30,WORLDCUP!$AI$6:$AI$97,0))</f>
        <v>4</v>
      </c>
      <c r="J30" s="36">
        <f ca="1">+INDEX(WORLDCUP!$AT$6:$AT$97,MATCH(L30,WORLDCUP!$AI$6:$AI$97,0))</f>
        <v>1</v>
      </c>
      <c r="K30" s="40" t="str">
        <f ca="1">+INDEX(WORLDCUP!$AR$6:$AR$97,MATCH(L30,WORLDCUP!$AI$6:$AI$97,0))&amp;"-"&amp;INDEX(WORLDCUP!$AS$6:$AS$97,MATCH(L30,WORLDCUP!$AI$6:$AI$97,0))</f>
        <v>6-5</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3</v>
      </c>
      <c r="R30" s="433" t="str">
        <f ca="1">+MID(INDEX(WORLDCUP!$AF$4:$AF$147,MATCH(M30,WORLDCUP!$AH$4:$AH$147,0)),1,3)</f>
        <v>Arg</v>
      </c>
      <c r="S30" s="454">
        <v>3</v>
      </c>
      <c r="T30" s="455" t="str">
        <f ca="1">+MID(INDEX(WORLDCUP!$AL$6:$AL$97,MATCH(X30,WORLDCUP!$AI$6:$AI$97,0)),1,3)</f>
        <v>Aus</v>
      </c>
      <c r="U30" s="35">
        <f ca="1">+INDEX(WORLDCUP!$AM$6:$AM$97,MATCH(X30,WORLDCUP!$AI$6:$AI$97,0))</f>
        <v>4</v>
      </c>
      <c r="V30" s="36">
        <f ca="1">+INDEX(WORLDCUP!$AT$6:$AT$97,MATCH(X30,WORLDCUP!$AI$6:$AI$97,0))</f>
        <v>0</v>
      </c>
      <c r="W30" s="40" t="str">
        <f ca="1">+INDEX(WORLDCUP!$AR$6:$AR$97,MATCH(X30,WORLDCUP!$AI$6:$AI$97,0))&amp;"-"&amp;INDEX(WORLDCUP!$AS$6:$AS$97,MATCH(X30,WORLDCUP!$AI$6:$AI$97,0))</f>
        <v>5-5</v>
      </c>
      <c r="X30" s="177" t="s">
        <v>451</v>
      </c>
      <c r="Y30" s="177">
        <v>78</v>
      </c>
      <c r="Z30" s="412" t="s">
        <v>674</v>
      </c>
      <c r="AA30" s="413" t="str">
        <f ca="1">+MID(INDEX(WORLDCUP!$AA$101:$AA$147,MATCH(Y30,WORLDCUP!$Z$101:$Z$147,0)),1,3)</f>
        <v>Ale</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-4</v>
      </c>
      <c r="K31" s="466" t="str">
        <f ca="1">+INDEX(WORLDCUP!$AR$6:$AR$97,MATCH(L31,WORLDCUP!$AI$6:$AI$97,0))&amp;"-"&amp;INDEX(WORLDCUP!$AS$6:$AS$97,MATCH(L31,WORLDCUP!$AI$6:$AI$97,0))</f>
        <v>3-7</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-8</v>
      </c>
      <c r="W31" s="466" t="str">
        <f ca="1">+INDEX(WORLDCUP!$AR$6:$AR$97,MATCH(X31,WORLDCUP!$AI$6:$AI$97,0))&amp;"-"&amp;INDEX(WORLDCUP!$AS$6:$AS$97,MATCH(X31,WORLDCUP!$AI$6:$AI$97,0))</f>
        <v>1-9</v>
      </c>
      <c r="X31" s="177" t="s">
        <v>690</v>
      </c>
      <c r="Y31" s="177">
        <v>78</v>
      </c>
      <c r="Z31" s="412" t="s">
        <v>686</v>
      </c>
      <c r="AA31" s="467" t="str">
        <f ca="1">+MID(INDEX(WORLDCUP!$AF$101:$AF$147,MATCH(Y31,WORLDCUP!$Z$101:$Z$147,0)),1,3)</f>
        <v>Fra</v>
      </c>
      <c r="AB31" s="468">
        <f>+IF(ISBLANK(INDEX(WORLDCUP!$AD$101:$AD$147,MATCH(Y31,WORLDCUP!$Z$101:$Z$147,0))),"",INDEX(WORLDCUP!$AD$101:$AD$147,MATCH(Y31,WORLDCUP!$Z$101:$Z$147,0)))</f>
        <v>4</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Fra</v>
      </c>
      <c r="AJ31" s="471">
        <f>+IF(ISBLANK(INDEX(WORLDCUP!$AC$101:$AC$147,MATCH(AH31,WORLDCUP!$Z$101:$Z$147,0))),"",INDEX(WORLDCUP!$AC$101:$AC$147,MATCH(AH31,WORLDCUP!$Z$101:$Z$147,0)))</f>
        <v>4</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Ecua</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0</v>
      </c>
      <c r="BJ31" s="451">
        <f ca="1">COUNTIF(Pool!$C$182:$C$197,Fixture!BG31)-BK31-BL31-BM31-BN31-BO31</f>
        <v>1</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2</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Nor</v>
      </c>
      <c r="AJ32" s="471">
        <f>+IF(ISBLANK(INDEX(WORLDCUP!$AD$101:$AD$147,MATCH(AH32,WORLDCUP!$Z$101:$Z$147,0))),"",INDEX(WORLDCUP!$AD$101:$AD$147,MATCH(AH32,WORLDCUP!$Z$101:$Z$147,0)))</f>
        <v>2</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Fran</v>
      </c>
      <c r="AR32" s="535">
        <f>+IF(ISBLANK(INDEX(WORLDCUP!$AD$101:$AD$147,MATCH(AP32,WORLDCUP!$Z$101:$Z$147,0))),"",INDEX(WORLDCUP!$AD$101:$AD$147,MATCH(AP32,WORLDCUP!$Z$101:$Z$147,0)))</f>
        <v>3</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6</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4</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Nor</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2</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Ecu</v>
      </c>
      <c r="I36" s="436">
        <f ca="1">+INDEX(WORLDCUP!$AM$6:$AM$97,MATCH(L36,WORLDCUP!$AI$6:$AI$97,0))</f>
        <v>9</v>
      </c>
      <c r="J36" s="437">
        <f ca="1">+INDEX(WORLDCUP!$AT$6:$AT$97,MATCH(L36,WORLDCUP!$AI$6:$AI$97,0))</f>
        <v>6</v>
      </c>
      <c r="K36" s="438" t="str">
        <f ca="1">+INDEX(WORLDCUP!$AR$6:$AR$97,MATCH(L36,WORLDCUP!$AI$6:$AI$97,0))&amp;"-"&amp;INDEX(WORLDCUP!$AS$6:$AS$97,MATCH(L36,WORLDCUP!$AI$6:$AI$97,0))</f>
        <v>9-3</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3</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8</v>
      </c>
      <c r="W36" s="438" t="str">
        <f ca="1">+INDEX(WORLDCUP!$AR$6:$AR$97,MATCH(X36,WORLDCUP!$AI$6:$AI$97,0))&amp;"-"&amp;INDEX(WORLDCUP!$AS$6:$AS$97,MATCH(X36,WORLDCUP!$AI$6:$AI$97,0))</f>
        <v>11-3</v>
      </c>
      <c r="X36" s="177" t="s">
        <v>691</v>
      </c>
      <c r="Y36" s="177">
        <v>80</v>
      </c>
      <c r="Z36" s="412" t="s">
        <v>694</v>
      </c>
      <c r="AA36" s="413" t="str">
        <f ca="1">+MID(INDEX(WORLDCUP!$AA$101:$AA$147,MATCH(Y36,WORLDCUP!$Z$101:$Z$147,0)),1,3)</f>
        <v>Cro</v>
      </c>
      <c r="AB36" s="459">
        <f>+IF(ISBLANK(INDEX(WORLDCUP!$AC$101:$AC$147,MATCH(Y36,WORLDCUP!$Z$101:$Z$147,0))),"",INDEX(WORLDCUP!$AC$101:$AC$147,MATCH(Y36,WORLDCUP!$Z$101:$Z$147,0)))</f>
        <v>2</v>
      </c>
      <c r="AC36" s="493" t="str">
        <f>+IF(ISBLANK(INDEX(WORLDCUP!$AB$101:$AB$147,MATCH(Y36,WORLDCUP!$Z$101:$Z$147,0))),"","( "&amp;INDEX(WORLDCUP!$AB$101:$AB$147,MATCH(Y36,WORLDCUP!$Z$101:$Z$147,0))&amp;" )")</f>
        <v>( 3 )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0</v>
      </c>
      <c r="BK36" s="452">
        <f ca="1">COUNTIF(Pool!$C$210:$C$217,Fixture!BG36)-BL36-BM36-BN36-BO36</f>
        <v>1</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2</v>
      </c>
      <c r="F37" s="433" t="str">
        <f ca="1">+MID(INDEX(WORLDCUP!$AF$4:$AF$147,MATCH(A37,WORLDCUP!$AH$4:$AH$147,0)),1,3)</f>
        <v>Cos</v>
      </c>
      <c r="G37" s="454">
        <v>2</v>
      </c>
      <c r="H37" s="455" t="str">
        <f ca="1">+MID(INDEX(WORLDCUP!$AL$6:$AL$97,MATCH(L37,WORLDCUP!$AI$6:$AI$97,0)),1,3)</f>
        <v>Ale</v>
      </c>
      <c r="I37" s="35">
        <f ca="1">+INDEX(WORLDCUP!$AM$6:$AM$97,MATCH(L37,WORLDCUP!$AI$6:$AI$97,0))</f>
        <v>4</v>
      </c>
      <c r="J37" s="36">
        <f ca="1">+INDEX(WORLDCUP!$AT$6:$AT$97,MATCH(L37,WORLDCUP!$AI$6:$AI$97,0))</f>
        <v>5</v>
      </c>
      <c r="K37" s="40" t="str">
        <f ca="1">+INDEX(WORLDCUP!$AR$6:$AR$97,MATCH(L37,WORLDCUP!$AI$6:$AI$97,0))&amp;"-"&amp;INDEX(WORLDCUP!$AS$6:$AS$97,MATCH(L37,WORLDCUP!$AI$6:$AI$97,0))</f>
        <v>9-4</v>
      </c>
      <c r="L37" s="177" t="s">
        <v>674</v>
      </c>
      <c r="M37" s="177">
        <v>47</v>
      </c>
      <c r="N37" s="548"/>
      <c r="O37" s="431" t="str">
        <f ca="1">+MID(INDEX(WORLDCUP!$AA$4:$AA$147,MATCH(M37,WORLDCUP!$AH$4:$AH$147,0)),1,3)</f>
        <v>Por</v>
      </c>
      <c r="P37" s="432">
        <f>IF(ISBLANK(INDEX(WORLDCUP!$AC$4:$AC$147,MATCH(M37,WORLDCUP!$AH$4:$AH$147,0))),"",INDEX(WORLDCUP!$AC$4:$AC$147,MATCH(M37,WORLDCUP!$AH$4:$AH$147,0)))</f>
        <v>4</v>
      </c>
      <c r="Q37" s="432">
        <f>IF(ISBLANK(INDEX(WORLDCUP!$AD$4:$AD$147,MATCH(M37,WORLDCUP!$AH$4:$AH$147,0))),"",INDEX(WORLDCUP!$AD$4:$AD$147,MATCH(M37,WORLDCUP!$AH$4:$AH$147,0)))</f>
        <v>1</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3</v>
      </c>
      <c r="W37" s="40" t="str">
        <f ca="1">+INDEX(WORLDCUP!$AR$6:$AR$97,MATCH(X37,WORLDCUP!$AI$6:$AI$97,0))&amp;"-"&amp;INDEX(WORLDCUP!$AS$6:$AS$97,MATCH(X37,WORLDCUP!$AI$6:$AI$97,0))</f>
        <v>8-5</v>
      </c>
      <c r="X37" s="177" t="s">
        <v>692</v>
      </c>
      <c r="Y37" s="177">
        <v>80</v>
      </c>
      <c r="Z37" s="412" t="s">
        <v>737</v>
      </c>
      <c r="AA37" s="467" t="str">
        <f ca="1">+MID(INDEX(WORLDCUP!$AF$101:$AF$147,MATCH(Y37,WORLDCUP!$Z$101:$Z$147,0)),1,IF(WORLDCUP!$H$113&lt;144,6,3))</f>
        <v>Nor</v>
      </c>
      <c r="AB37" s="468">
        <f>+IF(ISBLANK(INDEX(WORLDCUP!$AD$101:$AD$147,MATCH(Y37,WORLDCUP!$Z$101:$Z$147,0))),"",INDEX(WORLDCUP!$AD$101:$AD$147,MATCH(Y37,WORLDCUP!$Z$101:$Z$147,0)))</f>
        <v>2</v>
      </c>
      <c r="AC37" s="494" t="str">
        <f>+IF(ISBLANK(INDEX(WORLDCUP!$AE$101:$AE$147,MATCH(Y37,WORLDCUP!$Z$101:$Z$147,0))),"","( "&amp;INDEX(WORLDCUP!$AE$101:$AE$147,MATCH(Y37,WORLDCUP!$Z$101:$Z$147,0))&amp;" )")</f>
        <v>( 4 )</v>
      </c>
      <c r="AD37" s="177"/>
      <c r="AE37" s="416"/>
      <c r="AF37" s="416"/>
      <c r="AG37" s="416"/>
      <c r="AH37" s="177"/>
      <c r="AI37" s="446"/>
      <c r="AJ37" s="446"/>
      <c r="AK37" s="486"/>
      <c r="AL37" s="487">
        <v>102</v>
      </c>
      <c r="AM37" s="495" t="str">
        <f ca="1">+MID(INDEX(WORLDCUP!$AA$101:$AA$147,MATCH(AL37,WORLDCUP!$Z$101:$Z$147,0)),1,3)</f>
        <v>Fra</v>
      </c>
      <c r="AN37" s="496">
        <f>+IF(ISBLANK(INDEX(WORLDCUP!$AC$101:$AC$147,MATCH(AL37,WORLDCUP!$Z$101:$Z$147,0))),"",INDEX(WORLDCUP!$AC$101:$AC$147,MATCH(AL37,WORLDCUP!$Z$101:$Z$147,0)))</f>
        <v>2</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4</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4</v>
      </c>
      <c r="J38" s="36">
        <f ca="1">+INDEX(WORLDCUP!$AT$6:$AT$97,MATCH(L38,WORLDCUP!$AI$6:$AI$97,0))</f>
        <v>2</v>
      </c>
      <c r="K38" s="40" t="str">
        <f ca="1">+INDEX(WORLDCUP!$AR$6:$AR$97,MATCH(L38,WORLDCUP!$AI$6:$AI$97,0))&amp;"-"&amp;INDEX(WORLDCUP!$AS$6:$AS$97,MATCH(L38,WORLDCUP!$AI$6:$AI$97,0))</f>
        <v>8-6</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1</v>
      </c>
      <c r="R38" s="433" t="str">
        <f ca="1">+MID(INDEX(WORLDCUP!$AF$4:$AF$147,MATCH(M38,WORLDCUP!$AH$4:$AH$147,0)),1,3)</f>
        <v xml:space="preserve">RD </v>
      </c>
      <c r="S38" s="454">
        <v>3</v>
      </c>
      <c r="T38" s="455" t="str">
        <f ca="1">+MID(INDEX(WORLDCUP!$AL$6:$AL$97,MATCH(X38,WORLDCUP!$AI$6:$AI$97,0)),1,3)</f>
        <v>Uzb</v>
      </c>
      <c r="U38" s="35">
        <f ca="1">+INDEX(WORLDCUP!$AM$6:$AM$97,MATCH(X38,WORLDCUP!$AI$6:$AI$97,0))</f>
        <v>1</v>
      </c>
      <c r="V38" s="36">
        <f ca="1">+INDEX(WORLDCUP!$AT$6:$AT$97,MATCH(X38,WORLDCUP!$AI$6:$AI$97,0))</f>
        <v>-5</v>
      </c>
      <c r="W38" s="40" t="str">
        <f ca="1">+INDEX(WORLDCUP!$AR$6:$AR$97,MATCH(X38,WORLDCUP!$AI$6:$AI$97,0))&amp;"-"&amp;INDEX(WORLDCUP!$AS$6:$AS$97,MATCH(X38,WORLDCUP!$AI$6:$AI$97,0))</f>
        <v>4-9</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3</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1</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4</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-13</v>
      </c>
      <c r="K39" s="466" t="str">
        <f ca="1">+INDEX(WORLDCUP!$AR$6:$AR$97,MATCH(L39,WORLDCUP!$AI$6:$AI$97,0))&amp;"-"&amp;INDEX(WORLDCUP!$AS$6:$AS$97,MATCH(L39,WORLDCUP!$AI$6:$AI$97,0))</f>
        <v>1-14</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3</v>
      </c>
      <c r="R39" s="433" t="str">
        <f ca="1">+MID(INDEX(WORLDCUP!$AF$4:$AF$147,MATCH(M39,WORLDCUP!$AH$4:$AH$147,0)),1,3)</f>
        <v>Por</v>
      </c>
      <c r="S39" s="454">
        <v>4</v>
      </c>
      <c r="T39" s="463" t="str">
        <f ca="1">+MID(INDEX(WORLDCUP!$AL$6:$AL$97,MATCH(X39,WORLDCUP!$AI$6:$AI$97,0)),1,3)</f>
        <v xml:space="preserve">RD </v>
      </c>
      <c r="U39" s="464">
        <f ca="1">+INDEX(WORLDCUP!$AM$6:$AM$97,MATCH(X39,WORLDCUP!$AI$6:$AI$97,0))</f>
        <v>1</v>
      </c>
      <c r="V39" s="465">
        <f ca="1">+INDEX(WORLDCUP!$AT$6:$AT$97,MATCH(X39,WORLDCUP!$AI$6:$AI$97,0))</f>
        <v>-6</v>
      </c>
      <c r="W39" s="466" t="str">
        <f ca="1">+INDEX(WORLDCUP!$AR$6:$AR$97,MATCH(X39,WORLDCUP!$AI$6:$AI$97,0))&amp;"-"&amp;INDEX(WORLDCUP!$AS$6:$AS$97,MATCH(X39,WORLDCUP!$AI$6:$AI$97,0))</f>
        <v>3-9</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1</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2</v>
      </c>
      <c r="Q40" s="475">
        <f>IF(ISBLANK(INDEX(WORLDCUP!$AD$4:$AD$147,MATCH(M40,WORLDCUP!$AH$4:$AH$147,0))),"",INDEX(WORLDCUP!$AD$4:$AD$147,MATCH(M40,WORLDCUP!$AH$4:$AH$147,0)))</f>
        <v>2</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Irá</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2</v>
      </c>
      <c r="AC42" s="493" t="str">
        <f>+IF(ISBLANK(INDEX(WORLDCUP!$AB$101:$AB$147,MATCH(Y42,WORLDCUP!$Z$101:$Z$147,0))),"","( "&amp;INDEX(WORLDCUP!$AB$101:$AB$147,MATCH(Y42,WORLDCUP!$Z$101:$Z$147,0))&amp;" )")</f>
        <v>( 4 )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Irá</v>
      </c>
      <c r="AB43" s="468">
        <f>+IF(ISBLANK(INDEX(WORLDCUP!$AD$101:$AD$147,MATCH(Y43,WORLDCUP!$Z$101:$Z$147,0))),"",INDEX(WORLDCUP!$AD$101:$AD$147,MATCH(Y43,WORLDCUP!$Z$101:$Z$147,0)))</f>
        <v>2</v>
      </c>
      <c r="AC43" s="494" t="str">
        <f>+IF(ISBLANK(INDEX(WORLDCUP!$AE$101:$AE$147,MATCH(Y43,WORLDCUP!$Z$101:$Z$147,0))),"","( "&amp;INDEX(WORLDCUP!$AE$101:$AE$147,MATCH(Y43,WORLDCUP!$Z$101:$Z$147,0))&amp;" )")</f>
        <v>( 5 )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( 4 )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4</v>
      </c>
      <c r="K44" s="438" t="str">
        <f ca="1">+INDEX(WORLDCUP!$AR$6:$AR$97,MATCH(L44,WORLDCUP!$AI$6:$AI$97,0))&amp;"-"&amp;INDEX(WORLDCUP!$AS$6:$AS$97,MATCH(L44,WORLDCUP!$AI$6:$AI$97,0))</f>
        <v>8-4</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1</v>
      </c>
      <c r="R44" s="433" t="str">
        <f ca="1">+MID(INDEX(WORLDCUP!$AF$4:$AF$147,MATCH(M44,WORLDCUP!$AH$4:$AH$147,0)),1,3)</f>
        <v>Pan</v>
      </c>
      <c r="S44" s="434">
        <v>1</v>
      </c>
      <c r="T44" s="435" t="str">
        <f ca="1">+MID(INDEX(WORLDCUP!$AL$6:$AL$97,MATCH(X44,WORLDCUP!$AI$6:$AI$97,0)),1,3)</f>
        <v>Cro</v>
      </c>
      <c r="U44" s="436">
        <f ca="1">+INDEX(WORLDCUP!$AM$6:$AM$97,MATCH(X44,WORLDCUP!$AI$6:$AI$97,0))</f>
        <v>9</v>
      </c>
      <c r="V44" s="437">
        <f ca="1">+INDEX(WORLDCUP!$AT$6:$AT$97,MATCH(X44,WORLDCUP!$AI$6:$AI$97,0))</f>
        <v>5</v>
      </c>
      <c r="W44" s="438" t="str">
        <f ca="1">+INDEX(WORLDCUP!$AR$6:$AR$97,MATCH(X44,WORLDCUP!$AI$6:$AI$97,0))&amp;"-"&amp;INDEX(WORLDCUP!$AS$6:$AS$97,MATCH(X44,WORLDCUP!$AI$6:$AI$97,0))</f>
        <v>9-4</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( 5 )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0</v>
      </c>
      <c r="BJ44" s="451">
        <f ca="1">COUNTIF(Pool!$C$182:$C$197,Fixture!BG44)-BK44-BL44-BM44-BN44-BO44</f>
        <v>1</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3</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Jap</v>
      </c>
      <c r="I45" s="35">
        <f ca="1">+INDEX(WORLDCUP!$AM$6:$AM$97,MATCH(L45,WORLDCUP!$AI$6:$AI$97,0))</f>
        <v>7</v>
      </c>
      <c r="J45" s="36">
        <f ca="1">+INDEX(WORLDCUP!$AT$6:$AT$97,MATCH(L45,WORLDCUP!$AI$6:$AI$97,0))</f>
        <v>2</v>
      </c>
      <c r="K45" s="40" t="str">
        <f ca="1">+INDEX(WORLDCUP!$AR$6:$AR$97,MATCH(L45,WORLDCUP!$AI$6:$AI$97,0))&amp;"-"&amp;INDEX(WORLDCUP!$AS$6:$AS$97,MATCH(L45,WORLDCUP!$AI$6:$AI$97,0))</f>
        <v>6-4</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Ing</v>
      </c>
      <c r="U45" s="35">
        <f ca="1">+INDEX(WORLDCUP!$AM$6:$AM$97,MATCH(X45,WORLDCUP!$AI$6:$AI$97,0))</f>
        <v>6</v>
      </c>
      <c r="V45" s="36">
        <f ca="1">+INDEX(WORLDCUP!$AT$6:$AT$97,MATCH(X45,WORLDCUP!$AI$6:$AI$97,0))</f>
        <v>4</v>
      </c>
      <c r="W45" s="40" t="str">
        <f ca="1">+INDEX(WORLDCUP!$AR$6:$AR$97,MATCH(X45,WORLDCUP!$AI$6:$AI$97,0))&amp;"-"&amp;INDEX(WORLDCUP!$AS$6:$AS$97,MATCH(X45,WORLDCUP!$AI$6:$AI$97,0))</f>
        <v>8-4</v>
      </c>
      <c r="X45" s="177" t="s">
        <v>695</v>
      </c>
      <c r="Y45" s="177">
        <v>85</v>
      </c>
      <c r="Z45" s="412" t="s">
        <v>660</v>
      </c>
      <c r="AA45" s="413" t="str">
        <f ca="1">+MID(INDEX(WORLDCUP!$AA$101:$AA$147,MATCH(Y45,WORLDCUP!$Z$101:$Z$147,0)),1,3)</f>
        <v>Sui</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-2</v>
      </c>
      <c r="K46" s="40" t="str">
        <f ca="1">+INDEX(WORLDCUP!$AR$6:$AR$97,MATCH(L46,WORLDCUP!$AI$6:$AI$97,0))&amp;"-"&amp;INDEX(WORLDCUP!$AS$6:$AS$97,MATCH(L46,WORLDCUP!$AI$6:$AI$97,0))</f>
        <v>4-6</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4</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-2</v>
      </c>
      <c r="W46" s="40" t="str">
        <f ca="1">+INDEX(WORLDCUP!$AR$6:$AR$97,MATCH(X46,WORLDCUP!$AI$6:$AI$97,0))&amp;"-"&amp;INDEX(WORLDCUP!$AS$6:$AS$97,MATCH(X46,WORLDCUP!$AI$6:$AI$97,0))</f>
        <v>5-7</v>
      </c>
      <c r="X46" s="177" t="s">
        <v>453</v>
      </c>
      <c r="Y46" s="177">
        <v>85</v>
      </c>
      <c r="Z46" s="412" t="s">
        <v>740</v>
      </c>
      <c r="AA46" s="413" t="str">
        <f ca="1">+MID(INDEX(WORLDCUP!$AF$101:$AF$147,MATCH(Y46,WORLDCUP!$Z$101:$Z$147,0)),1,IF(WORLDCUP!$H$113&lt;144,6,3))</f>
        <v>Aus</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-4</v>
      </c>
      <c r="K47" s="466" t="str">
        <f ca="1">+INDEX(WORLDCUP!$AR$6:$AR$97,MATCH(L47,WORLDCUP!$AI$6:$AI$97,0))&amp;"-"&amp;INDEX(WORLDCUP!$AS$6:$AS$97,MATCH(L47,WORLDCUP!$AI$6:$AI$97,0))</f>
        <v>3-7</v>
      </c>
      <c r="L47" s="177" t="s">
        <v>678</v>
      </c>
      <c r="M47" s="177">
        <v>67</v>
      </c>
      <c r="N47" s="555"/>
      <c r="O47" s="431" t="str">
        <f ca="1">+MID(INDEX(WORLDCUP!$AA$4:$AA$147,MATCH(M47,WORLDCUP!$AH$4:$AH$147,0)),1,3)</f>
        <v>Pan</v>
      </c>
      <c r="P47" s="432">
        <f>IF(ISBLANK(INDEX(WORLDCUP!$AC$4:$AC$147,MATCH(M47,WORLDCUP!$AH$4:$AH$147,0))),"",INDEX(WORLDCUP!$AC$4:$AC$147,MATCH(M47,WORLDCUP!$AH$4:$AH$147,0)))</f>
        <v>1</v>
      </c>
      <c r="Q47" s="432">
        <f>IF(ISBLANK(INDEX(WORLDCUP!$AD$4:$AD$147,MATCH(M47,WORLDCUP!$AH$4:$AH$147,0))),"",INDEX(WORLDCUP!$AD$4:$AD$147,MATCH(M47,WORLDCUP!$AH$4:$AH$147,0)))</f>
        <v>4</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-7</v>
      </c>
      <c r="W47" s="466" t="str">
        <f ca="1">+INDEX(WORLDCUP!$AR$6:$AR$97,MATCH(X47,WORLDCUP!$AI$6:$AI$97,0))&amp;"-"&amp;INDEX(WORLDCUP!$AS$6:$AS$97,MATCH(X47,WORLDCUP!$AI$6:$AI$97,0))</f>
        <v>3-10</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3</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3</v>
      </c>
      <c r="Q48" s="475">
        <f>IF(ISBLANK(INDEX(WORLDCUP!$AD$4:$AD$147,MATCH(M48,WORLDCUP!$AH$4:$AH$147,0))),"",INDEX(WORLDCUP!$AD$4:$AD$147,MATCH(M48,WORLDCUP!$AH$4:$AH$147,0)))</f>
        <v>2</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Noruega</v>
      </c>
      <c r="F2" s="7" t="str">
        <f ca="1">+WORLDCUP!BD63</f>
        <v>Suecia</v>
      </c>
      <c r="G2" s="7" t="str">
        <f ca="1">+WORLDCUP!BD65</f>
        <v>Arabia Saudita</v>
      </c>
      <c r="H2" s="7" t="str">
        <f ca="1">+WORLDCUP!BD64</f>
        <v>Egipto</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Egipto</v>
      </c>
      <c r="E3" s="7" t="str">
        <f ca="1">+WORLDCUP!BD66</f>
        <v>Noruega</v>
      </c>
      <c r="F3" s="7" t="str">
        <f ca="1">+WORLDCUP!BD61</f>
        <v>Turquía</v>
      </c>
      <c r="G3" s="7" t="str">
        <f ca="1">+WORLDCUP!BD67</f>
        <v>Austria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Noruega</v>
      </c>
      <c r="F4" s="7" t="str">
        <f ca="1">+WORLDCUP!BD61</f>
        <v>Turquía</v>
      </c>
      <c r="G4" s="7" t="str">
        <f ca="1">+WORLDCUP!BD65</f>
        <v>Arabia Saudita</v>
      </c>
      <c r="H4" s="7" t="str">
        <f ca="1">+WORLDCUP!BD64</f>
        <v>Egipto</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Noruega</v>
      </c>
      <c r="F5" s="7" t="str">
        <f ca="1">+WORLDCUP!BD61</f>
        <v>Turquía</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Egipto</v>
      </c>
      <c r="E6" s="7" t="str">
        <f ca="1">+WORLDCUP!BD66</f>
        <v>Noruega</v>
      </c>
      <c r="F6" s="7" t="str">
        <f ca="1">+WORLDCUP!BD61</f>
        <v>Turquía</v>
      </c>
      <c r="G6" s="7" t="str">
        <f ca="1">+WORLDCUP!BD67</f>
        <v>Austria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Egipto</v>
      </c>
      <c r="E7" s="7" t="str">
        <f ca="1">+WORLDCUP!BD67</f>
        <v>Austria</v>
      </c>
      <c r="F7" s="7" t="str">
        <f ca="1">+WORLDCUP!BD61</f>
        <v>Turquía</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Egipto</v>
      </c>
      <c r="E8" s="7" t="str">
        <f ca="1">+WORLDCUP!BD66</f>
        <v>Noruega</v>
      </c>
      <c r="F8" s="7" t="str">
        <f ca="1">+WORLDCUP!BD61</f>
        <v>Turquía</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Egipto</v>
      </c>
      <c r="E9" s="7" t="str">
        <f ca="1">+WORLDCUP!BD67</f>
        <v>Austria</v>
      </c>
      <c r="F9" s="7" t="str">
        <f ca="1">+WORLDCUP!BD61</f>
        <v>Turquía</v>
      </c>
      <c r="G9" s="7" t="str">
        <f ca="1">+WORLDCUP!BD65</f>
        <v>Arabia Saudita</v>
      </c>
      <c r="H9" s="7" t="str">
        <f ca="1">+WORLDCUP!BD63</f>
        <v>Suecia</v>
      </c>
      <c r="I9" s="7" t="str">
        <f ca="1">+WORLDCUP!BD69</f>
        <v>Ghana</v>
      </c>
      <c r="J9" s="7" t="str">
        <f ca="1">+WORLDCUP!BD66</f>
        <v>Noruega</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Egipto</v>
      </c>
      <c r="E10" s="7" t="str">
        <f ca="1">+WORLDCUP!BD67</f>
        <v>Austria</v>
      </c>
      <c r="F10" s="7" t="str">
        <f ca="1">+WORLDCUP!BD61</f>
        <v>Turquía</v>
      </c>
      <c r="G10" s="7" t="str">
        <f ca="1">+WORLDCUP!BD65</f>
        <v>Arabia Saudita</v>
      </c>
      <c r="H10" s="7" t="str">
        <f ca="1">+WORLDCUP!BD63</f>
        <v>Suecia</v>
      </c>
      <c r="I10" s="7" t="str">
        <f ca="1">+WORLDCUP!BD66</f>
        <v>Noruega</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Egipto</v>
      </c>
      <c r="E11" s="7" t="str">
        <f ca="1">+WORLDCUP!BD66</f>
        <v>Noruega</v>
      </c>
      <c r="F11" s="7" t="str">
        <f ca="1">+WORLDCUP!BD60</f>
        <v>Escocia</v>
      </c>
      <c r="G11" s="7" t="str">
        <f ca="1">+WORLDCUP!BD67</f>
        <v>Austria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Noruega</v>
      </c>
      <c r="F12" s="7" t="str">
        <f ca="1">+WORLDCUP!BD60</f>
        <v>Escocia</v>
      </c>
      <c r="G12" s="7" t="str">
        <f ca="1">+WORLDCUP!BD65</f>
        <v>Arabia Saudita</v>
      </c>
      <c r="H12" s="7" t="str">
        <f ca="1">+WORLDCUP!BD64</f>
        <v>Egipto</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Noruega</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Egipto</v>
      </c>
      <c r="E14" s="7" t="str">
        <f ca="1">+WORLDCUP!BD66</f>
        <v>Noruega</v>
      </c>
      <c r="F14" s="7" t="str">
        <f ca="1">+WORLDCUP!BD60</f>
        <v>Escocia</v>
      </c>
      <c r="G14" s="7" t="str">
        <f ca="1">+WORLDCUP!BD67</f>
        <v>Austria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Egipto</v>
      </c>
      <c r="E15" s="7" t="str">
        <f ca="1">+WORLDCUP!BD67</f>
        <v>Austria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Egipto</v>
      </c>
      <c r="E16" s="7" t="str">
        <f ca="1">+WORLDCUP!BD66</f>
        <v>Noruega</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Egipto</v>
      </c>
      <c r="E17" s="7" t="str">
        <f ca="1">+WORLDCUP!BD67</f>
        <v>Austria</v>
      </c>
      <c r="F17" s="7" t="str">
        <f ca="1">+WORLDCUP!BD60</f>
        <v>Escocia</v>
      </c>
      <c r="G17" s="7" t="str">
        <f ca="1">+WORLDCUP!BD65</f>
        <v>Arabia Saudita</v>
      </c>
      <c r="H17" s="7" t="str">
        <f ca="1">+WORLDCUP!BD63</f>
        <v>Suecia</v>
      </c>
      <c r="I17" s="7" t="str">
        <f ca="1">+WORLDCUP!BD69</f>
        <v>Ghana</v>
      </c>
      <c r="J17" s="7" t="str">
        <f ca="1">+WORLDCUP!BD66</f>
        <v>Noruega</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Egipto</v>
      </c>
      <c r="E18" s="7" t="str">
        <f ca="1">+WORLDCUP!BD67</f>
        <v>Austria</v>
      </c>
      <c r="F18" s="7" t="str">
        <f ca="1">+WORLDCUP!BD60</f>
        <v>Escocia</v>
      </c>
      <c r="G18" s="7" t="str">
        <f ca="1">+WORLDCUP!BD65</f>
        <v>Arabia Saudita</v>
      </c>
      <c r="H18" s="7" t="str">
        <f ca="1">+WORLDCUP!BD63</f>
        <v>Suecia</v>
      </c>
      <c r="I18" s="7" t="str">
        <f ca="1">+WORLDCUP!BD66</f>
        <v>Noruega</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Egipto</v>
      </c>
      <c r="E19" s="7" t="str">
        <f ca="1">+WORLDCUP!BD66</f>
        <v>Noruega</v>
      </c>
      <c r="F19" s="7" t="str">
        <f ca="1">+WORLDCUP!BD60</f>
        <v>Escocia</v>
      </c>
      <c r="G19" s="7" t="str">
        <f ca="1">+WORLDCUP!BD67</f>
        <v>Austria</v>
      </c>
      <c r="H19" s="7" t="str">
        <f ca="1">+WORLDCUP!BD61</f>
        <v>Turquía</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Noruega</v>
      </c>
      <c r="F20" s="7" t="str">
        <f ca="1">+WORLDCUP!BD61</f>
        <v>Turquía</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Egipto</v>
      </c>
      <c r="E21" s="7" t="str">
        <f ca="1">+WORLDCUP!BD66</f>
        <v>Noruega</v>
      </c>
      <c r="F21" s="7" t="str">
        <f ca="1">+WORLDCUP!BD61</f>
        <v>Turquía</v>
      </c>
      <c r="G21" s="7" t="str">
        <f ca="1">+WORLDCUP!BD67</f>
        <v>Austria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Egipto</v>
      </c>
      <c r="E22" s="7" t="str">
        <f ca="1">+WORLDCUP!BD67</f>
        <v>Austria</v>
      </c>
      <c r="F22" s="7" t="str">
        <f ca="1">+WORLDCUP!BD61</f>
        <v>Turquía</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Egipto</v>
      </c>
      <c r="E23" s="7" t="str">
        <f ca="1">+WORLDCUP!BD66</f>
        <v>Noruega</v>
      </c>
      <c r="F23" s="7" t="str">
        <f ca="1">+WORLDCUP!BD61</f>
        <v>Turquía</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Egipto</v>
      </c>
      <c r="E24" s="7" t="str">
        <f ca="1">+WORLDCUP!BD67</f>
        <v>Austria</v>
      </c>
      <c r="F24" s="7" t="str">
        <f ca="1">+WORLDCUP!BD61</f>
        <v>Turquía</v>
      </c>
      <c r="G24" s="7" t="str">
        <f ca="1">+WORLDCUP!BD65</f>
        <v>Arabia Saudita</v>
      </c>
      <c r="H24" s="7" t="str">
        <f ca="1">+WORLDCUP!BD63</f>
        <v>Suecia</v>
      </c>
      <c r="I24" s="7" t="str">
        <f ca="1">+WORLDCUP!BD69</f>
        <v>Ghana</v>
      </c>
      <c r="J24" s="7" t="str">
        <f ca="1">+WORLDCUP!BD66</f>
        <v>Noruega</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Egipto</v>
      </c>
      <c r="E25" s="7" t="str">
        <f ca="1">+WORLDCUP!BD67</f>
        <v>Austria</v>
      </c>
      <c r="F25" s="7" t="str">
        <f ca="1">+WORLDCUP!BD61</f>
        <v>Turquía</v>
      </c>
      <c r="G25" s="7" t="str">
        <f ca="1">+WORLDCUP!BD65</f>
        <v>Arabia Saudita</v>
      </c>
      <c r="H25" s="7" t="str">
        <f ca="1">+WORLDCUP!BD63</f>
        <v>Suecia</v>
      </c>
      <c r="I25" s="7" t="str">
        <f ca="1">+WORLDCUP!BD66</f>
        <v>Noruega</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Noruega</v>
      </c>
      <c r="F26" s="7" t="str">
        <f ca="1">+WORLDCUP!BD60</f>
        <v>Escocia</v>
      </c>
      <c r="G26" s="7" t="str">
        <f ca="1">+WORLDCUP!BD65</f>
        <v>Arabia Saudita</v>
      </c>
      <c r="H26" s="7" t="str">
        <f ca="1">+WORLDCUP!BD61</f>
        <v>Turquía</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Egipto</v>
      </c>
      <c r="E27" s="7" t="str">
        <f ca="1">+WORLDCUP!BD66</f>
        <v>Noruega</v>
      </c>
      <c r="F27" s="7" t="str">
        <f ca="1">+WORLDCUP!BD60</f>
        <v>Escocia</v>
      </c>
      <c r="G27" s="7" t="str">
        <f ca="1">+WORLDCUP!BD67</f>
        <v>Austria</v>
      </c>
      <c r="H27" s="7" t="str">
        <f ca="1">+WORLDCUP!BD61</f>
        <v>Turquía</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Egipto</v>
      </c>
      <c r="E28" s="7" t="str">
        <f ca="1">+WORLDCUP!BD67</f>
        <v>Austria</v>
      </c>
      <c r="F28" s="7" t="str">
        <f ca="1">+WORLDCUP!BD60</f>
        <v>Escocia</v>
      </c>
      <c r="G28" s="7" t="str">
        <f ca="1">+WORLDCUP!BD65</f>
        <v>Arabia Saudita</v>
      </c>
      <c r="H28" s="7" t="str">
        <f ca="1">+WORLDCUP!BD61</f>
        <v>Turquía</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Egipto</v>
      </c>
      <c r="E29" s="7" t="str">
        <f ca="1">+WORLDCUP!BD66</f>
        <v>Noruega</v>
      </c>
      <c r="F29" s="7" t="str">
        <f ca="1">+WORLDCUP!BD60</f>
        <v>Escocia</v>
      </c>
      <c r="G29" s="7" t="str">
        <f ca="1">+WORLDCUP!BD65</f>
        <v>Arabia Saudita</v>
      </c>
      <c r="H29" s="7" t="str">
        <f ca="1">+WORLDCUP!BD61</f>
        <v>Turquía</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Egipto</v>
      </c>
      <c r="E30" s="7" t="str">
        <f ca="1">+WORLDCUP!BD67</f>
        <v>Austria</v>
      </c>
      <c r="F30" s="7" t="str">
        <f ca="1">+WORLDCUP!BD60</f>
        <v>Escocia</v>
      </c>
      <c r="G30" s="7" t="str">
        <f ca="1">+WORLDCUP!BD65</f>
        <v>Arabia Saudita</v>
      </c>
      <c r="H30" s="7" t="str">
        <f ca="1">+WORLDCUP!BD61</f>
        <v>Turquía</v>
      </c>
      <c r="I30" s="7" t="str">
        <f ca="1">+WORLDCUP!BD69</f>
        <v>Ghana</v>
      </c>
      <c r="J30" s="7" t="str">
        <f ca="1">+WORLDCUP!BD66</f>
        <v>Noruega</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Egipto</v>
      </c>
      <c r="E31" s="7" t="str">
        <f ca="1">+WORLDCUP!BD67</f>
        <v>Austria</v>
      </c>
      <c r="F31" s="7" t="str">
        <f ca="1">+WORLDCUP!BD60</f>
        <v>Escocia</v>
      </c>
      <c r="G31" s="7" t="str">
        <f ca="1">+WORLDCUP!BD65</f>
        <v>Arabia Saudita</v>
      </c>
      <c r="H31" s="7" t="str">
        <f ca="1">+WORLDCUP!BD61</f>
        <v>Turquía</v>
      </c>
      <c r="I31" s="7" t="str">
        <f ca="1">+WORLDCUP!BD66</f>
        <v>Noruega</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Turquía</v>
      </c>
      <c r="G32" s="7" t="str">
        <f ca="1">+WORLDCUP!BD66</f>
        <v>Noruega</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Turquía</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Noruega</v>
      </c>
      <c r="F34" s="7" t="str">
        <f ca="1">+WORLDCUP!BD61</f>
        <v>Turquía</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Turquía</v>
      </c>
      <c r="G35" s="7" t="str">
        <f ca="1">+WORLDCUP!BD65</f>
        <v>Arabia Saudita</v>
      </c>
      <c r="H35" s="7" t="str">
        <f ca="1">+WORLDCUP!BD63</f>
        <v>Suecia</v>
      </c>
      <c r="I35" s="7" t="str">
        <f ca="1">+WORLDCUP!BD69</f>
        <v>Ghana</v>
      </c>
      <c r="J35" s="7" t="str">
        <f ca="1">+WORLDCUP!BD66</f>
        <v>Noruega</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Turquía</v>
      </c>
      <c r="G36" s="7" t="str">
        <f ca="1">+WORLDCUP!BD65</f>
        <v>Arabia Saudita</v>
      </c>
      <c r="H36" s="7" t="str">
        <f ca="1">+WORLDCUP!BD63</f>
        <v>Suecia</v>
      </c>
      <c r="I36" s="7" t="str">
        <f ca="1">+WORLDCUP!BD66</f>
        <v>Noruega</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Egipto</v>
      </c>
      <c r="E37" s="7" t="str">
        <f ca="1">+WORLDCUP!BD62</f>
        <v>Costa de Marfil</v>
      </c>
      <c r="F37" s="7" t="str">
        <f ca="1">+WORLDCUP!BD61</f>
        <v>Turquía</v>
      </c>
      <c r="G37" s="7" t="str">
        <f ca="1">+WORLDCUP!BD67</f>
        <v>Austria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Egipto</v>
      </c>
      <c r="E38" s="7" t="str">
        <f ca="1">+WORLDCUP!BD62</f>
        <v>Costa de Marfil</v>
      </c>
      <c r="F38" s="7" t="str">
        <f ca="1">+WORLDCUP!BD61</f>
        <v>Turquía</v>
      </c>
      <c r="G38" s="7" t="str">
        <f ca="1">+WORLDCUP!BD66</f>
        <v>Noruega</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Egipto</v>
      </c>
      <c r="E39" s="7" t="str">
        <f ca="1">+WORLDCUP!BD62</f>
        <v>Costa de Marfil</v>
      </c>
      <c r="F39" s="7" t="str">
        <f ca="1">+WORLDCUP!BD61</f>
        <v>Turquía</v>
      </c>
      <c r="G39" s="7" t="str">
        <f ca="1">+WORLDCUP!BD67</f>
        <v>Austria</v>
      </c>
      <c r="H39" s="7" t="str">
        <f ca="1">+WORLDCUP!BD63</f>
        <v>Suecia</v>
      </c>
      <c r="I39" s="7" t="str">
        <f ca="1">+WORLDCUP!BD69</f>
        <v>Ghana</v>
      </c>
      <c r="J39" s="7" t="str">
        <f ca="1">+WORLDCUP!BD66</f>
        <v>Noruega</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Egipto</v>
      </c>
      <c r="E40" s="7" t="str">
        <f ca="1">+WORLDCUP!BD62</f>
        <v>Costa de Marfil</v>
      </c>
      <c r="F40" s="7" t="str">
        <f ca="1">+WORLDCUP!BD61</f>
        <v>Turquía</v>
      </c>
      <c r="G40" s="7" t="str">
        <f ca="1">+WORLDCUP!BD67</f>
        <v>Austria</v>
      </c>
      <c r="H40" s="7" t="str">
        <f ca="1">+WORLDCUP!BD63</f>
        <v>Suecia</v>
      </c>
      <c r="I40" s="7" t="str">
        <f ca="1">+WORLDCUP!BD66</f>
        <v>Noruega</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Egipto</v>
      </c>
      <c r="E41" s="7" t="str">
        <f ca="1">+WORLDCUP!BD62</f>
        <v>Costa de Marfil</v>
      </c>
      <c r="F41" s="7" t="str">
        <f ca="1">+WORLDCUP!BD61</f>
        <v>Turquía</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Egipto</v>
      </c>
      <c r="E42" s="7" t="str">
        <f ca="1">+WORLDCUP!BD67</f>
        <v>Austria</v>
      </c>
      <c r="F42" s="7" t="str">
        <f ca="1">+WORLDCUP!BD61</f>
        <v>Turquía</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Egipto</v>
      </c>
      <c r="E43" s="7" t="str">
        <f ca="1">+WORLDCUP!BD67</f>
        <v>Austria</v>
      </c>
      <c r="F43" s="7" t="str">
        <f ca="1">+WORLDCUP!BD61</f>
        <v>Turquía</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Egipto</v>
      </c>
      <c r="E44" s="7" t="str">
        <f ca="1">+WORLDCUP!BD62</f>
        <v>Costa de Marfil</v>
      </c>
      <c r="F44" s="7" t="str">
        <f ca="1">+WORLDCUP!BD61</f>
        <v>Turquía</v>
      </c>
      <c r="G44" s="7" t="str">
        <f ca="1">+WORLDCUP!BD65</f>
        <v>Arabia Saudita</v>
      </c>
      <c r="H44" s="7" t="str">
        <f ca="1">+WORLDCUP!BD63</f>
        <v>Suecia</v>
      </c>
      <c r="I44" s="7" t="str">
        <f ca="1">+WORLDCUP!BD69</f>
        <v>Ghana</v>
      </c>
      <c r="J44" s="7" t="str">
        <f ca="1">+WORLDCUP!BD66</f>
        <v>Noruega</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Egipto</v>
      </c>
      <c r="E45" s="7" t="str">
        <f ca="1">+WORLDCUP!BD62</f>
        <v>Costa de Marfil</v>
      </c>
      <c r="F45" s="7" t="str">
        <f ca="1">+WORLDCUP!BD61</f>
        <v>Turquía</v>
      </c>
      <c r="G45" s="7" t="str">
        <f ca="1">+WORLDCUP!BD65</f>
        <v>Arabia Saudita</v>
      </c>
      <c r="H45" s="7" t="str">
        <f ca="1">+WORLDCUP!BD63</f>
        <v>Suecia</v>
      </c>
      <c r="I45" s="7" t="str">
        <f ca="1">+WORLDCUP!BD66</f>
        <v>Noruega</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Egipto</v>
      </c>
      <c r="E46" s="7" t="str">
        <f ca="1">+WORLDCUP!BD67</f>
        <v>Austria</v>
      </c>
      <c r="F46" s="7" t="str">
        <f ca="1">+WORLDCUP!BD61</f>
        <v>Turquía</v>
      </c>
      <c r="G46" s="7" t="str">
        <f ca="1">+WORLDCUP!BD65</f>
        <v>Arabia Saudita</v>
      </c>
      <c r="H46" s="7" t="str">
        <f ca="1">+WORLDCUP!BD63</f>
        <v>Suecia</v>
      </c>
      <c r="I46" s="7" t="str">
        <f ca="1">+WORLDCUP!BD62</f>
        <v>Costa de Marfil</v>
      </c>
      <c r="J46" s="7" t="str">
        <f ca="1">+WORLDCUP!BD66</f>
        <v>Noruega</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Bosnia y Herzegovina</v>
      </c>
      <c r="F47" s="7" t="str">
        <f ca="1">+WORLDCUP!BD63</f>
        <v>Suecia</v>
      </c>
      <c r="G47" s="7" t="str">
        <f ca="1">+WORLDCUP!BD66</f>
        <v>Noruega</v>
      </c>
      <c r="H47" s="7" t="str">
        <f ca="1">+WORLDCUP!BD64</f>
        <v>Egipto</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Noruega</v>
      </c>
      <c r="F48" s="7" t="str">
        <f ca="1">+WORLDCUP!BD59</f>
        <v>Bosnia y Herzegovina</v>
      </c>
      <c r="G48" s="7" t="str">
        <f ca="1">+WORLDCUP!BD65</f>
        <v>Arabia Saudita</v>
      </c>
      <c r="H48" s="7" t="str">
        <f ca="1">+WORLDCUP!BD64</f>
        <v>Egipto</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Bosnia y Herzegovina</v>
      </c>
      <c r="F49" s="7" t="str">
        <f ca="1">+WORLDCUP!BD63</f>
        <v>Suecia</v>
      </c>
      <c r="G49" s="7" t="str">
        <f ca="1">+WORLDCUP!BD66</f>
        <v>Noruega</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Bosnia y Herzegovina</v>
      </c>
      <c r="F50" s="7" t="str">
        <f ca="1">+WORLDCUP!BD63</f>
        <v>Suecia</v>
      </c>
      <c r="G50" s="7" t="str">
        <f ca="1">+WORLDCUP!BD66</f>
        <v>Noruega</v>
      </c>
      <c r="H50" s="7" t="str">
        <f ca="1">+WORLDCUP!BD64</f>
        <v>Egipto</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Bosnia y Herzegovina</v>
      </c>
      <c r="F51" s="7" t="str">
        <f ca="1">+WORLDCUP!BD63</f>
        <v>Suecia</v>
      </c>
      <c r="G51" s="7" t="str">
        <f ca="1">+WORLDCUP!BD65</f>
        <v>Arabia Saudita</v>
      </c>
      <c r="H51" s="7" t="str">
        <f ca="1">+WORLDCUP!BD64</f>
        <v>Egipto</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Egipto</v>
      </c>
      <c r="E52" s="7" t="str">
        <f ca="1">+WORLDCUP!BD59</f>
        <v>Bosnia y Herzegovina</v>
      </c>
      <c r="F52" s="7" t="str">
        <f ca="1">+WORLDCUP!BD63</f>
        <v>Suecia</v>
      </c>
      <c r="G52" s="7" t="str">
        <f ca="1">+WORLDCUP!BD66</f>
        <v>Noruega</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Bosnia y Herzegovina</v>
      </c>
      <c r="F53" s="7" t="str">
        <f ca="1">+WORLDCUP!BD63</f>
        <v>Suecia</v>
      </c>
      <c r="G53" s="7" t="str">
        <f ca="1">+WORLDCUP!BD65</f>
        <v>Arabia Saudita</v>
      </c>
      <c r="H53" s="7" t="str">
        <f ca="1">+WORLDCUP!BD64</f>
        <v>Egipto</v>
      </c>
      <c r="I53" s="7" t="str">
        <f ca="1">+WORLDCUP!BD69</f>
        <v>Ghana</v>
      </c>
      <c r="J53" s="7" t="str">
        <f ca="1">+WORLDCUP!BD66</f>
        <v>Noruega</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Bosnia y Herzegovina</v>
      </c>
      <c r="F54" s="7" t="str">
        <f ca="1">+WORLDCUP!BD63</f>
        <v>Suecia</v>
      </c>
      <c r="G54" s="7" t="str">
        <f ca="1">+WORLDCUP!BD65</f>
        <v>Arabia Saudita</v>
      </c>
      <c r="H54" s="7" t="str">
        <f ca="1">+WORLDCUP!BD64</f>
        <v>Egipto</v>
      </c>
      <c r="I54" s="7" t="str">
        <f ca="1">+WORLDCUP!BD66</f>
        <v>Noruega</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Bosnia y Herzegovina</v>
      </c>
      <c r="F55" s="7" t="str">
        <f ca="1">+WORLDCUP!BD61</f>
        <v>Turquía</v>
      </c>
      <c r="G55" s="7" t="str">
        <f ca="1">+WORLDCUP!BD66</f>
        <v>Noruega</v>
      </c>
      <c r="H55" s="7" t="str">
        <f ca="1">+WORLDCUP!BD64</f>
        <v>Egipto</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Bosnia y Herzegovina</v>
      </c>
      <c r="F56" s="7" t="str">
        <f ca="1">+WORLDCUP!BD61</f>
        <v>Turquía</v>
      </c>
      <c r="G56" s="7" t="str">
        <f ca="1">+WORLDCUP!BD66</f>
        <v>Noruega</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Noruega</v>
      </c>
      <c r="D57" s="7" t="str">
        <f ca="1">+WORLDCUP!BD64</f>
        <v>Egipto</v>
      </c>
      <c r="E57" s="7" t="str">
        <f ca="1">+WORLDCUP!BD59</f>
        <v>Bosnia y Herzegovina</v>
      </c>
      <c r="F57" s="7" t="str">
        <f ca="1">+WORLDCUP!BD61</f>
        <v>Turquía</v>
      </c>
      <c r="G57" s="7" t="str">
        <f ca="1">+WORLDCUP!BD67</f>
        <v>Austria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Egipto</v>
      </c>
      <c r="E58" s="7" t="str">
        <f ca="1">+WORLDCUP!BD59</f>
        <v>Bosnia y Herzegovina</v>
      </c>
      <c r="F58" s="7" t="str">
        <f ca="1">+WORLDCUP!BD61</f>
        <v>Turquía</v>
      </c>
      <c r="G58" s="7" t="str">
        <f ca="1">+WORLDCUP!BD67</f>
        <v>Austria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Egipto</v>
      </c>
      <c r="E59" s="7" t="str">
        <f ca="1">+WORLDCUP!BD59</f>
        <v>Bosnia y Herzegovina</v>
      </c>
      <c r="F59" s="7" t="str">
        <f ca="1">+WORLDCUP!BD61</f>
        <v>Turquía</v>
      </c>
      <c r="G59" s="7" t="str">
        <f ca="1">+WORLDCUP!BD66</f>
        <v>Noruega</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Egipto</v>
      </c>
      <c r="E60" s="7" t="str">
        <f ca="1">+WORLDCUP!BD59</f>
        <v>Bosnia y Herzegovina</v>
      </c>
      <c r="F60" s="7" t="str">
        <f ca="1">+WORLDCUP!BD61</f>
        <v>Turquía</v>
      </c>
      <c r="G60" s="7" t="str">
        <f ca="1">+WORLDCUP!BD67</f>
        <v>Austria</v>
      </c>
      <c r="H60" s="7" t="str">
        <f ca="1">+WORLDCUP!BD63</f>
        <v>Suecia</v>
      </c>
      <c r="I60" s="7" t="str">
        <f ca="1">+WORLDCUP!BD69</f>
        <v>Ghana</v>
      </c>
      <c r="J60" s="7" t="str">
        <f ca="1">+WORLDCUP!BD66</f>
        <v>Noruega</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Egipto</v>
      </c>
      <c r="E61" s="7" t="str">
        <f ca="1">+WORLDCUP!BD59</f>
        <v>Bosnia y Herzegovina</v>
      </c>
      <c r="F61" s="7" t="str">
        <f ca="1">+WORLDCUP!BD61</f>
        <v>Turquía</v>
      </c>
      <c r="G61" s="7" t="str">
        <f ca="1">+WORLDCUP!BD67</f>
        <v>Austria</v>
      </c>
      <c r="H61" s="7" t="str">
        <f ca="1">+WORLDCUP!BD63</f>
        <v>Suecia</v>
      </c>
      <c r="I61" s="7" t="str">
        <f ca="1">+WORLDCUP!BD66</f>
        <v>Noruega</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Bosnia y Herzegovina</v>
      </c>
      <c r="F62" s="7" t="str">
        <f ca="1">+WORLDCUP!BD61</f>
        <v>Turquía</v>
      </c>
      <c r="G62" s="7" t="str">
        <f ca="1">+WORLDCUP!BD66</f>
        <v>Noruega</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Bosnia y Herzegovina</v>
      </c>
      <c r="F63" s="7" t="str">
        <f ca="1">+WORLDCUP!BD61</f>
        <v>Turquía</v>
      </c>
      <c r="G63" s="7" t="str">
        <f ca="1">+WORLDCUP!BD66</f>
        <v>Noruega</v>
      </c>
      <c r="H63" s="7" t="str">
        <f ca="1">+WORLDCUP!BD64</f>
        <v>Egipto</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Bosnia y Herzegovina</v>
      </c>
      <c r="F64" s="7" t="str">
        <f ca="1">+WORLDCUP!BD61</f>
        <v>Turquía</v>
      </c>
      <c r="G64" s="7" t="str">
        <f ca="1">+WORLDCUP!BD65</f>
        <v>Arabia Saudita</v>
      </c>
      <c r="H64" s="7" t="str">
        <f ca="1">+WORLDCUP!BD64</f>
        <v>Egipto</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Egipto</v>
      </c>
      <c r="E65" s="7" t="str">
        <f ca="1">+WORLDCUP!BD59</f>
        <v>Bosnia y Herzegovina</v>
      </c>
      <c r="F65" s="7" t="str">
        <f ca="1">+WORLDCUP!BD61</f>
        <v>Turquía</v>
      </c>
      <c r="G65" s="7" t="str">
        <f ca="1">+WORLDCUP!BD66</f>
        <v>Noruega</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Bosnia y Herzegovina</v>
      </c>
      <c r="F66" s="7" t="str">
        <f ca="1">+WORLDCUP!BD61</f>
        <v>Turquía</v>
      </c>
      <c r="G66" s="7" t="str">
        <f ca="1">+WORLDCUP!BD65</f>
        <v>Arabia Saudita</v>
      </c>
      <c r="H66" s="7" t="str">
        <f ca="1">+WORLDCUP!BD64</f>
        <v>Egipto</v>
      </c>
      <c r="I66" s="7" t="str">
        <f ca="1">+WORLDCUP!BD69</f>
        <v>Ghana</v>
      </c>
      <c r="J66" s="7" t="str">
        <f ca="1">+WORLDCUP!BD66</f>
        <v>Noruega</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Bosnia y Herzegovina</v>
      </c>
      <c r="F67" s="7" t="str">
        <f ca="1">+WORLDCUP!BD61</f>
        <v>Turquía</v>
      </c>
      <c r="G67" s="7" t="str">
        <f ca="1">+WORLDCUP!BD65</f>
        <v>Arabia Saudita</v>
      </c>
      <c r="H67" s="7" t="str">
        <f ca="1">+WORLDCUP!BD64</f>
        <v>Egipto</v>
      </c>
      <c r="I67" s="7" t="str">
        <f ca="1">+WORLDCUP!BD66</f>
        <v>Noruega</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Bosnia y Herzegovina</v>
      </c>
      <c r="F68" s="7" t="str">
        <f ca="1">+WORLDCUP!BD61</f>
        <v>Turquía</v>
      </c>
      <c r="G68" s="7" t="str">
        <f ca="1">+WORLDCUP!BD66</f>
        <v>Noruega</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Bosnia y Herzegovina</v>
      </c>
      <c r="F69" s="7" t="str">
        <f ca="1">+WORLDCUP!BD61</f>
        <v>Turquía</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Noruega</v>
      </c>
      <c r="E70" s="7" t="str">
        <f ca="1">+WORLDCUP!BD59</f>
        <v>Bosnia y Herzegovina</v>
      </c>
      <c r="F70" s="7" t="str">
        <f ca="1">+WORLDCUP!BD61</f>
        <v>Turquía</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Bosnia y Herzegovina</v>
      </c>
      <c r="F71" s="7" t="str">
        <f ca="1">+WORLDCUP!BD61</f>
        <v>Turquía</v>
      </c>
      <c r="G71" s="7" t="str">
        <f ca="1">+WORLDCUP!BD65</f>
        <v>Arabia Saudita</v>
      </c>
      <c r="H71" s="7" t="str">
        <f ca="1">+WORLDCUP!BD63</f>
        <v>Suecia</v>
      </c>
      <c r="I71" s="7" t="str">
        <f ca="1">+WORLDCUP!BD69</f>
        <v>Ghana</v>
      </c>
      <c r="J71" s="7" t="str">
        <f ca="1">+WORLDCUP!BD66</f>
        <v>Noruega</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Bosnia y Herzegovina</v>
      </c>
      <c r="F72" s="7" t="str">
        <f ca="1">+WORLDCUP!BD61</f>
        <v>Turquía</v>
      </c>
      <c r="G72" s="7" t="str">
        <f ca="1">+WORLDCUP!BD65</f>
        <v>Arabia Saudita</v>
      </c>
      <c r="H72" s="7" t="str">
        <f ca="1">+WORLDCUP!BD63</f>
        <v>Suecia</v>
      </c>
      <c r="I72" s="7" t="str">
        <f ca="1">+WORLDCUP!BD66</f>
        <v>Noruega</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Egipto</v>
      </c>
      <c r="E73" s="7" t="str">
        <f ca="1">+WORLDCUP!BD59</f>
        <v>Bosnia y Herzegovina</v>
      </c>
      <c r="F73" s="7" t="str">
        <f ca="1">+WORLDCUP!BD61</f>
        <v>Turquía</v>
      </c>
      <c r="G73" s="7" t="str">
        <f ca="1">+WORLDCUP!BD67</f>
        <v>Austria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Egipto</v>
      </c>
      <c r="E74" s="7" t="str">
        <f ca="1">+WORLDCUP!BD59</f>
        <v>Bosnia y Herzegovina</v>
      </c>
      <c r="F74" s="7" t="str">
        <f ca="1">+WORLDCUP!BD61</f>
        <v>Turquía</v>
      </c>
      <c r="G74" s="7" t="str">
        <f ca="1">+WORLDCUP!BD66</f>
        <v>Noruega</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Egipto</v>
      </c>
      <c r="E75" s="7" t="str">
        <f ca="1">+WORLDCUP!BD59</f>
        <v>Bosnia y Herzegovina</v>
      </c>
      <c r="F75" s="7" t="str">
        <f ca="1">+WORLDCUP!BD61</f>
        <v>Turquía</v>
      </c>
      <c r="G75" s="7" t="str">
        <f ca="1">+WORLDCUP!BD67</f>
        <v>Austria</v>
      </c>
      <c r="H75" s="7" t="str">
        <f ca="1">+WORLDCUP!BD63</f>
        <v>Suecia</v>
      </c>
      <c r="I75" s="7" t="str">
        <f ca="1">+WORLDCUP!BD69</f>
        <v>Ghana</v>
      </c>
      <c r="J75" s="7" t="str">
        <f ca="1">+WORLDCUP!BD66</f>
        <v>Noruega</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Egipto</v>
      </c>
      <c r="E76" s="7" t="str">
        <f ca="1">+WORLDCUP!BD59</f>
        <v>Bosnia y Herzegovina</v>
      </c>
      <c r="F76" s="7" t="str">
        <f ca="1">+WORLDCUP!BD61</f>
        <v>Turquía</v>
      </c>
      <c r="G76" s="7" t="str">
        <f ca="1">+WORLDCUP!BD67</f>
        <v>Austria</v>
      </c>
      <c r="H76" s="7" t="str">
        <f ca="1">+WORLDCUP!BD63</f>
        <v>Suecia</v>
      </c>
      <c r="I76" s="7" t="str">
        <f ca="1">+WORLDCUP!BD66</f>
        <v>Noruega</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Egipto</v>
      </c>
      <c r="E77" s="7" t="str">
        <f ca="1">+WORLDCUP!BD59</f>
        <v>Bosnia y Herzegovina</v>
      </c>
      <c r="F77" s="7" t="str">
        <f ca="1">+WORLDCUP!BD61</f>
        <v>Turquía</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Egipto</v>
      </c>
      <c r="E78" s="7" t="str">
        <f ca="1">+WORLDCUP!BD59</f>
        <v>Bosnia y Herzegovina</v>
      </c>
      <c r="F78" s="7" t="str">
        <f ca="1">+WORLDCUP!BD61</f>
        <v>Turquía</v>
      </c>
      <c r="G78" s="7" t="str">
        <f ca="1">+WORLDCUP!BD67</f>
        <v>Austria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Egipto</v>
      </c>
      <c r="E79" s="7" t="str">
        <f ca="1">+WORLDCUP!BD59</f>
        <v>Bosnia y Herzegovina</v>
      </c>
      <c r="F79" s="7" t="str">
        <f ca="1">+WORLDCUP!BD61</f>
        <v>Turquía</v>
      </c>
      <c r="G79" s="7" t="str">
        <f ca="1">+WORLDCUP!BD67</f>
        <v>Austria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Egipto</v>
      </c>
      <c r="E80" s="7" t="str">
        <f ca="1">+WORLDCUP!BD59</f>
        <v>Bosnia y Herzegovina</v>
      </c>
      <c r="F80" s="7" t="str">
        <f ca="1">+WORLDCUP!BD61</f>
        <v>Turquía</v>
      </c>
      <c r="G80" s="7" t="str">
        <f ca="1">+WORLDCUP!BD65</f>
        <v>Arabia Saudita</v>
      </c>
      <c r="H80" s="7" t="str">
        <f ca="1">+WORLDCUP!BD63</f>
        <v>Suecia</v>
      </c>
      <c r="I80" s="7" t="str">
        <f ca="1">+WORLDCUP!BD69</f>
        <v>Ghana</v>
      </c>
      <c r="J80" s="7" t="str">
        <f ca="1">+WORLDCUP!BD66</f>
        <v>Noruega</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Egipto</v>
      </c>
      <c r="E81" s="7" t="str">
        <f ca="1">+WORLDCUP!BD59</f>
        <v>Bosnia y Herzegovina</v>
      </c>
      <c r="F81" s="7" t="str">
        <f ca="1">+WORLDCUP!BD61</f>
        <v>Turquía</v>
      </c>
      <c r="G81" s="7" t="str">
        <f ca="1">+WORLDCUP!BD65</f>
        <v>Arabia Saudita</v>
      </c>
      <c r="H81" s="7" t="str">
        <f ca="1">+WORLDCUP!BD63</f>
        <v>Suecia</v>
      </c>
      <c r="I81" s="7" t="str">
        <f ca="1">+WORLDCUP!BD66</f>
        <v>Noruega</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Egipto</v>
      </c>
      <c r="E82" s="7" t="str">
        <f ca="1">+WORLDCUP!BD59</f>
        <v>Bosnia y Herzegovina</v>
      </c>
      <c r="F82" s="7" t="str">
        <f ca="1">+WORLDCUP!BD61</f>
        <v>Turquía</v>
      </c>
      <c r="G82" s="7" t="str">
        <f ca="1">+WORLDCUP!BD67</f>
        <v>Austria</v>
      </c>
      <c r="H82" s="7" t="str">
        <f ca="1">+WORLDCUP!BD63</f>
        <v>Suecia</v>
      </c>
      <c r="I82" s="7" t="str">
        <f ca="1">+WORLDCUP!BD62</f>
        <v>Costa de Marfil</v>
      </c>
      <c r="J82" s="7" t="str">
        <f ca="1">+WORLDCUP!BD66</f>
        <v>Noruega</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Bosnia y Herzegovina</v>
      </c>
      <c r="F83" s="7" t="str">
        <f ca="1">+WORLDCUP!BD60</f>
        <v>Escocia</v>
      </c>
      <c r="G83" s="7" t="str">
        <f ca="1">+WORLDCUP!BD66</f>
        <v>Noruega</v>
      </c>
      <c r="H83" s="7" t="str">
        <f ca="1">+WORLDCUP!BD64</f>
        <v>Egipto</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Bosnia y Herzegovina</v>
      </c>
      <c r="F84" s="7" t="str">
        <f ca="1">+WORLDCUP!BD60</f>
        <v>Escocia</v>
      </c>
      <c r="G84" s="7" t="str">
        <f ca="1">+WORLDCUP!BD66</f>
        <v>Noruega</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Noruega</v>
      </c>
      <c r="D85" s="7" t="str">
        <f ca="1">+WORLDCUP!BD64</f>
        <v>Egipto</v>
      </c>
      <c r="E85" s="7" t="str">
        <f ca="1">+WORLDCUP!BD59</f>
        <v>Bosnia y Herzegovina</v>
      </c>
      <c r="F85" s="7" t="str">
        <f ca="1">+WORLDCUP!BD60</f>
        <v>Escocia</v>
      </c>
      <c r="G85" s="7" t="str">
        <f ca="1">+WORLDCUP!BD67</f>
        <v>Austria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Egipto</v>
      </c>
      <c r="E86" s="7" t="str">
        <f ca="1">+WORLDCUP!BD59</f>
        <v>Bosnia y Herzegovina</v>
      </c>
      <c r="F86" s="7" t="str">
        <f ca="1">+WORLDCUP!BD60</f>
        <v>Escocia</v>
      </c>
      <c r="G86" s="7" t="str">
        <f ca="1">+WORLDCUP!BD67</f>
        <v>Austria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Egipto</v>
      </c>
      <c r="E87" s="7" t="str">
        <f ca="1">+WORLDCUP!BD59</f>
        <v>Bosnia y Herzegovina</v>
      </c>
      <c r="F87" s="7" t="str">
        <f ca="1">+WORLDCUP!BD60</f>
        <v>Escocia</v>
      </c>
      <c r="G87" s="7" t="str">
        <f ca="1">+WORLDCUP!BD66</f>
        <v>Noruega</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Egipto</v>
      </c>
      <c r="E88" s="7" t="str">
        <f ca="1">+WORLDCUP!BD59</f>
        <v>Bosnia y Herzegovina</v>
      </c>
      <c r="F88" s="7" t="str">
        <f ca="1">+WORLDCUP!BD60</f>
        <v>Escocia</v>
      </c>
      <c r="G88" s="7" t="str">
        <f ca="1">+WORLDCUP!BD67</f>
        <v>Austria</v>
      </c>
      <c r="H88" s="7" t="str">
        <f ca="1">+WORLDCUP!BD63</f>
        <v>Suecia</v>
      </c>
      <c r="I88" s="7" t="str">
        <f ca="1">+WORLDCUP!BD69</f>
        <v>Ghana</v>
      </c>
      <c r="J88" s="7" t="str">
        <f ca="1">+WORLDCUP!BD66</f>
        <v>Noruega</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Egipto</v>
      </c>
      <c r="E89" s="7" t="str">
        <f ca="1">+WORLDCUP!BD59</f>
        <v>Bosnia y Herzegovina</v>
      </c>
      <c r="F89" s="7" t="str">
        <f ca="1">+WORLDCUP!BD60</f>
        <v>Escocia</v>
      </c>
      <c r="G89" s="7" t="str">
        <f ca="1">+WORLDCUP!BD67</f>
        <v>Austria</v>
      </c>
      <c r="H89" s="7" t="str">
        <f ca="1">+WORLDCUP!BD63</f>
        <v>Suecia</v>
      </c>
      <c r="I89" s="7" t="str">
        <f ca="1">+WORLDCUP!BD66</f>
        <v>Noruega</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Bosnia y Herzegovina</v>
      </c>
      <c r="F90" s="7" t="str">
        <f ca="1">+WORLDCUP!BD60</f>
        <v>Escocia</v>
      </c>
      <c r="G90" s="7" t="str">
        <f ca="1">+WORLDCUP!BD66</f>
        <v>Noruega</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Bosnia y Herzegovina</v>
      </c>
      <c r="F91" s="7" t="str">
        <f ca="1">+WORLDCUP!BD60</f>
        <v>Escocia</v>
      </c>
      <c r="G91" s="7" t="str">
        <f ca="1">+WORLDCUP!BD66</f>
        <v>Noruega</v>
      </c>
      <c r="H91" s="7" t="str">
        <f ca="1">+WORLDCUP!BD64</f>
        <v>Egipto</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Bosnia y Herzegovina</v>
      </c>
      <c r="F92" s="7" t="str">
        <f ca="1">+WORLDCUP!BD60</f>
        <v>Escocia</v>
      </c>
      <c r="G92" s="7" t="str">
        <f ca="1">+WORLDCUP!BD65</f>
        <v>Arabia Saudita</v>
      </c>
      <c r="H92" s="7" t="str">
        <f ca="1">+WORLDCUP!BD64</f>
        <v>Egipto</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Egipto</v>
      </c>
      <c r="E93" s="7" t="str">
        <f ca="1">+WORLDCUP!BD59</f>
        <v>Bosnia y Herzegovina</v>
      </c>
      <c r="F93" s="7" t="str">
        <f ca="1">+WORLDCUP!BD60</f>
        <v>Escocia</v>
      </c>
      <c r="G93" s="7" t="str">
        <f ca="1">+WORLDCUP!BD66</f>
        <v>Noruega</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Bosnia y Herzegovina</v>
      </c>
      <c r="F94" s="7" t="str">
        <f ca="1">+WORLDCUP!BD60</f>
        <v>Escocia</v>
      </c>
      <c r="G94" s="7" t="str">
        <f ca="1">+WORLDCUP!BD65</f>
        <v>Arabia Saudita</v>
      </c>
      <c r="H94" s="7" t="str">
        <f ca="1">+WORLDCUP!BD64</f>
        <v>Egipto</v>
      </c>
      <c r="I94" s="7" t="str">
        <f ca="1">+WORLDCUP!BD69</f>
        <v>Ghana</v>
      </c>
      <c r="J94" s="7" t="str">
        <f ca="1">+WORLDCUP!BD66</f>
        <v>Noruega</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Bosnia y Herzegovina</v>
      </c>
      <c r="F95" s="7" t="str">
        <f ca="1">+WORLDCUP!BD60</f>
        <v>Escocia</v>
      </c>
      <c r="G95" s="7" t="str">
        <f ca="1">+WORLDCUP!BD65</f>
        <v>Arabia Saudita</v>
      </c>
      <c r="H95" s="7" t="str">
        <f ca="1">+WORLDCUP!BD64</f>
        <v>Egipto</v>
      </c>
      <c r="I95" s="7" t="str">
        <f ca="1">+WORLDCUP!BD66</f>
        <v>Noruega</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Bosnia y Herzegovina</v>
      </c>
      <c r="F96" s="7" t="str">
        <f ca="1">+WORLDCUP!BD60</f>
        <v>Escocia</v>
      </c>
      <c r="G96" s="7" t="str">
        <f ca="1">+WORLDCUP!BD66</f>
        <v>Noruega</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Bosnia y Herzegovina</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Noruega</v>
      </c>
      <c r="E98" s="7" t="str">
        <f ca="1">+WORLDCUP!BD59</f>
        <v>Bosnia y Herzegovina</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Bosnia y Herzegovina</v>
      </c>
      <c r="F99" s="7" t="str">
        <f ca="1">+WORLDCUP!BD60</f>
        <v>Escocia</v>
      </c>
      <c r="G99" s="7" t="str">
        <f ca="1">+WORLDCUP!BD65</f>
        <v>Arabia Saudita</v>
      </c>
      <c r="H99" s="7" t="str">
        <f ca="1">+WORLDCUP!BD63</f>
        <v>Suecia</v>
      </c>
      <c r="I99" s="7" t="str">
        <f ca="1">+WORLDCUP!BD69</f>
        <v>Ghana</v>
      </c>
      <c r="J99" s="7" t="str">
        <f ca="1">+WORLDCUP!BD66</f>
        <v>Noruega</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Bosnia y Herzegovina</v>
      </c>
      <c r="F100" s="7" t="str">
        <f ca="1">+WORLDCUP!BD60</f>
        <v>Escocia</v>
      </c>
      <c r="G100" s="7" t="str">
        <f ca="1">+WORLDCUP!BD65</f>
        <v>Arabia Saudita</v>
      </c>
      <c r="H100" s="7" t="str">
        <f ca="1">+WORLDCUP!BD63</f>
        <v>Suecia</v>
      </c>
      <c r="I100" s="7" t="str">
        <f ca="1">+WORLDCUP!BD66</f>
        <v>Noruega</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Egipto</v>
      </c>
      <c r="E101" s="7" t="str">
        <f ca="1">+WORLDCUP!BD59</f>
        <v>Bosnia y Herzegovina</v>
      </c>
      <c r="F101" s="7" t="str">
        <f ca="1">+WORLDCUP!BD60</f>
        <v>Escocia</v>
      </c>
      <c r="G101" s="7" t="str">
        <f ca="1">+WORLDCUP!BD67</f>
        <v>Austria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Egipto</v>
      </c>
      <c r="E102" s="7" t="str">
        <f ca="1">+WORLDCUP!BD59</f>
        <v>Bosnia y Herzegovina</v>
      </c>
      <c r="F102" s="7" t="str">
        <f ca="1">+WORLDCUP!BD60</f>
        <v>Escocia</v>
      </c>
      <c r="G102" s="7" t="str">
        <f ca="1">+WORLDCUP!BD66</f>
        <v>Noruega</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Egipto</v>
      </c>
      <c r="E103" s="7" t="str">
        <f ca="1">+WORLDCUP!BD59</f>
        <v>Bosnia y Herzegovina</v>
      </c>
      <c r="F103" s="7" t="str">
        <f ca="1">+WORLDCUP!BD60</f>
        <v>Escocia</v>
      </c>
      <c r="G103" s="7" t="str">
        <f ca="1">+WORLDCUP!BD67</f>
        <v>Austria</v>
      </c>
      <c r="H103" s="7" t="str">
        <f ca="1">+WORLDCUP!BD63</f>
        <v>Suecia</v>
      </c>
      <c r="I103" s="7" t="str">
        <f ca="1">+WORLDCUP!BD69</f>
        <v>Ghana</v>
      </c>
      <c r="J103" s="7" t="str">
        <f ca="1">+WORLDCUP!BD66</f>
        <v>Noruega</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Egipto</v>
      </c>
      <c r="E104" s="7" t="str">
        <f ca="1">+WORLDCUP!BD59</f>
        <v>Bosnia y Herzegovina</v>
      </c>
      <c r="F104" s="7" t="str">
        <f ca="1">+WORLDCUP!BD60</f>
        <v>Escocia</v>
      </c>
      <c r="G104" s="7" t="str">
        <f ca="1">+WORLDCUP!BD67</f>
        <v>Austria</v>
      </c>
      <c r="H104" s="7" t="str">
        <f ca="1">+WORLDCUP!BD63</f>
        <v>Suecia</v>
      </c>
      <c r="I104" s="7" t="str">
        <f ca="1">+WORLDCUP!BD66</f>
        <v>Noruega</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Egipto</v>
      </c>
      <c r="E105" s="7" t="str">
        <f ca="1">+WORLDCUP!BD59</f>
        <v>Bosnia y Herzegovina</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Egipto</v>
      </c>
      <c r="E106" s="7" t="str">
        <f ca="1">+WORLDCUP!BD59</f>
        <v>Bosnia y Herzegovina</v>
      </c>
      <c r="F106" s="7" t="str">
        <f ca="1">+WORLDCUP!BD60</f>
        <v>Escocia</v>
      </c>
      <c r="G106" s="7" t="str">
        <f ca="1">+WORLDCUP!BD67</f>
        <v>Austria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Egipto</v>
      </c>
      <c r="E107" s="7" t="str">
        <f ca="1">+WORLDCUP!BD59</f>
        <v>Bosnia y Herzegovina</v>
      </c>
      <c r="F107" s="7" t="str">
        <f ca="1">+WORLDCUP!BD60</f>
        <v>Escocia</v>
      </c>
      <c r="G107" s="7" t="str">
        <f ca="1">+WORLDCUP!BD67</f>
        <v>Austria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Egipto</v>
      </c>
      <c r="E108" s="7" t="str">
        <f ca="1">+WORLDCUP!BD59</f>
        <v>Bosnia y Herzegovina</v>
      </c>
      <c r="F108" s="7" t="str">
        <f ca="1">+WORLDCUP!BD60</f>
        <v>Escocia</v>
      </c>
      <c r="G108" s="7" t="str">
        <f ca="1">+WORLDCUP!BD65</f>
        <v>Arabia Saudita</v>
      </c>
      <c r="H108" s="7" t="str">
        <f ca="1">+WORLDCUP!BD63</f>
        <v>Suecia</v>
      </c>
      <c r="I108" s="7" t="str">
        <f ca="1">+WORLDCUP!BD69</f>
        <v>Ghana</v>
      </c>
      <c r="J108" s="7" t="str">
        <f ca="1">+WORLDCUP!BD66</f>
        <v>Noruega</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Egipto</v>
      </c>
      <c r="E109" s="7" t="str">
        <f ca="1">+WORLDCUP!BD59</f>
        <v>Bosnia y Herzegovina</v>
      </c>
      <c r="F109" s="7" t="str">
        <f ca="1">+WORLDCUP!BD60</f>
        <v>Escocia</v>
      </c>
      <c r="G109" s="7" t="str">
        <f ca="1">+WORLDCUP!BD65</f>
        <v>Arabia Saudita</v>
      </c>
      <c r="H109" s="7" t="str">
        <f ca="1">+WORLDCUP!BD63</f>
        <v>Suecia</v>
      </c>
      <c r="I109" s="7" t="str">
        <f ca="1">+WORLDCUP!BD66</f>
        <v>Noruega</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Egipto</v>
      </c>
      <c r="E110" s="7" t="str">
        <f ca="1">+WORLDCUP!BD59</f>
        <v>Bosnia y Herzegovina</v>
      </c>
      <c r="F110" s="7" t="str">
        <f ca="1">+WORLDCUP!BD60</f>
        <v>Escocia</v>
      </c>
      <c r="G110" s="7" t="str">
        <f ca="1">+WORLDCUP!BD67</f>
        <v>Austria</v>
      </c>
      <c r="H110" s="7" t="str">
        <f ca="1">+WORLDCUP!BD63</f>
        <v>Suecia</v>
      </c>
      <c r="I110" s="7" t="str">
        <f ca="1">+WORLDCUP!BD62</f>
        <v>Costa de Marfil</v>
      </c>
      <c r="J110" s="7" t="str">
        <f ca="1">+WORLDCUP!BD66</f>
        <v>Noruega</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Bosnia y Herzegovina</v>
      </c>
      <c r="F111" s="7" t="str">
        <f ca="1">+WORLDCUP!BD60</f>
        <v>Escocia</v>
      </c>
      <c r="G111" s="7" t="str">
        <f ca="1">+WORLDCUP!BD66</f>
        <v>Noruega</v>
      </c>
      <c r="H111" s="7" t="str">
        <f ca="1">+WORLDCUP!BD61</f>
        <v>Turquía</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Noruega</v>
      </c>
      <c r="D112" s="7" t="str">
        <f ca="1">+WORLDCUP!BD64</f>
        <v>Egipto</v>
      </c>
      <c r="E112" s="7" t="str">
        <f ca="1">+WORLDCUP!BD59</f>
        <v>Bosnia y Herzegovina</v>
      </c>
      <c r="F112" s="7" t="str">
        <f ca="1">+WORLDCUP!BD60</f>
        <v>Escocia</v>
      </c>
      <c r="G112" s="7" t="str">
        <f ca="1">+WORLDCUP!BD67</f>
        <v>Austria</v>
      </c>
      <c r="H112" s="7" t="str">
        <f ca="1">+WORLDCUP!BD61</f>
        <v>Turquía</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Egipto</v>
      </c>
      <c r="E113" s="7" t="str">
        <f ca="1">+WORLDCUP!BD59</f>
        <v>Bosnia y Herzegovina</v>
      </c>
      <c r="F113" s="7" t="str">
        <f ca="1">+WORLDCUP!BD60</f>
        <v>Escocia</v>
      </c>
      <c r="G113" s="7" t="str">
        <f ca="1">+WORLDCUP!BD67</f>
        <v>Austria</v>
      </c>
      <c r="H113" s="7" t="str">
        <f ca="1">+WORLDCUP!BD61</f>
        <v>Turquía</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Egipto</v>
      </c>
      <c r="E114" s="7" t="str">
        <f ca="1">+WORLDCUP!BD59</f>
        <v>Bosnia y Herzegovina</v>
      </c>
      <c r="F114" s="7" t="str">
        <f ca="1">+WORLDCUP!BD60</f>
        <v>Escocia</v>
      </c>
      <c r="G114" s="7" t="str">
        <f ca="1">+WORLDCUP!BD66</f>
        <v>Noruega</v>
      </c>
      <c r="H114" s="7" t="str">
        <f ca="1">+WORLDCUP!BD61</f>
        <v>Turquía</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Egipto</v>
      </c>
      <c r="E115" s="7" t="str">
        <f ca="1">+WORLDCUP!BD59</f>
        <v>Bosnia y Herzegovina</v>
      </c>
      <c r="F115" s="7" t="str">
        <f ca="1">+WORLDCUP!BD60</f>
        <v>Escocia</v>
      </c>
      <c r="G115" s="7" t="str">
        <f ca="1">+WORLDCUP!BD67</f>
        <v>Austria</v>
      </c>
      <c r="H115" s="7" t="str">
        <f ca="1">+WORLDCUP!BD61</f>
        <v>Turquía</v>
      </c>
      <c r="I115" s="7" t="str">
        <f ca="1">+WORLDCUP!BD69</f>
        <v>Ghana</v>
      </c>
      <c r="J115" s="7" t="str">
        <f ca="1">+WORLDCUP!BD66</f>
        <v>Noruega</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Egipto</v>
      </c>
      <c r="E116" s="7" t="str">
        <f ca="1">+WORLDCUP!BD59</f>
        <v>Bosnia y Herzegovina</v>
      </c>
      <c r="F116" s="7" t="str">
        <f ca="1">+WORLDCUP!BD60</f>
        <v>Escocia</v>
      </c>
      <c r="G116" s="7" t="str">
        <f ca="1">+WORLDCUP!BD67</f>
        <v>Austria</v>
      </c>
      <c r="H116" s="7" t="str">
        <f ca="1">+WORLDCUP!BD61</f>
        <v>Turquía</v>
      </c>
      <c r="I116" s="7" t="str">
        <f ca="1">+WORLDCUP!BD66</f>
        <v>Noruega</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Bosnia y Herzegovina</v>
      </c>
      <c r="F117" s="7" t="str">
        <f ca="1">+WORLDCUP!BD61</f>
        <v>Turquía</v>
      </c>
      <c r="G117" s="7" t="str">
        <f ca="1">+WORLDCUP!BD66</f>
        <v>Noruega</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Bosnia y Herzegovina</v>
      </c>
      <c r="F118" s="7" t="str">
        <f ca="1">+WORLDCUP!BD61</f>
        <v>Turquía</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Noruega</v>
      </c>
      <c r="E119" s="7" t="str">
        <f ca="1">+WORLDCUP!BD59</f>
        <v>Bosnia y Herzegovina</v>
      </c>
      <c r="F119" s="7" t="str">
        <f ca="1">+WORLDCUP!BD61</f>
        <v>Turquía</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Bosnia y Herzegovina</v>
      </c>
      <c r="F120" s="7" t="str">
        <f ca="1">+WORLDCUP!BD61</f>
        <v>Turquía</v>
      </c>
      <c r="G120" s="7" t="str">
        <f ca="1">+WORLDCUP!BD65</f>
        <v>Arabia Saudita</v>
      </c>
      <c r="H120" s="7" t="str">
        <f ca="1">+WORLDCUP!BD63</f>
        <v>Suecia</v>
      </c>
      <c r="I120" s="7" t="str">
        <f ca="1">+WORLDCUP!BD69</f>
        <v>Ghana</v>
      </c>
      <c r="J120" s="7" t="str">
        <f ca="1">+WORLDCUP!BD66</f>
        <v>Noruega</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Bosnia y Herzegovina</v>
      </c>
      <c r="F121" s="7" t="str">
        <f ca="1">+WORLDCUP!BD61</f>
        <v>Turquía</v>
      </c>
      <c r="G121" s="7" t="str">
        <f ca="1">+WORLDCUP!BD65</f>
        <v>Arabia Saudita</v>
      </c>
      <c r="H121" s="7" t="str">
        <f ca="1">+WORLDCUP!BD63</f>
        <v>Suecia</v>
      </c>
      <c r="I121" s="7" t="str">
        <f ca="1">+WORLDCUP!BD66</f>
        <v>Noruega</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Egipto</v>
      </c>
      <c r="E122" s="7" t="str">
        <f ca="1">+WORLDCUP!BD59</f>
        <v>Bosnia y Herzegovina</v>
      </c>
      <c r="F122" s="7" t="str">
        <f ca="1">+WORLDCUP!BD61</f>
        <v>Turquía</v>
      </c>
      <c r="G122" s="7" t="str">
        <f ca="1">+WORLDCUP!BD67</f>
        <v>Austria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Egipto</v>
      </c>
      <c r="E123" s="7" t="str">
        <f ca="1">+WORLDCUP!BD59</f>
        <v>Bosnia y Herzegovina</v>
      </c>
      <c r="F123" s="7" t="str">
        <f ca="1">+WORLDCUP!BD61</f>
        <v>Turquía</v>
      </c>
      <c r="G123" s="7" t="str">
        <f ca="1">+WORLDCUP!BD66</f>
        <v>Noruega</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Egipto</v>
      </c>
      <c r="E124" s="7" t="str">
        <f ca="1">+WORLDCUP!BD59</f>
        <v>Bosnia y Herzegovina</v>
      </c>
      <c r="F124" s="7" t="str">
        <f ca="1">+WORLDCUP!BD61</f>
        <v>Turquía</v>
      </c>
      <c r="G124" s="7" t="str">
        <f ca="1">+WORLDCUP!BD67</f>
        <v>Austria</v>
      </c>
      <c r="H124" s="7" t="str">
        <f ca="1">+WORLDCUP!BD63</f>
        <v>Suecia</v>
      </c>
      <c r="I124" s="7" t="str">
        <f ca="1">+WORLDCUP!BD69</f>
        <v>Ghana</v>
      </c>
      <c r="J124" s="7" t="str">
        <f ca="1">+WORLDCUP!BD66</f>
        <v>Noruega</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Egipto</v>
      </c>
      <c r="E125" s="7" t="str">
        <f ca="1">+WORLDCUP!BD59</f>
        <v>Bosnia y Herzegovina</v>
      </c>
      <c r="F125" s="7" t="str">
        <f ca="1">+WORLDCUP!BD61</f>
        <v>Turquía</v>
      </c>
      <c r="G125" s="7" t="str">
        <f ca="1">+WORLDCUP!BD67</f>
        <v>Austria</v>
      </c>
      <c r="H125" s="7" t="str">
        <f ca="1">+WORLDCUP!BD63</f>
        <v>Suecia</v>
      </c>
      <c r="I125" s="7" t="str">
        <f ca="1">+WORLDCUP!BD66</f>
        <v>Noruega</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Egipto</v>
      </c>
      <c r="E126" s="7" t="str">
        <f ca="1">+WORLDCUP!BD59</f>
        <v>Bosnia y Herzegovina</v>
      </c>
      <c r="F126" s="7" t="str">
        <f ca="1">+WORLDCUP!BD61</f>
        <v>Turquía</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Egipto</v>
      </c>
      <c r="E127" s="7" t="str">
        <f ca="1">+WORLDCUP!BD59</f>
        <v>Bosnia y Herzegovina</v>
      </c>
      <c r="F127" s="7" t="str">
        <f ca="1">+WORLDCUP!BD61</f>
        <v>Turquía</v>
      </c>
      <c r="G127" s="7" t="str">
        <f ca="1">+WORLDCUP!BD65</f>
        <v>Arabia Saudita</v>
      </c>
      <c r="H127" s="7" t="str">
        <f ca="1">+WORLDCUP!BD63</f>
        <v>Suecia</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Egipto</v>
      </c>
      <c r="E128" s="7" t="str">
        <f ca="1">+WORLDCUP!BD59</f>
        <v>Bosnia y Herzegovina</v>
      </c>
      <c r="F128" s="7" t="str">
        <f ca="1">+WORLDCUP!BD60</f>
        <v>Escocia</v>
      </c>
      <c r="G128" s="7" t="str">
        <f ca="1">+WORLDCUP!BD67</f>
        <v>Austria</v>
      </c>
      <c r="H128" s="7" t="str">
        <f ca="1">+WORLDCUP!BD63</f>
        <v>Suecia</v>
      </c>
      <c r="I128" s="7" t="str">
        <f ca="1">+WORLDCUP!BD61</f>
        <v>Turquía</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Egipto</v>
      </c>
      <c r="E129" s="7" t="str">
        <f ca="1">+WORLDCUP!BD59</f>
        <v>Bosnia y Herzegovina</v>
      </c>
      <c r="F129" s="7" t="str">
        <f ca="1">+WORLDCUP!BD61</f>
        <v>Turquía</v>
      </c>
      <c r="G129" s="7" t="str">
        <f ca="1">+WORLDCUP!BD65</f>
        <v>Arabia Saudita</v>
      </c>
      <c r="H129" s="7" t="str">
        <f ca="1">+WORLDCUP!BD63</f>
        <v>Suecia</v>
      </c>
      <c r="I129" s="7" t="str">
        <f ca="1">+WORLDCUP!BD69</f>
        <v>Ghana</v>
      </c>
      <c r="J129" s="7" t="str">
        <f ca="1">+WORLDCUP!BD66</f>
        <v>Noruega</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Egipto</v>
      </c>
      <c r="E130" s="7" t="str">
        <f ca="1">+WORLDCUP!BD59</f>
        <v>Bosnia y Herzegovina</v>
      </c>
      <c r="F130" s="7" t="str">
        <f ca="1">+WORLDCUP!BD61</f>
        <v>Turquía</v>
      </c>
      <c r="G130" s="7" t="str">
        <f ca="1">+WORLDCUP!BD65</f>
        <v>Arabia Saudita</v>
      </c>
      <c r="H130" s="7" t="str">
        <f ca="1">+WORLDCUP!BD63</f>
        <v>Suecia</v>
      </c>
      <c r="I130" s="7" t="str">
        <f ca="1">+WORLDCUP!BD66</f>
        <v>Noruega</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Egipto</v>
      </c>
      <c r="E131" s="7" t="str">
        <f ca="1">+WORLDCUP!BD59</f>
        <v>Bosnia y Herzegovina</v>
      </c>
      <c r="F131" s="7" t="str">
        <f ca="1">+WORLDCUP!BD60</f>
        <v>Escocia</v>
      </c>
      <c r="G131" s="7" t="str">
        <f ca="1">+WORLDCUP!BD67</f>
        <v>Austria</v>
      </c>
      <c r="H131" s="7" t="str">
        <f ca="1">+WORLDCUP!BD63</f>
        <v>Suecia</v>
      </c>
      <c r="I131" s="7" t="str">
        <f ca="1">+WORLDCUP!BD61</f>
        <v>Turquía</v>
      </c>
      <c r="J131" s="7" t="str">
        <f ca="1">+WORLDCUP!BD66</f>
        <v>Noruega</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Bosnia y Herzegovina</v>
      </c>
      <c r="F132" s="7" t="str">
        <f ca="1">+WORLDCUP!BD60</f>
        <v>Escocia</v>
      </c>
      <c r="G132" s="7" t="str">
        <f ca="1">+WORLDCUP!BD66</f>
        <v>Noruega</v>
      </c>
      <c r="H132" s="7" t="str">
        <f ca="1">+WORLDCUP!BD61</f>
        <v>Turquía</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Bosnia y Herzegovina</v>
      </c>
      <c r="F133" s="7" t="str">
        <f ca="1">+WORLDCUP!BD60</f>
        <v>Escocia</v>
      </c>
      <c r="G133" s="7" t="str">
        <f ca="1">+WORLDCUP!BD65</f>
        <v>Arabia Saudita</v>
      </c>
      <c r="H133" s="7" t="str">
        <f ca="1">+WORLDCUP!BD61</f>
        <v>Turquía</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Noruega</v>
      </c>
      <c r="E134" s="7" t="str">
        <f ca="1">+WORLDCUP!BD59</f>
        <v>Bosnia y Herzegovina</v>
      </c>
      <c r="F134" s="7" t="str">
        <f ca="1">+WORLDCUP!BD60</f>
        <v>Escocia</v>
      </c>
      <c r="G134" s="7" t="str">
        <f ca="1">+WORLDCUP!BD65</f>
        <v>Arabia Saudita</v>
      </c>
      <c r="H134" s="7" t="str">
        <f ca="1">+WORLDCUP!BD61</f>
        <v>Turquía</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Bosnia y Herzegovina</v>
      </c>
      <c r="F135" s="7" t="str">
        <f ca="1">+WORLDCUP!BD60</f>
        <v>Escocia</v>
      </c>
      <c r="G135" s="7" t="str">
        <f ca="1">+WORLDCUP!BD65</f>
        <v>Arabia Saudita</v>
      </c>
      <c r="H135" s="7" t="str">
        <f ca="1">+WORLDCUP!BD61</f>
        <v>Turquía</v>
      </c>
      <c r="I135" s="7" t="str">
        <f ca="1">+WORLDCUP!BD69</f>
        <v>Ghana</v>
      </c>
      <c r="J135" s="7" t="str">
        <f ca="1">+WORLDCUP!BD66</f>
        <v>Noruega</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Bosnia y Herzegovina</v>
      </c>
      <c r="F136" s="7" t="str">
        <f ca="1">+WORLDCUP!BD60</f>
        <v>Escocia</v>
      </c>
      <c r="G136" s="7" t="str">
        <f ca="1">+WORLDCUP!BD65</f>
        <v>Arabia Saudita</v>
      </c>
      <c r="H136" s="7" t="str">
        <f ca="1">+WORLDCUP!BD61</f>
        <v>Turquía</v>
      </c>
      <c r="I136" s="7" t="str">
        <f ca="1">+WORLDCUP!BD66</f>
        <v>Noruega</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Egipto</v>
      </c>
      <c r="E137" s="7" t="str">
        <f ca="1">+WORLDCUP!BD59</f>
        <v>Bosnia y Herzegovina</v>
      </c>
      <c r="F137" s="7" t="str">
        <f ca="1">+WORLDCUP!BD60</f>
        <v>Escocia</v>
      </c>
      <c r="G137" s="7" t="str">
        <f ca="1">+WORLDCUP!BD67</f>
        <v>Austria</v>
      </c>
      <c r="H137" s="7" t="str">
        <f ca="1">+WORLDCUP!BD61</f>
        <v>Turquía</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Egipto</v>
      </c>
      <c r="E138" s="7" t="str">
        <f ca="1">+WORLDCUP!BD59</f>
        <v>Bosnia y Herzegovina</v>
      </c>
      <c r="F138" s="7" t="str">
        <f ca="1">+WORLDCUP!BD60</f>
        <v>Escocia</v>
      </c>
      <c r="G138" s="7" t="str">
        <f ca="1">+WORLDCUP!BD66</f>
        <v>Noruega</v>
      </c>
      <c r="H138" s="7" t="str">
        <f ca="1">+WORLDCUP!BD61</f>
        <v>Turquía</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Egipto</v>
      </c>
      <c r="E139" s="7" t="str">
        <f ca="1">+WORLDCUP!BD59</f>
        <v>Bosnia y Herzegovina</v>
      </c>
      <c r="F139" s="7" t="str">
        <f ca="1">+WORLDCUP!BD60</f>
        <v>Escocia</v>
      </c>
      <c r="G139" s="7" t="str">
        <f ca="1">+WORLDCUP!BD67</f>
        <v>Austria</v>
      </c>
      <c r="H139" s="7" t="str">
        <f ca="1">+WORLDCUP!BD61</f>
        <v>Turquía</v>
      </c>
      <c r="I139" s="7" t="str">
        <f ca="1">+WORLDCUP!BD69</f>
        <v>Ghana</v>
      </c>
      <c r="J139" s="7" t="str">
        <f ca="1">+WORLDCUP!BD66</f>
        <v>Noruega</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Egipto</v>
      </c>
      <c r="E140" s="7" t="str">
        <f ca="1">+WORLDCUP!BD59</f>
        <v>Bosnia y Herzegovina</v>
      </c>
      <c r="F140" s="7" t="str">
        <f ca="1">+WORLDCUP!BD60</f>
        <v>Escocia</v>
      </c>
      <c r="G140" s="7" t="str">
        <f ca="1">+WORLDCUP!BD67</f>
        <v>Austria</v>
      </c>
      <c r="H140" s="7" t="str">
        <f ca="1">+WORLDCUP!BD61</f>
        <v>Turquía</v>
      </c>
      <c r="I140" s="7" t="str">
        <f ca="1">+WORLDCUP!BD66</f>
        <v>Noruega</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Egipto</v>
      </c>
      <c r="E141" s="7" t="str">
        <f ca="1">+WORLDCUP!BD59</f>
        <v>Bosnia y Herzegovina</v>
      </c>
      <c r="F141" s="7" t="str">
        <f ca="1">+WORLDCUP!BD60</f>
        <v>Escocia</v>
      </c>
      <c r="G141" s="7" t="str">
        <f ca="1">+WORLDCUP!BD65</f>
        <v>Arabia Saudita</v>
      </c>
      <c r="H141" s="7" t="str">
        <f ca="1">+WORLDCUP!BD61</f>
        <v>Turquía</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Egipto</v>
      </c>
      <c r="E142" s="7" t="str">
        <f ca="1">+WORLDCUP!BD59</f>
        <v>Bosnia y Herzegovina</v>
      </c>
      <c r="F142" s="7" t="str">
        <f ca="1">+WORLDCUP!BD60</f>
        <v>Escocia</v>
      </c>
      <c r="G142" s="7" t="str">
        <f ca="1">+WORLDCUP!BD67</f>
        <v>Austria</v>
      </c>
      <c r="H142" s="7" t="str">
        <f ca="1">+WORLDCUP!BD61</f>
        <v>Turquía</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Egipto</v>
      </c>
      <c r="E143" s="7" t="str">
        <f ca="1">+WORLDCUP!BD59</f>
        <v>Bosnia y Herzegovina</v>
      </c>
      <c r="F143" s="7" t="str">
        <f ca="1">+WORLDCUP!BD60</f>
        <v>Escocia</v>
      </c>
      <c r="G143" s="7" t="str">
        <f ca="1">+WORLDCUP!BD67</f>
        <v>Austria</v>
      </c>
      <c r="H143" s="7" t="str">
        <f ca="1">+WORLDCUP!BD61</f>
        <v>Turquía</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Egipto</v>
      </c>
      <c r="E144" s="7" t="str">
        <f ca="1">+WORLDCUP!BD59</f>
        <v>Bosnia y Herzegovina</v>
      </c>
      <c r="F144" s="7" t="str">
        <f ca="1">+WORLDCUP!BD60</f>
        <v>Escocia</v>
      </c>
      <c r="G144" s="7" t="str">
        <f ca="1">+WORLDCUP!BD65</f>
        <v>Arabia Saudita</v>
      </c>
      <c r="H144" s="7" t="str">
        <f ca="1">+WORLDCUP!BD61</f>
        <v>Turquía</v>
      </c>
      <c r="I144" s="7" t="str">
        <f ca="1">+WORLDCUP!BD69</f>
        <v>Ghana</v>
      </c>
      <c r="J144" s="7" t="str">
        <f ca="1">+WORLDCUP!BD66</f>
        <v>Noruega</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Egipto</v>
      </c>
      <c r="E145" s="7" t="str">
        <f ca="1">+WORLDCUP!BD59</f>
        <v>Bosnia y Herzegovina</v>
      </c>
      <c r="F145" s="7" t="str">
        <f ca="1">+WORLDCUP!BD60</f>
        <v>Escocia</v>
      </c>
      <c r="G145" s="7" t="str">
        <f ca="1">+WORLDCUP!BD65</f>
        <v>Arabia Saudita</v>
      </c>
      <c r="H145" s="7" t="str">
        <f ca="1">+WORLDCUP!BD61</f>
        <v>Turquía</v>
      </c>
      <c r="I145" s="7" t="str">
        <f ca="1">+WORLDCUP!BD66</f>
        <v>Noruega</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Egipto</v>
      </c>
      <c r="E146" s="7" t="str">
        <f ca="1">+WORLDCUP!BD59</f>
        <v>Bosnia y Herzegovina</v>
      </c>
      <c r="F146" s="7" t="str">
        <f ca="1">+WORLDCUP!BD60</f>
        <v>Escocia</v>
      </c>
      <c r="G146" s="7" t="str">
        <f ca="1">+WORLDCUP!BD67</f>
        <v>Austria</v>
      </c>
      <c r="H146" s="7" t="str">
        <f ca="1">+WORLDCUP!BD61</f>
        <v>Turquía</v>
      </c>
      <c r="I146" s="7" t="str">
        <f ca="1">+WORLDCUP!BD62</f>
        <v>Costa de Marfil</v>
      </c>
      <c r="J146" s="7" t="str">
        <f ca="1">+WORLDCUP!BD66</f>
        <v>Noruega</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Bosnia y Herzegovina</v>
      </c>
      <c r="F147" s="7" t="str">
        <f ca="1">+WORLDCUP!BD61</f>
        <v>Turquía</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Turquía</v>
      </c>
      <c r="G148" s="7" t="str">
        <f ca="1">+WORLDCUP!BD66</f>
        <v>Noruega</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Bosnia y Herzegovina</v>
      </c>
      <c r="F149" s="7" t="str">
        <f ca="1">+WORLDCUP!BD61</f>
        <v>Turquía</v>
      </c>
      <c r="G149" s="7" t="str">
        <f ca="1">+WORLDCUP!BD62</f>
        <v>Costa de Marfil</v>
      </c>
      <c r="H149" s="7" t="str">
        <f ca="1">+WORLDCUP!BD63</f>
        <v>Suecia</v>
      </c>
      <c r="I149" s="7" t="str">
        <f ca="1">+WORLDCUP!BD69</f>
        <v>Ghana</v>
      </c>
      <c r="J149" s="7" t="str">
        <f ca="1">+WORLDCUP!BD66</f>
        <v>Noruega</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Bosnia y Herzegovina</v>
      </c>
      <c r="F150" s="7" t="str">
        <f ca="1">+WORLDCUP!BD61</f>
        <v>Turquía</v>
      </c>
      <c r="G150" s="7" t="str">
        <f ca="1">+WORLDCUP!BD62</f>
        <v>Costa de Marfil</v>
      </c>
      <c r="H150" s="7" t="str">
        <f ca="1">+WORLDCUP!BD63</f>
        <v>Suecia</v>
      </c>
      <c r="I150" s="7" t="str">
        <f ca="1">+WORLDCUP!BD66</f>
        <v>Noruega</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Turquía</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Bosnia y Herzegovina</v>
      </c>
      <c r="F152" s="7" t="str">
        <f ca="1">+WORLDCUP!BD61</f>
        <v>Turquía</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Bosnia y Herzegovina</v>
      </c>
      <c r="F153" s="7" t="str">
        <f ca="1">+WORLDCUP!BD61</f>
        <v>Turquía</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Turquía</v>
      </c>
      <c r="G154" s="7" t="str">
        <f ca="1">+WORLDCUP!BD65</f>
        <v>Arabia Saudita</v>
      </c>
      <c r="H154" s="7" t="str">
        <f ca="1">+WORLDCUP!BD63</f>
        <v>Suecia</v>
      </c>
      <c r="I154" s="7" t="str">
        <f ca="1">+WORLDCUP!BD69</f>
        <v>Ghana</v>
      </c>
      <c r="J154" s="7" t="str">
        <f ca="1">+WORLDCUP!BD66</f>
        <v>Noruega</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Turquía</v>
      </c>
      <c r="G155" s="7" t="str">
        <f ca="1">+WORLDCUP!BD65</f>
        <v>Arabia Saudita</v>
      </c>
      <c r="H155" s="7" t="str">
        <f ca="1">+WORLDCUP!BD63</f>
        <v>Suecia</v>
      </c>
      <c r="I155" s="7" t="str">
        <f ca="1">+WORLDCUP!BD66</f>
        <v>Noruega</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Bosnia y Herzegovina</v>
      </c>
      <c r="F156" s="7" t="str">
        <f ca="1">+WORLDCUP!BD61</f>
        <v>Turquía</v>
      </c>
      <c r="G156" s="7" t="str">
        <f ca="1">+WORLDCUP!BD65</f>
        <v>Arabia Saudita</v>
      </c>
      <c r="H156" s="7" t="str">
        <f ca="1">+WORLDCUP!BD63</f>
        <v>Suecia</v>
      </c>
      <c r="I156" s="7" t="str">
        <f ca="1">+WORLDCUP!BD62</f>
        <v>Costa de Marfil</v>
      </c>
      <c r="J156" s="7" t="str">
        <f ca="1">+WORLDCUP!BD66</f>
        <v>Noruega</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Egipto</v>
      </c>
      <c r="E157" s="7" t="str">
        <f ca="1">+WORLDCUP!BD59</f>
        <v>Bosnia y Herzegovina</v>
      </c>
      <c r="F157" s="7" t="str">
        <f ca="1">+WORLDCUP!BD61</f>
        <v>Turquía</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Egipto</v>
      </c>
      <c r="E158" s="7" t="str">
        <f ca="1">+WORLDCUP!BD59</f>
        <v>Bosnia y Herzegovina</v>
      </c>
      <c r="F158" s="7" t="str">
        <f ca="1">+WORLDCUP!BD61</f>
        <v>Turquía</v>
      </c>
      <c r="G158" s="7" t="str">
        <f ca="1">+WORLDCUP!BD67</f>
        <v>Austria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Egipto</v>
      </c>
      <c r="E159" s="7" t="str">
        <f ca="1">+WORLDCUP!BD59</f>
        <v>Bosnia y Herzegovina</v>
      </c>
      <c r="F159" s="7" t="str">
        <f ca="1">+WORLDCUP!BD61</f>
        <v>Turquía</v>
      </c>
      <c r="G159" s="7" t="str">
        <f ca="1">+WORLDCUP!BD67</f>
        <v>Austria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Egipto</v>
      </c>
      <c r="E160" s="7" t="str">
        <f ca="1">+WORLDCUP!BD59</f>
        <v>Bosnia y Herzegovina</v>
      </c>
      <c r="F160" s="7" t="str">
        <f ca="1">+WORLDCUP!BD61</f>
        <v>Turquía</v>
      </c>
      <c r="G160" s="7" t="str">
        <f ca="1">+WORLDCUP!BD62</f>
        <v>Costa de Marfil</v>
      </c>
      <c r="H160" s="7" t="str">
        <f ca="1">+WORLDCUP!BD63</f>
        <v>Suecia</v>
      </c>
      <c r="I160" s="7" t="str">
        <f ca="1">+WORLDCUP!BD69</f>
        <v>Ghana</v>
      </c>
      <c r="J160" s="7" t="str">
        <f ca="1">+WORLDCUP!BD66</f>
        <v>Noruega</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Egipto</v>
      </c>
      <c r="E161" s="7" t="str">
        <f ca="1">+WORLDCUP!BD59</f>
        <v>Bosnia y Herzegovina</v>
      </c>
      <c r="F161" s="7" t="str">
        <f ca="1">+WORLDCUP!BD61</f>
        <v>Turquía</v>
      </c>
      <c r="G161" s="7" t="str">
        <f ca="1">+WORLDCUP!BD62</f>
        <v>Costa de Marfil</v>
      </c>
      <c r="H161" s="7" t="str">
        <f ca="1">+WORLDCUP!BD63</f>
        <v>Suecia</v>
      </c>
      <c r="I161" s="7" t="str">
        <f ca="1">+WORLDCUP!BD66</f>
        <v>Noruega</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Egipto</v>
      </c>
      <c r="E162" s="7" t="str">
        <f ca="1">+WORLDCUP!BD59</f>
        <v>Bosnia y Herzegovina</v>
      </c>
      <c r="F162" s="7" t="str">
        <f ca="1">+WORLDCUP!BD61</f>
        <v>Turquía</v>
      </c>
      <c r="G162" s="7" t="str">
        <f ca="1">+WORLDCUP!BD67</f>
        <v>Austria</v>
      </c>
      <c r="H162" s="7" t="str">
        <f ca="1">+WORLDCUP!BD63</f>
        <v>Suecia</v>
      </c>
      <c r="I162" s="7" t="str">
        <f ca="1">+WORLDCUP!BD62</f>
        <v>Costa de Marfil</v>
      </c>
      <c r="J162" s="7" t="str">
        <f ca="1">+WORLDCUP!BD66</f>
        <v>Noruega</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Egipto</v>
      </c>
      <c r="E163" s="7" t="str">
        <f ca="1">+WORLDCUP!BD59</f>
        <v>Bosnia y Herzegovina</v>
      </c>
      <c r="F163" s="7" t="str">
        <f ca="1">+WORLDCUP!BD61</f>
        <v>Turquía</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Egipto</v>
      </c>
      <c r="E164" s="7" t="str">
        <f ca="1">+WORLDCUP!BD59</f>
        <v>Bosnia y Herzegovina</v>
      </c>
      <c r="F164" s="7" t="str">
        <f ca="1">+WORLDCUP!BD61</f>
        <v>Turquía</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Egipto</v>
      </c>
      <c r="E165" s="7" t="str">
        <f ca="1">+WORLDCUP!BD59</f>
        <v>Bosnia y Herzegovina</v>
      </c>
      <c r="F165" s="7" t="str">
        <f ca="1">+WORLDCUP!BD60</f>
        <v>Escocia</v>
      </c>
      <c r="G165" s="7" t="str">
        <f ca="1">+WORLDCUP!BD67</f>
        <v>Austria</v>
      </c>
      <c r="H165" s="7" t="str">
        <f ca="1">+WORLDCUP!BD63</f>
        <v>Suecia</v>
      </c>
      <c r="I165" s="7" t="str">
        <f ca="1">+WORLDCUP!BD61</f>
        <v>Turquía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Egipto</v>
      </c>
      <c r="E166" s="7" t="str">
        <f ca="1">+WORLDCUP!BD59</f>
        <v>Bosnia y Herzegovina</v>
      </c>
      <c r="F166" s="7" t="str">
        <f ca="1">+WORLDCUP!BD61</f>
        <v>Turquía</v>
      </c>
      <c r="G166" s="7" t="str">
        <f ca="1">+WORLDCUP!BD65</f>
        <v>Arabia Saudita</v>
      </c>
      <c r="H166" s="7" t="str">
        <f ca="1">+WORLDCUP!BD63</f>
        <v>Suecia</v>
      </c>
      <c r="I166" s="7" t="str">
        <f ca="1">+WORLDCUP!BD62</f>
        <v>Costa de Marfil</v>
      </c>
      <c r="J166" s="7" t="str">
        <f ca="1">+WORLDCUP!BD66</f>
        <v>Noruega</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Noruega</v>
      </c>
      <c r="F167" s="7" t="str">
        <f ca="1">+WORLDCUP!BD63</f>
        <v>Suecia</v>
      </c>
      <c r="G167" s="7" t="str">
        <f ca="1">+WORLDCUP!BD58</f>
        <v>República Checa</v>
      </c>
      <c r="H167" s="7" t="str">
        <f ca="1">+WORLDCUP!BD64</f>
        <v>Egipto</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Noruega</v>
      </c>
      <c r="F168" s="7" t="str">
        <f ca="1">+WORLDCUP!BD58</f>
        <v>República Checa</v>
      </c>
      <c r="G168" s="7" t="str">
        <f ca="1">+WORLDCUP!BD65</f>
        <v>Arabia Saudita</v>
      </c>
      <c r="H168" s="7" t="str">
        <f ca="1">+WORLDCUP!BD64</f>
        <v>Egipto</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Noruega</v>
      </c>
      <c r="F169" s="7" t="str">
        <f ca="1">+WORLDCUP!BD63</f>
        <v>Suecia</v>
      </c>
      <c r="G169" s="7" t="str">
        <f ca="1">+WORLDCUP!BD58</f>
        <v>República Checa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Noruega</v>
      </c>
      <c r="F170" s="7" t="str">
        <f ca="1">+WORLDCUP!BD63</f>
        <v>Suecia</v>
      </c>
      <c r="G170" s="7" t="str">
        <f ca="1">+WORLDCUP!BD58</f>
        <v>República Checa</v>
      </c>
      <c r="H170" s="7" t="str">
        <f ca="1">+WORLDCUP!BD64</f>
        <v>Egipto</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Egipto</v>
      </c>
      <c r="E171" s="7" t="str">
        <f ca="1">+WORLDCUP!BD67</f>
        <v>Austria</v>
      </c>
      <c r="F171" s="7" t="str">
        <f ca="1">+WORLDCUP!BD63</f>
        <v>Suecia</v>
      </c>
      <c r="G171" s="7" t="str">
        <f ca="1">+WORLDCUP!BD58</f>
        <v>República Checa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Egipto</v>
      </c>
      <c r="E172" s="7" t="str">
        <f ca="1">+WORLDCUP!BD66</f>
        <v>Noruega</v>
      </c>
      <c r="F172" s="7" t="str">
        <f ca="1">+WORLDCUP!BD63</f>
        <v>Suecia</v>
      </c>
      <c r="G172" s="7" t="str">
        <f ca="1">+WORLDCUP!BD58</f>
        <v>República Checa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Egipto</v>
      </c>
      <c r="E173" s="7" t="str">
        <f ca="1">+WORLDCUP!BD67</f>
        <v>Austria</v>
      </c>
      <c r="F173" s="7" t="str">
        <f ca="1">+WORLDCUP!BD63</f>
        <v>Suecia</v>
      </c>
      <c r="G173" s="7" t="str">
        <f ca="1">+WORLDCUP!BD58</f>
        <v>República Checa</v>
      </c>
      <c r="H173" s="7" t="str">
        <f ca="1">+WORLDCUP!BD65</f>
        <v>Arabia Saudita</v>
      </c>
      <c r="I173" s="7" t="str">
        <f ca="1">+WORLDCUP!BD69</f>
        <v>Ghana</v>
      </c>
      <c r="J173" s="7" t="str">
        <f ca="1">+WORLDCUP!BD66</f>
        <v>Noruega</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Egipto</v>
      </c>
      <c r="E174" s="7" t="str">
        <f ca="1">+WORLDCUP!BD67</f>
        <v>Austria</v>
      </c>
      <c r="F174" s="7" t="str">
        <f ca="1">+WORLDCUP!BD63</f>
        <v>Suecia</v>
      </c>
      <c r="G174" s="7" t="str">
        <f ca="1">+WORLDCUP!BD58</f>
        <v>República Checa</v>
      </c>
      <c r="H174" s="7" t="str">
        <f ca="1">+WORLDCUP!BD65</f>
        <v>Arabia Saudita</v>
      </c>
      <c r="I174" s="7" t="str">
        <f ca="1">+WORLDCUP!BD66</f>
        <v>Noruega</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Noruega</v>
      </c>
      <c r="F175" s="7" t="str">
        <f ca="1">+WORLDCUP!BD61</f>
        <v>Turquía</v>
      </c>
      <c r="G175" s="7" t="str">
        <f ca="1">+WORLDCUP!BD58</f>
        <v>República Checa</v>
      </c>
      <c r="H175" s="7" t="str">
        <f ca="1">+WORLDCUP!BD64</f>
        <v>Egipto</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Noruega</v>
      </c>
      <c r="F176" s="7" t="str">
        <f ca="1">+WORLDCUP!BD61</f>
        <v>Turquía</v>
      </c>
      <c r="G176" s="7" t="str">
        <f ca="1">+WORLDCUP!BD58</f>
        <v>República Checa</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Noruega</v>
      </c>
      <c r="D177" s="7" t="str">
        <f ca="1">+WORLDCUP!BD64</f>
        <v>Egipto</v>
      </c>
      <c r="E177" s="7" t="str">
        <f ca="1">+WORLDCUP!BD67</f>
        <v>Austria</v>
      </c>
      <c r="F177" s="7" t="str">
        <f ca="1">+WORLDCUP!BD61</f>
        <v>Turquía</v>
      </c>
      <c r="G177" s="7" t="str">
        <f ca="1">+WORLDCUP!BD58</f>
        <v>República Checa</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Egipto</v>
      </c>
      <c r="E178" s="7" t="str">
        <f ca="1">+WORLDCUP!BD67</f>
        <v>Austria</v>
      </c>
      <c r="F178" s="7" t="str">
        <f ca="1">+WORLDCUP!BD61</f>
        <v>Turquía</v>
      </c>
      <c r="G178" s="7" t="str">
        <f ca="1">+WORLDCUP!BD58</f>
        <v>República Checa</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Egipto</v>
      </c>
      <c r="E179" s="7" t="str">
        <f ca="1">+WORLDCUP!BD66</f>
        <v>Noruega</v>
      </c>
      <c r="F179" s="7" t="str">
        <f ca="1">+WORLDCUP!BD61</f>
        <v>Turquía</v>
      </c>
      <c r="G179" s="7" t="str">
        <f ca="1">+WORLDCUP!BD58</f>
        <v>República Checa</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Egipto</v>
      </c>
      <c r="E180" s="7" t="str">
        <f ca="1">+WORLDCUP!BD67</f>
        <v>Austria</v>
      </c>
      <c r="F180" s="7" t="str">
        <f ca="1">+WORLDCUP!BD61</f>
        <v>Turquía</v>
      </c>
      <c r="G180" s="7" t="str">
        <f ca="1">+WORLDCUP!BD58</f>
        <v>República Checa</v>
      </c>
      <c r="H180" s="7" t="str">
        <f ca="1">+WORLDCUP!BD63</f>
        <v>Suecia</v>
      </c>
      <c r="I180" s="7" t="str">
        <f ca="1">+WORLDCUP!BD69</f>
        <v>Ghana</v>
      </c>
      <c r="J180" s="7" t="str">
        <f ca="1">+WORLDCUP!BD66</f>
        <v>Noruega</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Egipto</v>
      </c>
      <c r="E181" s="7" t="str">
        <f ca="1">+WORLDCUP!BD67</f>
        <v>Austria</v>
      </c>
      <c r="F181" s="7" t="str">
        <f ca="1">+WORLDCUP!BD61</f>
        <v>Turquía</v>
      </c>
      <c r="G181" s="7" t="str">
        <f ca="1">+WORLDCUP!BD58</f>
        <v>República Checa</v>
      </c>
      <c r="H181" s="7" t="str">
        <f ca="1">+WORLDCUP!BD63</f>
        <v>Suecia</v>
      </c>
      <c r="I181" s="7" t="str">
        <f ca="1">+WORLDCUP!BD66</f>
        <v>Noruega</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Noruega</v>
      </c>
      <c r="F182" s="7" t="str">
        <f ca="1">+WORLDCUP!BD61</f>
        <v>Turquía</v>
      </c>
      <c r="G182" s="7" t="str">
        <f ca="1">+WORLDCUP!BD58</f>
        <v>República Checa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Noruega</v>
      </c>
      <c r="F183" s="7" t="str">
        <f ca="1">+WORLDCUP!BD61</f>
        <v>Turquía</v>
      </c>
      <c r="G183" s="7" t="str">
        <f ca="1">+WORLDCUP!BD58</f>
        <v>República Checa</v>
      </c>
      <c r="H183" s="7" t="str">
        <f ca="1">+WORLDCUP!BD64</f>
        <v>Egipto</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Egipto</v>
      </c>
      <c r="E184" s="7" t="str">
        <f ca="1">+WORLDCUP!BD67</f>
        <v>Austria</v>
      </c>
      <c r="F184" s="7" t="str">
        <f ca="1">+WORLDCUP!BD61</f>
        <v>Turquía</v>
      </c>
      <c r="G184" s="7" t="str">
        <f ca="1">+WORLDCUP!BD58</f>
        <v>República Checa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Egipto</v>
      </c>
      <c r="E185" s="7" t="str">
        <f ca="1">+WORLDCUP!BD66</f>
        <v>Noruega</v>
      </c>
      <c r="F185" s="7" t="str">
        <f ca="1">+WORLDCUP!BD61</f>
        <v>Turquía</v>
      </c>
      <c r="G185" s="7" t="str">
        <f ca="1">+WORLDCUP!BD58</f>
        <v>República Checa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Egipto</v>
      </c>
      <c r="E186" s="7" t="str">
        <f ca="1">+WORLDCUP!BD67</f>
        <v>Austria</v>
      </c>
      <c r="F186" s="7" t="str">
        <f ca="1">+WORLDCUP!BD61</f>
        <v>Turquía</v>
      </c>
      <c r="G186" s="7" t="str">
        <f ca="1">+WORLDCUP!BD58</f>
        <v>República Checa</v>
      </c>
      <c r="H186" s="7" t="str">
        <f ca="1">+WORLDCUP!BD65</f>
        <v>Arabia Saudita</v>
      </c>
      <c r="I186" s="7" t="str">
        <f ca="1">+WORLDCUP!BD69</f>
        <v>Ghana</v>
      </c>
      <c r="J186" s="7" t="str">
        <f ca="1">+WORLDCUP!BD66</f>
        <v>Noruega</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Egipto</v>
      </c>
      <c r="E187" s="7" t="str">
        <f ca="1">+WORLDCUP!BD67</f>
        <v>Austria</v>
      </c>
      <c r="F187" s="7" t="str">
        <f ca="1">+WORLDCUP!BD61</f>
        <v>Turquía</v>
      </c>
      <c r="G187" s="7" t="str">
        <f ca="1">+WORLDCUP!BD58</f>
        <v>República Checa</v>
      </c>
      <c r="H187" s="7" t="str">
        <f ca="1">+WORLDCUP!BD65</f>
        <v>Arabia Saudita</v>
      </c>
      <c r="I187" s="7" t="str">
        <f ca="1">+WORLDCUP!BD66</f>
        <v>Noruega</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Noruega</v>
      </c>
      <c r="F188" s="7" t="str">
        <f ca="1">+WORLDCUP!BD61</f>
        <v>Turquía</v>
      </c>
      <c r="G188" s="7" t="str">
        <f ca="1">+WORLDCUP!BD58</f>
        <v>República Checa</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Turquía</v>
      </c>
      <c r="G189" s="7" t="str">
        <f ca="1">+WORLDCUP!BD58</f>
        <v>República Checa</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Noruega</v>
      </c>
      <c r="F190" s="7" t="str">
        <f ca="1">+WORLDCUP!BD61</f>
        <v>Turquía</v>
      </c>
      <c r="G190" s="7" t="str">
        <f ca="1">+WORLDCUP!BD58</f>
        <v>República Checa</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Turquía</v>
      </c>
      <c r="G191" s="7" t="str">
        <f ca="1">+WORLDCUP!BD58</f>
        <v>República Checa</v>
      </c>
      <c r="H191" s="7" t="str">
        <f ca="1">+WORLDCUP!BD63</f>
        <v>Suecia</v>
      </c>
      <c r="I191" s="7" t="str">
        <f ca="1">+WORLDCUP!BD69</f>
        <v>Ghana</v>
      </c>
      <c r="J191" s="7" t="str">
        <f ca="1">+WORLDCUP!BD66</f>
        <v>Noruega</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Turquía</v>
      </c>
      <c r="G192" s="7" t="str">
        <f ca="1">+WORLDCUP!BD58</f>
        <v>República Checa</v>
      </c>
      <c r="H192" s="7" t="str">
        <f ca="1">+WORLDCUP!BD63</f>
        <v>Suecia</v>
      </c>
      <c r="I192" s="7" t="str">
        <f ca="1">+WORLDCUP!BD66</f>
        <v>Noruega</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Egipto</v>
      </c>
      <c r="E193" s="7" t="str">
        <f ca="1">+WORLDCUP!BD67</f>
        <v>Austria</v>
      </c>
      <c r="F193" s="7" t="str">
        <f ca="1">+WORLDCUP!BD61</f>
        <v>Turquía</v>
      </c>
      <c r="G193" s="7" t="str">
        <f ca="1">+WORLDCUP!BD58</f>
        <v>República Checa</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Egipto</v>
      </c>
      <c r="E194" s="7" t="str">
        <f ca="1">+WORLDCUP!BD66</f>
        <v>Noruega</v>
      </c>
      <c r="F194" s="7" t="str">
        <f ca="1">+WORLDCUP!BD61</f>
        <v>Turquía</v>
      </c>
      <c r="G194" s="7" t="str">
        <f ca="1">+WORLDCUP!BD58</f>
        <v>República Checa</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Egipto</v>
      </c>
      <c r="E195" s="7" t="str">
        <f ca="1">+WORLDCUP!BD67</f>
        <v>Austria</v>
      </c>
      <c r="F195" s="7" t="str">
        <f ca="1">+WORLDCUP!BD61</f>
        <v>Turquía</v>
      </c>
      <c r="G195" s="7" t="str">
        <f ca="1">+WORLDCUP!BD58</f>
        <v>República Checa</v>
      </c>
      <c r="H195" s="7" t="str">
        <f ca="1">+WORLDCUP!BD63</f>
        <v>Suecia</v>
      </c>
      <c r="I195" s="7" t="str">
        <f ca="1">+WORLDCUP!BD69</f>
        <v>Ghana</v>
      </c>
      <c r="J195" s="7" t="str">
        <f ca="1">+WORLDCUP!BD66</f>
        <v>Noruega</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Egipto</v>
      </c>
      <c r="E196" s="7" t="str">
        <f ca="1">+WORLDCUP!BD67</f>
        <v>Austria</v>
      </c>
      <c r="F196" s="7" t="str">
        <f ca="1">+WORLDCUP!BD61</f>
        <v>Turquía</v>
      </c>
      <c r="G196" s="7" t="str">
        <f ca="1">+WORLDCUP!BD58</f>
        <v>República Checa</v>
      </c>
      <c r="H196" s="7" t="str">
        <f ca="1">+WORLDCUP!BD63</f>
        <v>Suecia</v>
      </c>
      <c r="I196" s="7" t="str">
        <f ca="1">+WORLDCUP!BD66</f>
        <v>Noruega</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Egipto</v>
      </c>
      <c r="E197" s="7" t="str">
        <f ca="1">+WORLDCUP!BD62</f>
        <v>Costa de Marfil</v>
      </c>
      <c r="F197" s="7" t="str">
        <f ca="1">+WORLDCUP!BD61</f>
        <v>Turquía</v>
      </c>
      <c r="G197" s="7" t="str">
        <f ca="1">+WORLDCUP!BD58</f>
        <v>República Checa</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Egipto</v>
      </c>
      <c r="E198" s="7" t="str">
        <f ca="1">+WORLDCUP!BD67</f>
        <v>Austria</v>
      </c>
      <c r="F198" s="7" t="str">
        <f ca="1">+WORLDCUP!BD61</f>
        <v>Turquía</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Egipto</v>
      </c>
      <c r="E199" s="7" t="str">
        <f ca="1">+WORLDCUP!BD67</f>
        <v>Austria</v>
      </c>
      <c r="F199" s="7" t="str">
        <f ca="1">+WORLDCUP!BD61</f>
        <v>Turquía</v>
      </c>
      <c r="G199" s="7" t="str">
        <f ca="1">+WORLDCUP!BD58</f>
        <v>República Checa</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Egipto</v>
      </c>
      <c r="E200" s="7" t="str">
        <f ca="1">+WORLDCUP!BD62</f>
        <v>Costa de Marfil</v>
      </c>
      <c r="F200" s="7" t="str">
        <f ca="1">+WORLDCUP!BD61</f>
        <v>Turquía</v>
      </c>
      <c r="G200" s="7" t="str">
        <f ca="1">+WORLDCUP!BD58</f>
        <v>República Checa</v>
      </c>
      <c r="H200" s="7" t="str">
        <f ca="1">+WORLDCUP!BD63</f>
        <v>Suecia</v>
      </c>
      <c r="I200" s="7" t="str">
        <f ca="1">+WORLDCUP!BD69</f>
        <v>Ghana</v>
      </c>
      <c r="J200" s="7" t="str">
        <f ca="1">+WORLDCUP!BD66</f>
        <v>Noruega</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Egipto</v>
      </c>
      <c r="E201" s="7" t="str">
        <f ca="1">+WORLDCUP!BD62</f>
        <v>Costa de Marfil</v>
      </c>
      <c r="F201" s="7" t="str">
        <f ca="1">+WORLDCUP!BD61</f>
        <v>Turquía</v>
      </c>
      <c r="G201" s="7" t="str">
        <f ca="1">+WORLDCUP!BD58</f>
        <v>República Checa</v>
      </c>
      <c r="H201" s="7" t="str">
        <f ca="1">+WORLDCUP!BD63</f>
        <v>Suecia</v>
      </c>
      <c r="I201" s="7" t="str">
        <f ca="1">+WORLDCUP!BD66</f>
        <v>Noruega</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Egipto</v>
      </c>
      <c r="E202" s="7" t="str">
        <f ca="1">+WORLDCUP!BD67</f>
        <v>Austria</v>
      </c>
      <c r="F202" s="7" t="str">
        <f ca="1">+WORLDCUP!BD61</f>
        <v>Turquía</v>
      </c>
      <c r="G202" s="7" t="str">
        <f ca="1">+WORLDCUP!BD58</f>
        <v>República Checa</v>
      </c>
      <c r="H202" s="7" t="str">
        <f ca="1">+WORLDCUP!BD63</f>
        <v>Suecia</v>
      </c>
      <c r="I202" s="7" t="str">
        <f ca="1">+WORLDCUP!BD62</f>
        <v>Costa de Marfil</v>
      </c>
      <c r="J202" s="7" t="str">
        <f ca="1">+WORLDCUP!BD66</f>
        <v>Noruega</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Noruega</v>
      </c>
      <c r="F203" s="7" t="str">
        <f ca="1">+WORLDCUP!BD60</f>
        <v>Escocia</v>
      </c>
      <c r="G203" s="7" t="str">
        <f ca="1">+WORLDCUP!BD58</f>
        <v>República Checa</v>
      </c>
      <c r="H203" s="7" t="str">
        <f ca="1">+WORLDCUP!BD64</f>
        <v>Egipto</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Noruega</v>
      </c>
      <c r="F204" s="7" t="str">
        <f ca="1">+WORLDCUP!BD60</f>
        <v>Escocia</v>
      </c>
      <c r="G204" s="7" t="str">
        <f ca="1">+WORLDCUP!BD58</f>
        <v>República Checa</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Noruega</v>
      </c>
      <c r="D205" s="7" t="str">
        <f ca="1">+WORLDCUP!BD64</f>
        <v>Egipto</v>
      </c>
      <c r="E205" s="7" t="str">
        <f ca="1">+WORLDCUP!BD67</f>
        <v>Austria</v>
      </c>
      <c r="F205" s="7" t="str">
        <f ca="1">+WORLDCUP!BD60</f>
        <v>Escocia</v>
      </c>
      <c r="G205" s="7" t="str">
        <f ca="1">+WORLDCUP!BD58</f>
        <v>República Checa</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Egipto</v>
      </c>
      <c r="E206" s="7" t="str">
        <f ca="1">+WORLDCUP!BD67</f>
        <v>Austria</v>
      </c>
      <c r="F206" s="7" t="str">
        <f ca="1">+WORLDCUP!BD60</f>
        <v>Escocia</v>
      </c>
      <c r="G206" s="7" t="str">
        <f ca="1">+WORLDCUP!BD58</f>
        <v>República Checa</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Egipto</v>
      </c>
      <c r="E207" s="7" t="str">
        <f ca="1">+WORLDCUP!BD66</f>
        <v>Noruega</v>
      </c>
      <c r="F207" s="7" t="str">
        <f ca="1">+WORLDCUP!BD60</f>
        <v>Escocia</v>
      </c>
      <c r="G207" s="7" t="str">
        <f ca="1">+WORLDCUP!BD58</f>
        <v>República Checa</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Egipto</v>
      </c>
      <c r="E208" s="7" t="str">
        <f ca="1">+WORLDCUP!BD67</f>
        <v>Austria</v>
      </c>
      <c r="F208" s="7" t="str">
        <f ca="1">+WORLDCUP!BD60</f>
        <v>Escocia</v>
      </c>
      <c r="G208" s="7" t="str">
        <f ca="1">+WORLDCUP!BD58</f>
        <v>República Checa</v>
      </c>
      <c r="H208" s="7" t="str">
        <f ca="1">+WORLDCUP!BD63</f>
        <v>Suecia</v>
      </c>
      <c r="I208" s="7" t="str">
        <f ca="1">+WORLDCUP!BD69</f>
        <v>Ghana</v>
      </c>
      <c r="J208" s="7" t="str">
        <f ca="1">+WORLDCUP!BD66</f>
        <v>Noruega</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Egipto</v>
      </c>
      <c r="E209" s="7" t="str">
        <f ca="1">+WORLDCUP!BD67</f>
        <v>Austria</v>
      </c>
      <c r="F209" s="7" t="str">
        <f ca="1">+WORLDCUP!BD60</f>
        <v>Escocia</v>
      </c>
      <c r="G209" s="7" t="str">
        <f ca="1">+WORLDCUP!BD58</f>
        <v>República Checa</v>
      </c>
      <c r="H209" s="7" t="str">
        <f ca="1">+WORLDCUP!BD63</f>
        <v>Suecia</v>
      </c>
      <c r="I209" s="7" t="str">
        <f ca="1">+WORLDCUP!BD66</f>
        <v>Noruega</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Noruega</v>
      </c>
      <c r="F210" s="7" t="str">
        <f ca="1">+WORLDCUP!BD60</f>
        <v>Escocia</v>
      </c>
      <c r="G210" s="7" t="str">
        <f ca="1">+WORLDCUP!BD58</f>
        <v>República Checa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Noruega</v>
      </c>
      <c r="F211" s="7" t="str">
        <f ca="1">+WORLDCUP!BD60</f>
        <v>Escocia</v>
      </c>
      <c r="G211" s="7" t="str">
        <f ca="1">+WORLDCUP!BD58</f>
        <v>República Checa</v>
      </c>
      <c r="H211" s="7" t="str">
        <f ca="1">+WORLDCUP!BD64</f>
        <v>Egipto</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Egipto</v>
      </c>
      <c r="E212" s="7" t="str">
        <f ca="1">+WORLDCUP!BD67</f>
        <v>Austria</v>
      </c>
      <c r="F212" s="7" t="str">
        <f ca="1">+WORLDCUP!BD60</f>
        <v>Escocia</v>
      </c>
      <c r="G212" s="7" t="str">
        <f ca="1">+WORLDCUP!BD58</f>
        <v>República Checa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Egipto</v>
      </c>
      <c r="E213" s="7" t="str">
        <f ca="1">+WORLDCUP!BD66</f>
        <v>Noruega</v>
      </c>
      <c r="F213" s="7" t="str">
        <f ca="1">+WORLDCUP!BD60</f>
        <v>Escocia</v>
      </c>
      <c r="G213" s="7" t="str">
        <f ca="1">+WORLDCUP!BD58</f>
        <v>República Checa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Egipto</v>
      </c>
      <c r="E214" s="7" t="str">
        <f ca="1">+WORLDCUP!BD67</f>
        <v>Austria</v>
      </c>
      <c r="F214" s="7" t="str">
        <f ca="1">+WORLDCUP!BD60</f>
        <v>Escocia</v>
      </c>
      <c r="G214" s="7" t="str">
        <f ca="1">+WORLDCUP!BD58</f>
        <v>República Checa</v>
      </c>
      <c r="H214" s="7" t="str">
        <f ca="1">+WORLDCUP!BD65</f>
        <v>Arabia Saudita</v>
      </c>
      <c r="I214" s="7" t="str">
        <f ca="1">+WORLDCUP!BD69</f>
        <v>Ghana</v>
      </c>
      <c r="J214" s="7" t="str">
        <f ca="1">+WORLDCUP!BD66</f>
        <v>Noruega</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Egipto</v>
      </c>
      <c r="E215" s="7" t="str">
        <f ca="1">+WORLDCUP!BD67</f>
        <v>Austria</v>
      </c>
      <c r="F215" s="7" t="str">
        <f ca="1">+WORLDCUP!BD60</f>
        <v>Escocia</v>
      </c>
      <c r="G215" s="7" t="str">
        <f ca="1">+WORLDCUP!BD58</f>
        <v>República Checa</v>
      </c>
      <c r="H215" s="7" t="str">
        <f ca="1">+WORLDCUP!BD65</f>
        <v>Arabia Saudita</v>
      </c>
      <c r="I215" s="7" t="str">
        <f ca="1">+WORLDCUP!BD66</f>
        <v>Noruega</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Noruega</v>
      </c>
      <c r="F216" s="7" t="str">
        <f ca="1">+WORLDCUP!BD60</f>
        <v>Escocia</v>
      </c>
      <c r="G216" s="7" t="str">
        <f ca="1">+WORLDCUP!BD58</f>
        <v>República Checa</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República Checa</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Noruega</v>
      </c>
      <c r="F218" s="7" t="str">
        <f ca="1">+WORLDCUP!BD60</f>
        <v>Escocia</v>
      </c>
      <c r="G218" s="7" t="str">
        <f ca="1">+WORLDCUP!BD58</f>
        <v>República Checa</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República Checa</v>
      </c>
      <c r="H219" s="7" t="str">
        <f ca="1">+WORLDCUP!BD63</f>
        <v>Suecia</v>
      </c>
      <c r="I219" s="7" t="str">
        <f ca="1">+WORLDCUP!BD69</f>
        <v>Ghana</v>
      </c>
      <c r="J219" s="7" t="str">
        <f ca="1">+WORLDCUP!BD66</f>
        <v>Noruega</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República Checa</v>
      </c>
      <c r="H220" s="7" t="str">
        <f ca="1">+WORLDCUP!BD63</f>
        <v>Suecia</v>
      </c>
      <c r="I220" s="7" t="str">
        <f ca="1">+WORLDCUP!BD66</f>
        <v>Noruega</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Egipto</v>
      </c>
      <c r="E221" s="7" t="str">
        <f ca="1">+WORLDCUP!BD67</f>
        <v>Austria</v>
      </c>
      <c r="F221" s="7" t="str">
        <f ca="1">+WORLDCUP!BD60</f>
        <v>Escocia</v>
      </c>
      <c r="G221" s="7" t="str">
        <f ca="1">+WORLDCUP!BD58</f>
        <v>República Checa</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Egipto</v>
      </c>
      <c r="E222" s="7" t="str">
        <f ca="1">+WORLDCUP!BD66</f>
        <v>Noruega</v>
      </c>
      <c r="F222" s="7" t="str">
        <f ca="1">+WORLDCUP!BD60</f>
        <v>Escocia</v>
      </c>
      <c r="G222" s="7" t="str">
        <f ca="1">+WORLDCUP!BD58</f>
        <v>República Checa</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Egipto</v>
      </c>
      <c r="E223" s="7" t="str">
        <f ca="1">+WORLDCUP!BD67</f>
        <v>Austria</v>
      </c>
      <c r="F223" s="7" t="str">
        <f ca="1">+WORLDCUP!BD60</f>
        <v>Escocia</v>
      </c>
      <c r="G223" s="7" t="str">
        <f ca="1">+WORLDCUP!BD58</f>
        <v>República Checa</v>
      </c>
      <c r="H223" s="7" t="str">
        <f ca="1">+WORLDCUP!BD63</f>
        <v>Suecia</v>
      </c>
      <c r="I223" s="7" t="str">
        <f ca="1">+WORLDCUP!BD69</f>
        <v>Ghana</v>
      </c>
      <c r="J223" s="7" t="str">
        <f ca="1">+WORLDCUP!BD66</f>
        <v>Noruega</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Egipto</v>
      </c>
      <c r="E224" s="7" t="str">
        <f ca="1">+WORLDCUP!BD67</f>
        <v>Austria</v>
      </c>
      <c r="F224" s="7" t="str">
        <f ca="1">+WORLDCUP!BD60</f>
        <v>Escocia</v>
      </c>
      <c r="G224" s="7" t="str">
        <f ca="1">+WORLDCUP!BD58</f>
        <v>República Checa</v>
      </c>
      <c r="H224" s="7" t="str">
        <f ca="1">+WORLDCUP!BD63</f>
        <v>Suecia</v>
      </c>
      <c r="I224" s="7" t="str">
        <f ca="1">+WORLDCUP!BD66</f>
        <v>Noruega</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Egipto</v>
      </c>
      <c r="E225" s="7" t="str">
        <f ca="1">+WORLDCUP!BD62</f>
        <v>Costa de Marfil</v>
      </c>
      <c r="F225" s="7" t="str">
        <f ca="1">+WORLDCUP!BD60</f>
        <v>Escocia</v>
      </c>
      <c r="G225" s="7" t="str">
        <f ca="1">+WORLDCUP!BD58</f>
        <v>República Checa</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Egipto</v>
      </c>
      <c r="E226" s="7" t="str">
        <f ca="1">+WORLDCUP!BD67</f>
        <v>Austria</v>
      </c>
      <c r="F226" s="7" t="str">
        <f ca="1">+WORLDCUP!BD60</f>
        <v>Escocia</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Egipto</v>
      </c>
      <c r="E227" s="7" t="str">
        <f ca="1">+WORLDCUP!BD67</f>
        <v>Austria</v>
      </c>
      <c r="F227" s="7" t="str">
        <f ca="1">+WORLDCUP!BD60</f>
        <v>Escocia</v>
      </c>
      <c r="G227" s="7" t="str">
        <f ca="1">+WORLDCUP!BD58</f>
        <v>República Checa</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Egipto</v>
      </c>
      <c r="E228" s="7" t="str">
        <f ca="1">+WORLDCUP!BD62</f>
        <v>Costa de Marfil</v>
      </c>
      <c r="F228" s="7" t="str">
        <f ca="1">+WORLDCUP!BD60</f>
        <v>Escocia</v>
      </c>
      <c r="G228" s="7" t="str">
        <f ca="1">+WORLDCUP!BD58</f>
        <v>República Checa</v>
      </c>
      <c r="H228" s="7" t="str">
        <f ca="1">+WORLDCUP!BD63</f>
        <v>Suecia</v>
      </c>
      <c r="I228" s="7" t="str">
        <f ca="1">+WORLDCUP!BD69</f>
        <v>Ghana</v>
      </c>
      <c r="J228" s="7" t="str">
        <f ca="1">+WORLDCUP!BD66</f>
        <v>Noruega</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Egipto</v>
      </c>
      <c r="E229" s="7" t="str">
        <f ca="1">+WORLDCUP!BD62</f>
        <v>Costa de Marfil</v>
      </c>
      <c r="F229" s="7" t="str">
        <f ca="1">+WORLDCUP!BD60</f>
        <v>Escocia</v>
      </c>
      <c r="G229" s="7" t="str">
        <f ca="1">+WORLDCUP!BD58</f>
        <v>República Checa</v>
      </c>
      <c r="H229" s="7" t="str">
        <f ca="1">+WORLDCUP!BD63</f>
        <v>Suecia</v>
      </c>
      <c r="I229" s="7" t="str">
        <f ca="1">+WORLDCUP!BD66</f>
        <v>Noruega</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Egipto</v>
      </c>
      <c r="E230" s="7" t="str">
        <f ca="1">+WORLDCUP!BD67</f>
        <v>Austria</v>
      </c>
      <c r="F230" s="7" t="str">
        <f ca="1">+WORLDCUP!BD60</f>
        <v>Escocia</v>
      </c>
      <c r="G230" s="7" t="str">
        <f ca="1">+WORLDCUP!BD58</f>
        <v>República Checa</v>
      </c>
      <c r="H230" s="7" t="str">
        <f ca="1">+WORLDCUP!BD63</f>
        <v>Suecia</v>
      </c>
      <c r="I230" s="7" t="str">
        <f ca="1">+WORLDCUP!BD62</f>
        <v>Costa de Marfil</v>
      </c>
      <c r="J230" s="7" t="str">
        <f ca="1">+WORLDCUP!BD66</f>
        <v>Noruega</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Noruega</v>
      </c>
      <c r="F231" s="7" t="str">
        <f ca="1">+WORLDCUP!BD60</f>
        <v>Escocia</v>
      </c>
      <c r="G231" s="7" t="str">
        <f ca="1">+WORLDCUP!BD58</f>
        <v>República Checa</v>
      </c>
      <c r="H231" s="7" t="str">
        <f ca="1">+WORLDCUP!BD61</f>
        <v>Turquía</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Noruega</v>
      </c>
      <c r="D232" s="7" t="str">
        <f ca="1">+WORLDCUP!BD64</f>
        <v>Egipto</v>
      </c>
      <c r="E232" s="7" t="str">
        <f ca="1">+WORLDCUP!BD67</f>
        <v>Austria</v>
      </c>
      <c r="F232" s="7" t="str">
        <f ca="1">+WORLDCUP!BD60</f>
        <v>Escocia</v>
      </c>
      <c r="G232" s="7" t="str">
        <f ca="1">+WORLDCUP!BD58</f>
        <v>República Checa</v>
      </c>
      <c r="H232" s="7" t="str">
        <f ca="1">+WORLDCUP!BD61</f>
        <v>Turquía</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Egipto</v>
      </c>
      <c r="E233" s="7" t="str">
        <f ca="1">+WORLDCUP!BD67</f>
        <v>Austria</v>
      </c>
      <c r="F233" s="7" t="str">
        <f ca="1">+WORLDCUP!BD60</f>
        <v>Escocia</v>
      </c>
      <c r="G233" s="7" t="str">
        <f ca="1">+WORLDCUP!BD58</f>
        <v>República Checa</v>
      </c>
      <c r="H233" s="7" t="str">
        <f ca="1">+WORLDCUP!BD61</f>
        <v>Turquía</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Egipto</v>
      </c>
      <c r="E234" s="7" t="str">
        <f ca="1">+WORLDCUP!BD66</f>
        <v>Noruega</v>
      </c>
      <c r="F234" s="7" t="str">
        <f ca="1">+WORLDCUP!BD60</f>
        <v>Escocia</v>
      </c>
      <c r="G234" s="7" t="str">
        <f ca="1">+WORLDCUP!BD58</f>
        <v>República Checa</v>
      </c>
      <c r="H234" s="7" t="str">
        <f ca="1">+WORLDCUP!BD61</f>
        <v>Turquía</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Egipto</v>
      </c>
      <c r="E235" s="7" t="str">
        <f ca="1">+WORLDCUP!BD67</f>
        <v>Austria</v>
      </c>
      <c r="F235" s="7" t="str">
        <f ca="1">+WORLDCUP!BD60</f>
        <v>Escocia</v>
      </c>
      <c r="G235" s="7" t="str">
        <f ca="1">+WORLDCUP!BD58</f>
        <v>República Checa</v>
      </c>
      <c r="H235" s="7" t="str">
        <f ca="1">+WORLDCUP!BD61</f>
        <v>Turquía</v>
      </c>
      <c r="I235" s="7" t="str">
        <f ca="1">+WORLDCUP!BD69</f>
        <v>Ghana</v>
      </c>
      <c r="J235" s="7" t="str">
        <f ca="1">+WORLDCUP!BD66</f>
        <v>Noruega</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Egipto</v>
      </c>
      <c r="E236" s="7" t="str">
        <f ca="1">+WORLDCUP!BD67</f>
        <v>Austria</v>
      </c>
      <c r="F236" s="7" t="str">
        <f ca="1">+WORLDCUP!BD60</f>
        <v>Escocia</v>
      </c>
      <c r="G236" s="7" t="str">
        <f ca="1">+WORLDCUP!BD58</f>
        <v>República Checa</v>
      </c>
      <c r="H236" s="7" t="str">
        <f ca="1">+WORLDCUP!BD61</f>
        <v>Turquía</v>
      </c>
      <c r="I236" s="7" t="str">
        <f ca="1">+WORLDCUP!BD66</f>
        <v>Noruega</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Noruega</v>
      </c>
      <c r="F237" s="7" t="str">
        <f ca="1">+WORLDCUP!BD61</f>
        <v>Turquía</v>
      </c>
      <c r="G237" s="7" t="str">
        <f ca="1">+WORLDCUP!BD58</f>
        <v>República Checa</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República Checa</v>
      </c>
      <c r="H238" s="7" t="str">
        <f ca="1">+WORLDCUP!BD61</f>
        <v>Turquía</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Noruega</v>
      </c>
      <c r="F239" s="7" t="str">
        <f ca="1">+WORLDCUP!BD60</f>
        <v>Escocia</v>
      </c>
      <c r="G239" s="7" t="str">
        <f ca="1">+WORLDCUP!BD58</f>
        <v>República Checa</v>
      </c>
      <c r="H239" s="7" t="str">
        <f ca="1">+WORLDCUP!BD61</f>
        <v>Turquía</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República Checa</v>
      </c>
      <c r="H240" s="7" t="str">
        <f ca="1">+WORLDCUP!BD61</f>
        <v>Turquía</v>
      </c>
      <c r="I240" s="7" t="str">
        <f ca="1">+WORLDCUP!BD69</f>
        <v>Ghana</v>
      </c>
      <c r="J240" s="7" t="str">
        <f ca="1">+WORLDCUP!BD66</f>
        <v>Noruega</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República Checa</v>
      </c>
      <c r="H241" s="7" t="str">
        <f ca="1">+WORLDCUP!BD61</f>
        <v>Turquía</v>
      </c>
      <c r="I241" s="7" t="str">
        <f ca="1">+WORLDCUP!BD66</f>
        <v>Noruega</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Egipto</v>
      </c>
      <c r="E242" s="7" t="str">
        <f ca="1">+WORLDCUP!BD67</f>
        <v>Austria</v>
      </c>
      <c r="F242" s="7" t="str">
        <f ca="1">+WORLDCUP!BD61</f>
        <v>Turquía</v>
      </c>
      <c r="G242" s="7" t="str">
        <f ca="1">+WORLDCUP!BD58</f>
        <v>República Checa</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Egipto</v>
      </c>
      <c r="E243" s="7" t="str">
        <f ca="1">+WORLDCUP!BD66</f>
        <v>Noruega</v>
      </c>
      <c r="F243" s="7" t="str">
        <f ca="1">+WORLDCUP!BD61</f>
        <v>Turquía</v>
      </c>
      <c r="G243" s="7" t="str">
        <f ca="1">+WORLDCUP!BD58</f>
        <v>República Checa</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Egipto</v>
      </c>
      <c r="E244" s="7" t="str">
        <f ca="1">+WORLDCUP!BD67</f>
        <v>Austria</v>
      </c>
      <c r="F244" s="7" t="str">
        <f ca="1">+WORLDCUP!BD61</f>
        <v>Turquía</v>
      </c>
      <c r="G244" s="7" t="str">
        <f ca="1">+WORLDCUP!BD58</f>
        <v>República Checa</v>
      </c>
      <c r="H244" s="7" t="str">
        <f ca="1">+WORLDCUP!BD63</f>
        <v>Suecia</v>
      </c>
      <c r="I244" s="7" t="str">
        <f ca="1">+WORLDCUP!BD69</f>
        <v>Ghana</v>
      </c>
      <c r="J244" s="7" t="str">
        <f ca="1">+WORLDCUP!BD66</f>
        <v>Noruega</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Egipto</v>
      </c>
      <c r="E245" s="7" t="str">
        <f ca="1">+WORLDCUP!BD67</f>
        <v>Austria</v>
      </c>
      <c r="F245" s="7" t="str">
        <f ca="1">+WORLDCUP!BD61</f>
        <v>Turquía</v>
      </c>
      <c r="G245" s="7" t="str">
        <f ca="1">+WORLDCUP!BD58</f>
        <v>República Checa</v>
      </c>
      <c r="H245" s="7" t="str">
        <f ca="1">+WORLDCUP!BD63</f>
        <v>Suecia</v>
      </c>
      <c r="I245" s="7" t="str">
        <f ca="1">+WORLDCUP!BD66</f>
        <v>Noruega</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Egipto</v>
      </c>
      <c r="E246" s="7" t="str">
        <f ca="1">+WORLDCUP!BD63</f>
        <v>Suecia</v>
      </c>
      <c r="F246" s="7" t="str">
        <f ca="1">+WORLDCUP!BD60</f>
        <v>Escocia</v>
      </c>
      <c r="G246" s="7" t="str">
        <f ca="1">+WORLDCUP!BD58</f>
        <v>República Checa</v>
      </c>
      <c r="H246" s="7" t="str">
        <f ca="1">+WORLDCUP!BD61</f>
        <v>Turquía</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Egipto</v>
      </c>
      <c r="E247" s="7" t="str">
        <f ca="1">+WORLDCUP!BD67</f>
        <v>Austria</v>
      </c>
      <c r="F247" s="7" t="str">
        <f ca="1">+WORLDCUP!BD61</f>
        <v>Turquía</v>
      </c>
      <c r="G247" s="7" t="str">
        <f ca="1">+WORLDCUP!BD58</f>
        <v>República Checa</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Egipto</v>
      </c>
      <c r="E248" s="7" t="str">
        <f ca="1">+WORLDCUP!BD67</f>
        <v>Austria</v>
      </c>
      <c r="F248" s="7" t="str">
        <f ca="1">+WORLDCUP!BD60</f>
        <v>Escocia</v>
      </c>
      <c r="G248" s="7" t="str">
        <f ca="1">+WORLDCUP!BD58</f>
        <v>República Checa</v>
      </c>
      <c r="H248" s="7" t="str">
        <f ca="1">+WORLDCUP!BD63</f>
        <v>Suecia</v>
      </c>
      <c r="I248" s="7" t="str">
        <f ca="1">+WORLDCUP!BD61</f>
        <v>Turquía</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Egipto</v>
      </c>
      <c r="E249" s="7" t="str">
        <f ca="1">+WORLDCUP!BD63</f>
        <v>Suecia</v>
      </c>
      <c r="F249" s="7" t="str">
        <f ca="1">+WORLDCUP!BD60</f>
        <v>Escocia</v>
      </c>
      <c r="G249" s="7" t="str">
        <f ca="1">+WORLDCUP!BD58</f>
        <v>República Checa</v>
      </c>
      <c r="H249" s="7" t="str">
        <f ca="1">+WORLDCUP!BD61</f>
        <v>Turquía</v>
      </c>
      <c r="I249" s="7" t="str">
        <f ca="1">+WORLDCUP!BD69</f>
        <v>Ghana</v>
      </c>
      <c r="J249" s="7" t="str">
        <f ca="1">+WORLDCUP!BD66</f>
        <v>Noruega</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Egipto</v>
      </c>
      <c r="E250" s="7" t="str">
        <f ca="1">+WORLDCUP!BD63</f>
        <v>Suecia</v>
      </c>
      <c r="F250" s="7" t="str">
        <f ca="1">+WORLDCUP!BD60</f>
        <v>Escocia</v>
      </c>
      <c r="G250" s="7" t="str">
        <f ca="1">+WORLDCUP!BD58</f>
        <v>República Checa</v>
      </c>
      <c r="H250" s="7" t="str">
        <f ca="1">+WORLDCUP!BD61</f>
        <v>Turquía</v>
      </c>
      <c r="I250" s="7" t="str">
        <f ca="1">+WORLDCUP!BD66</f>
        <v>Noruega</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Egipto</v>
      </c>
      <c r="E251" s="7" t="str">
        <f ca="1">+WORLDCUP!BD67</f>
        <v>Austria</v>
      </c>
      <c r="F251" s="7" t="str">
        <f ca="1">+WORLDCUP!BD60</f>
        <v>Escocia</v>
      </c>
      <c r="G251" s="7" t="str">
        <f ca="1">+WORLDCUP!BD58</f>
        <v>República Checa</v>
      </c>
      <c r="H251" s="7" t="str">
        <f ca="1">+WORLDCUP!BD63</f>
        <v>Suecia</v>
      </c>
      <c r="I251" s="7" t="str">
        <f ca="1">+WORLDCUP!BD61</f>
        <v>Turquía</v>
      </c>
      <c r="J251" s="7" t="str">
        <f ca="1">+WORLDCUP!BD66</f>
        <v>Noruega</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Noruega</v>
      </c>
      <c r="F252" s="7" t="str">
        <f ca="1">+WORLDCUP!BD60</f>
        <v>Escocia</v>
      </c>
      <c r="G252" s="7" t="str">
        <f ca="1">+WORLDCUP!BD58</f>
        <v>República Checa</v>
      </c>
      <c r="H252" s="7" t="str">
        <f ca="1">+WORLDCUP!BD61</f>
        <v>Turquía</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República Checa</v>
      </c>
      <c r="H253" s="7" t="str">
        <f ca="1">+WORLDCUP!BD61</f>
        <v>Turquía</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Noruega</v>
      </c>
      <c r="F254" s="7" t="str">
        <f ca="1">+WORLDCUP!BD60</f>
        <v>Escocia</v>
      </c>
      <c r="G254" s="7" t="str">
        <f ca="1">+WORLDCUP!BD58</f>
        <v>República Checa</v>
      </c>
      <c r="H254" s="7" t="str">
        <f ca="1">+WORLDCUP!BD61</f>
        <v>Turquía</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República Checa</v>
      </c>
      <c r="H255" s="7" t="str">
        <f ca="1">+WORLDCUP!BD61</f>
        <v>Turquía</v>
      </c>
      <c r="I255" s="7" t="str">
        <f ca="1">+WORLDCUP!BD69</f>
        <v>Ghana</v>
      </c>
      <c r="J255" s="7" t="str">
        <f ca="1">+WORLDCUP!BD66</f>
        <v>Noruega</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República Checa</v>
      </c>
      <c r="H256" s="7" t="str">
        <f ca="1">+WORLDCUP!BD61</f>
        <v>Turquía</v>
      </c>
      <c r="I256" s="7" t="str">
        <f ca="1">+WORLDCUP!BD66</f>
        <v>Noruega</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Egipto</v>
      </c>
      <c r="E257" s="7" t="str">
        <f ca="1">+WORLDCUP!BD67</f>
        <v>Austria</v>
      </c>
      <c r="F257" s="7" t="str">
        <f ca="1">+WORLDCUP!BD60</f>
        <v>Escocia</v>
      </c>
      <c r="G257" s="7" t="str">
        <f ca="1">+WORLDCUP!BD58</f>
        <v>República Checa</v>
      </c>
      <c r="H257" s="7" t="str">
        <f ca="1">+WORLDCUP!BD61</f>
        <v>Turquía</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Egipto</v>
      </c>
      <c r="E258" s="7" t="str">
        <f ca="1">+WORLDCUP!BD66</f>
        <v>Noruega</v>
      </c>
      <c r="F258" s="7" t="str">
        <f ca="1">+WORLDCUP!BD60</f>
        <v>Escocia</v>
      </c>
      <c r="G258" s="7" t="str">
        <f ca="1">+WORLDCUP!BD58</f>
        <v>República Checa</v>
      </c>
      <c r="H258" s="7" t="str">
        <f ca="1">+WORLDCUP!BD61</f>
        <v>Turquía</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Egipto</v>
      </c>
      <c r="E259" s="7" t="str">
        <f ca="1">+WORLDCUP!BD67</f>
        <v>Austria</v>
      </c>
      <c r="F259" s="7" t="str">
        <f ca="1">+WORLDCUP!BD60</f>
        <v>Escocia</v>
      </c>
      <c r="G259" s="7" t="str">
        <f ca="1">+WORLDCUP!BD58</f>
        <v>República Checa</v>
      </c>
      <c r="H259" s="7" t="str">
        <f ca="1">+WORLDCUP!BD61</f>
        <v>Turquía</v>
      </c>
      <c r="I259" s="7" t="str">
        <f ca="1">+WORLDCUP!BD69</f>
        <v>Ghana</v>
      </c>
      <c r="J259" s="7" t="str">
        <f ca="1">+WORLDCUP!BD66</f>
        <v>Noruega</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Egipto</v>
      </c>
      <c r="E260" s="7" t="str">
        <f ca="1">+WORLDCUP!BD67</f>
        <v>Austria</v>
      </c>
      <c r="F260" s="7" t="str">
        <f ca="1">+WORLDCUP!BD60</f>
        <v>Escocia</v>
      </c>
      <c r="G260" s="7" t="str">
        <f ca="1">+WORLDCUP!BD58</f>
        <v>República Checa</v>
      </c>
      <c r="H260" s="7" t="str">
        <f ca="1">+WORLDCUP!BD61</f>
        <v>Turquía</v>
      </c>
      <c r="I260" s="7" t="str">
        <f ca="1">+WORLDCUP!BD66</f>
        <v>Noruega</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Egipto</v>
      </c>
      <c r="E261" s="7" t="str">
        <f ca="1">+WORLDCUP!BD62</f>
        <v>Costa de Marfil</v>
      </c>
      <c r="F261" s="7" t="str">
        <f ca="1">+WORLDCUP!BD60</f>
        <v>Escocia</v>
      </c>
      <c r="G261" s="7" t="str">
        <f ca="1">+WORLDCUP!BD58</f>
        <v>República Checa</v>
      </c>
      <c r="H261" s="7" t="str">
        <f ca="1">+WORLDCUP!BD61</f>
        <v>Turquía</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Egipto</v>
      </c>
      <c r="E262" s="7" t="str">
        <f ca="1">+WORLDCUP!BD67</f>
        <v>Austria</v>
      </c>
      <c r="F262" s="7" t="str">
        <f ca="1">+WORLDCUP!BD60</f>
        <v>Escocia</v>
      </c>
      <c r="G262" s="7" t="str">
        <f ca="1">+WORLDCUP!BD58</f>
        <v>República Checa</v>
      </c>
      <c r="H262" s="7" t="str">
        <f ca="1">+WORLDCUP!BD61</f>
        <v>Turquía</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Egipto</v>
      </c>
      <c r="E263" s="7" t="str">
        <f ca="1">+WORLDCUP!BD67</f>
        <v>Austria</v>
      </c>
      <c r="F263" s="7" t="str">
        <f ca="1">+WORLDCUP!BD60</f>
        <v>Escocia</v>
      </c>
      <c r="G263" s="7" t="str">
        <f ca="1">+WORLDCUP!BD58</f>
        <v>República Checa</v>
      </c>
      <c r="H263" s="7" t="str">
        <f ca="1">+WORLDCUP!BD61</f>
        <v>Turquía</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Egipto</v>
      </c>
      <c r="E264" s="7" t="str">
        <f ca="1">+WORLDCUP!BD62</f>
        <v>Costa de Marfil</v>
      </c>
      <c r="F264" s="7" t="str">
        <f ca="1">+WORLDCUP!BD60</f>
        <v>Escocia</v>
      </c>
      <c r="G264" s="7" t="str">
        <f ca="1">+WORLDCUP!BD58</f>
        <v>República Checa</v>
      </c>
      <c r="H264" s="7" t="str">
        <f ca="1">+WORLDCUP!BD61</f>
        <v>Turquía</v>
      </c>
      <c r="I264" s="7" t="str">
        <f ca="1">+WORLDCUP!BD69</f>
        <v>Ghana</v>
      </c>
      <c r="J264" s="7" t="str">
        <f ca="1">+WORLDCUP!BD66</f>
        <v>Noruega</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Egipto</v>
      </c>
      <c r="E265" s="7" t="str">
        <f ca="1">+WORLDCUP!BD62</f>
        <v>Costa de Marfil</v>
      </c>
      <c r="F265" s="7" t="str">
        <f ca="1">+WORLDCUP!BD60</f>
        <v>Escocia</v>
      </c>
      <c r="G265" s="7" t="str">
        <f ca="1">+WORLDCUP!BD58</f>
        <v>República Checa</v>
      </c>
      <c r="H265" s="7" t="str">
        <f ca="1">+WORLDCUP!BD61</f>
        <v>Turquía</v>
      </c>
      <c r="I265" s="7" t="str">
        <f ca="1">+WORLDCUP!BD66</f>
        <v>Noruega</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Egipto</v>
      </c>
      <c r="E266" s="7" t="str">
        <f ca="1">+WORLDCUP!BD67</f>
        <v>Austria</v>
      </c>
      <c r="F266" s="7" t="str">
        <f ca="1">+WORLDCUP!BD60</f>
        <v>Escocia</v>
      </c>
      <c r="G266" s="7" t="str">
        <f ca="1">+WORLDCUP!BD58</f>
        <v>República Checa</v>
      </c>
      <c r="H266" s="7" t="str">
        <f ca="1">+WORLDCUP!BD61</f>
        <v>Turquía</v>
      </c>
      <c r="I266" s="7" t="str">
        <f ca="1">+WORLDCUP!BD62</f>
        <v>Costa de Marfil</v>
      </c>
      <c r="J266" s="7" t="str">
        <f ca="1">+WORLDCUP!BD66</f>
        <v>Noruega</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Turquía</v>
      </c>
      <c r="G267" s="7" t="str">
        <f ca="1">+WORLDCUP!BD58</f>
        <v>República Checa</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Noruega</v>
      </c>
      <c r="F268" s="7" t="str">
        <f ca="1">+WORLDCUP!BD61</f>
        <v>Turquía</v>
      </c>
      <c r="G268" s="7" t="str">
        <f ca="1">+WORLDCUP!BD58</f>
        <v>República Checa</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1</v>
      </c>
      <c r="C269" s="7" t="str">
        <f ca="1">+WORLDCUP!BD60</f>
        <v>Escocia</v>
      </c>
      <c r="D269" s="7" t="str">
        <f ca="1">+WORLDCUP!BD67</f>
        <v>Austria</v>
      </c>
      <c r="E269" s="7" t="str">
        <f ca="1">+WORLDCUP!BD62</f>
        <v>Costa de Marfil</v>
      </c>
      <c r="F269" s="7" t="str">
        <f ca="1">+WORLDCUP!BD61</f>
        <v>Turquía</v>
      </c>
      <c r="G269" s="7" t="str">
        <f ca="1">+WORLDCUP!BD58</f>
        <v>República Checa</v>
      </c>
      <c r="H269" s="7" t="str">
        <f ca="1">+WORLDCUP!BD63</f>
        <v>Suecia</v>
      </c>
      <c r="I269" s="7" t="str">
        <f ca="1">+WORLDCUP!BD69</f>
        <v>Ghana</v>
      </c>
      <c r="J269" s="7" t="str">
        <f ca="1">+WORLDCUP!BD66</f>
        <v>Noruega</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Turquía</v>
      </c>
      <c r="G270" s="7" t="str">
        <f ca="1">+WORLDCUP!BD58</f>
        <v>República Checa</v>
      </c>
      <c r="H270" s="7" t="str">
        <f ca="1">+WORLDCUP!BD63</f>
        <v>Suecia</v>
      </c>
      <c r="I270" s="7" t="str">
        <f ca="1">+WORLDCUP!BD66</f>
        <v>Noruega</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Turquía</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República Checa</v>
      </c>
      <c r="H272" s="7" t="str">
        <f ca="1">+WORLDCUP!BD61</f>
        <v>Turquía</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República Checa</v>
      </c>
      <c r="H273" s="7" t="str">
        <f ca="1">+WORLDCUP!BD63</f>
        <v>Suecia</v>
      </c>
      <c r="I273" s="7" t="str">
        <f ca="1">+WORLDCUP!BD61</f>
        <v>Turquía</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Turquía</v>
      </c>
      <c r="I274" s="7" t="str">
        <f ca="1">+WORLDCUP!BD69</f>
        <v>Ghana</v>
      </c>
      <c r="J274" s="7" t="str">
        <f ca="1">+WORLDCUP!BD66</f>
        <v>Noruega</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Turquía</v>
      </c>
      <c r="I275" s="7" t="str">
        <f ca="1">+WORLDCUP!BD66</f>
        <v>Noruega</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República Checa</v>
      </c>
      <c r="H276" s="7" t="str">
        <f ca="1">+WORLDCUP!BD63</f>
        <v>Suecia</v>
      </c>
      <c r="I276" s="7" t="str">
        <f ca="1">+WORLDCUP!BD61</f>
        <v>Turquía</v>
      </c>
      <c r="J276" s="7" t="str">
        <f ca="1">+WORLDCUP!BD66</f>
        <v>Noruega</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Egipto</v>
      </c>
      <c r="E277" s="7" t="str">
        <f ca="1">+WORLDCUP!BD62</f>
        <v>Costa de Marfil</v>
      </c>
      <c r="F277" s="7" t="str">
        <f ca="1">+WORLDCUP!BD61</f>
        <v>Turquía</v>
      </c>
      <c r="G277" s="7" t="str">
        <f ca="1">+WORLDCUP!BD58</f>
        <v>República Checa</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Egipto</v>
      </c>
      <c r="E278" s="7" t="str">
        <f ca="1">+WORLDCUP!BD67</f>
        <v>Austria</v>
      </c>
      <c r="F278" s="7" t="str">
        <f ca="1">+WORLDCUP!BD61</f>
        <v>Turquía</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Egipto</v>
      </c>
      <c r="E279" s="7" t="str">
        <f ca="1">+WORLDCUP!BD67</f>
        <v>Austria</v>
      </c>
      <c r="F279" s="7" t="str">
        <f ca="1">+WORLDCUP!BD61</f>
        <v>Turquía</v>
      </c>
      <c r="G279" s="7" t="str">
        <f ca="1">+WORLDCUP!BD58</f>
        <v>República Checa</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Egipto</v>
      </c>
      <c r="E280" s="7" t="str">
        <f ca="1">+WORLDCUP!BD62</f>
        <v>Costa de Marfil</v>
      </c>
      <c r="F280" s="7" t="str">
        <f ca="1">+WORLDCUP!BD61</f>
        <v>Turquía</v>
      </c>
      <c r="G280" s="7" t="str">
        <f ca="1">+WORLDCUP!BD58</f>
        <v>República Checa</v>
      </c>
      <c r="H280" s="7" t="str">
        <f ca="1">+WORLDCUP!BD63</f>
        <v>Suecia</v>
      </c>
      <c r="I280" s="7" t="str">
        <f ca="1">+WORLDCUP!BD69</f>
        <v>Ghana</v>
      </c>
      <c r="J280" s="7" t="str">
        <f ca="1">+WORLDCUP!BD66</f>
        <v>Noruega</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Egipto</v>
      </c>
      <c r="E281" s="7" t="str">
        <f ca="1">+WORLDCUP!BD62</f>
        <v>Costa de Marfil</v>
      </c>
      <c r="F281" s="7" t="str">
        <f ca="1">+WORLDCUP!BD61</f>
        <v>Turquía</v>
      </c>
      <c r="G281" s="7" t="str">
        <f ca="1">+WORLDCUP!BD58</f>
        <v>República Checa</v>
      </c>
      <c r="H281" s="7" t="str">
        <f ca="1">+WORLDCUP!BD63</f>
        <v>Suecia</v>
      </c>
      <c r="I281" s="7" t="str">
        <f ca="1">+WORLDCUP!BD66</f>
        <v>Noruega</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Egipto</v>
      </c>
      <c r="E282" s="7" t="str">
        <f ca="1">+WORLDCUP!BD67</f>
        <v>Austria</v>
      </c>
      <c r="F282" s="7" t="str">
        <f ca="1">+WORLDCUP!BD61</f>
        <v>Turquía</v>
      </c>
      <c r="G282" s="7" t="str">
        <f ca="1">+WORLDCUP!BD58</f>
        <v>República Checa</v>
      </c>
      <c r="H282" s="7" t="str">
        <f ca="1">+WORLDCUP!BD63</f>
        <v>Suecia</v>
      </c>
      <c r="I282" s="7" t="str">
        <f ca="1">+WORLDCUP!BD62</f>
        <v>Costa de Marfil</v>
      </c>
      <c r="J282" s="7" t="str">
        <f ca="1">+WORLDCUP!BD66</f>
        <v>Noruega</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Egipto</v>
      </c>
      <c r="E283" s="7" t="str">
        <f ca="1">+WORLDCUP!BD63</f>
        <v>Suecia</v>
      </c>
      <c r="F283" s="7" t="str">
        <f ca="1">+WORLDCUP!BD60</f>
        <v>Escocia</v>
      </c>
      <c r="G283" s="7" t="str">
        <f ca="1">+WORLDCUP!BD58</f>
        <v>República Checa</v>
      </c>
      <c r="H283" s="7" t="str">
        <f ca="1">+WORLDCUP!BD61</f>
        <v>Turquía</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Egipto</v>
      </c>
      <c r="E284" s="7" t="str">
        <f ca="1">+WORLDCUP!BD62</f>
        <v>Costa de Marfil</v>
      </c>
      <c r="F284" s="7" t="str">
        <f ca="1">+WORLDCUP!BD60</f>
        <v>Escocia</v>
      </c>
      <c r="G284" s="7" t="str">
        <f ca="1">+WORLDCUP!BD58</f>
        <v>República Checa</v>
      </c>
      <c r="H284" s="7" t="str">
        <f ca="1">+WORLDCUP!BD63</f>
        <v>Suecia</v>
      </c>
      <c r="I284" s="7" t="str">
        <f ca="1">+WORLDCUP!BD61</f>
        <v>Turquía</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Egipto</v>
      </c>
      <c r="E285" s="7" t="str">
        <f ca="1">+WORLDCUP!BD67</f>
        <v>Austria</v>
      </c>
      <c r="F285" s="7" t="str">
        <f ca="1">+WORLDCUP!BD60</f>
        <v>Escocia</v>
      </c>
      <c r="G285" s="7" t="str">
        <f ca="1">+WORLDCUP!BD58</f>
        <v>República Checa</v>
      </c>
      <c r="H285" s="7" t="str">
        <f ca="1">+WORLDCUP!BD63</f>
        <v>Suecia</v>
      </c>
      <c r="I285" s="7" t="str">
        <f ca="1">+WORLDCUP!BD61</f>
        <v>Turquía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Egipto</v>
      </c>
      <c r="E286" s="7" t="str">
        <f ca="1">+WORLDCUP!BD62</f>
        <v>Costa de Marfil</v>
      </c>
      <c r="F286" s="7" t="str">
        <f ca="1">+WORLDCUP!BD60</f>
        <v>Escocia</v>
      </c>
      <c r="G286" s="7" t="str">
        <f ca="1">+WORLDCUP!BD58</f>
        <v>República Checa</v>
      </c>
      <c r="H286" s="7" t="str">
        <f ca="1">+WORLDCUP!BD63</f>
        <v>Suecia</v>
      </c>
      <c r="I286" s="7" t="str">
        <f ca="1">+WORLDCUP!BD61</f>
        <v>Turquía</v>
      </c>
      <c r="J286" s="7" t="str">
        <f ca="1">+WORLDCUP!BD66</f>
        <v>Noruega</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Bosnia y Herzegovina</v>
      </c>
      <c r="F287" s="7" t="str">
        <f ca="1">+WORLDCUP!BD58</f>
        <v>República Checa</v>
      </c>
      <c r="G287" s="7" t="str">
        <f ca="1">+WORLDCUP!BD66</f>
        <v>Noruega</v>
      </c>
      <c r="H287" s="7" t="str">
        <f ca="1">+WORLDCUP!BD64</f>
        <v>Egipto</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Bosnia y Herzegovina</v>
      </c>
      <c r="F288" s="7" t="str">
        <f ca="1">+WORLDCUP!BD58</f>
        <v>República Checa</v>
      </c>
      <c r="G288" s="7" t="str">
        <f ca="1">+WORLDCUP!BD66</f>
        <v>Noruega</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Noruega</v>
      </c>
      <c r="D289" s="7" t="str">
        <f ca="1">+WORLDCUP!BD67</f>
        <v>Austria</v>
      </c>
      <c r="E289" s="7" t="str">
        <f ca="1">+WORLDCUP!BD59</f>
        <v>Bosnia y Herzegovina</v>
      </c>
      <c r="F289" s="7" t="str">
        <f ca="1">+WORLDCUP!BD63</f>
        <v>Suecia</v>
      </c>
      <c r="G289" s="7" t="str">
        <f ca="1">+WORLDCUP!BD58</f>
        <v>República Checa</v>
      </c>
      <c r="H289" s="7" t="str">
        <f ca="1">+WORLDCUP!BD64</f>
        <v>Egipto</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Bosnia y Herzegovina</v>
      </c>
      <c r="F290" s="7" t="str">
        <f ca="1">+WORLDCUP!BD63</f>
        <v>Suecia</v>
      </c>
      <c r="G290" s="7" t="str">
        <f ca="1">+WORLDCUP!BD58</f>
        <v>República Checa</v>
      </c>
      <c r="H290" s="7" t="str">
        <f ca="1">+WORLDCUP!BD64</f>
        <v>Egipto</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Egipto</v>
      </c>
      <c r="E291" s="7" t="str">
        <f ca="1">+WORLDCUP!BD59</f>
        <v>Bosnia y Herzegovina</v>
      </c>
      <c r="F291" s="7" t="str">
        <f ca="1">+WORLDCUP!BD58</f>
        <v>República Checa</v>
      </c>
      <c r="G291" s="7" t="str">
        <f ca="1">+WORLDCUP!BD66</f>
        <v>Noruega</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Bosnia y Herzegovina</v>
      </c>
      <c r="F292" s="7" t="str">
        <f ca="1">+WORLDCUP!BD63</f>
        <v>Suecia</v>
      </c>
      <c r="G292" s="7" t="str">
        <f ca="1">+WORLDCUP!BD58</f>
        <v>República Checa</v>
      </c>
      <c r="H292" s="7" t="str">
        <f ca="1">+WORLDCUP!BD64</f>
        <v>Egipto</v>
      </c>
      <c r="I292" s="7" t="str">
        <f ca="1">+WORLDCUP!BD69</f>
        <v>Ghana</v>
      </c>
      <c r="J292" s="7" t="str">
        <f ca="1">+WORLDCUP!BD66</f>
        <v>Noruega</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Bosnia y Herzegovina</v>
      </c>
      <c r="F293" s="7" t="str">
        <f ca="1">+WORLDCUP!BD63</f>
        <v>Suecia</v>
      </c>
      <c r="G293" s="7" t="str">
        <f ca="1">+WORLDCUP!BD58</f>
        <v>República Checa</v>
      </c>
      <c r="H293" s="7" t="str">
        <f ca="1">+WORLDCUP!BD64</f>
        <v>Egipto</v>
      </c>
      <c r="I293" s="7" t="str">
        <f ca="1">+WORLDCUP!BD66</f>
        <v>Noruega</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Bosnia y Herzegovina</v>
      </c>
      <c r="F294" s="7" t="str">
        <f ca="1">+WORLDCUP!BD58</f>
        <v>República Checa</v>
      </c>
      <c r="G294" s="7" t="str">
        <f ca="1">+WORLDCUP!BD66</f>
        <v>Noruega</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Bosnia y Herzegovina</v>
      </c>
      <c r="F295" s="7" t="str">
        <f ca="1">+WORLDCUP!BD58</f>
        <v>República Checa</v>
      </c>
      <c r="G295" s="7" t="str">
        <f ca="1">+WORLDCUP!BD66</f>
        <v>Noruega</v>
      </c>
      <c r="H295" s="7" t="str">
        <f ca="1">+WORLDCUP!BD64</f>
        <v>Egipto</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Bosnia y Herzegovina</v>
      </c>
      <c r="F296" s="7" t="str">
        <f ca="1">+WORLDCUP!BD58</f>
        <v>República Checa</v>
      </c>
      <c r="G296" s="7" t="str">
        <f ca="1">+WORLDCUP!BD65</f>
        <v>Arabia Saudita</v>
      </c>
      <c r="H296" s="7" t="str">
        <f ca="1">+WORLDCUP!BD64</f>
        <v>Egipto</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Egipto</v>
      </c>
      <c r="E297" s="7" t="str">
        <f ca="1">+WORLDCUP!BD59</f>
        <v>Bosnia y Herzegovina</v>
      </c>
      <c r="F297" s="7" t="str">
        <f ca="1">+WORLDCUP!BD58</f>
        <v>República Checa</v>
      </c>
      <c r="G297" s="7" t="str">
        <f ca="1">+WORLDCUP!BD66</f>
        <v>Noruega</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Bosnia y Herzegovina</v>
      </c>
      <c r="F298" s="7" t="str">
        <f ca="1">+WORLDCUP!BD58</f>
        <v>República Checa</v>
      </c>
      <c r="G298" s="7" t="str">
        <f ca="1">+WORLDCUP!BD65</f>
        <v>Arabia Saudita</v>
      </c>
      <c r="H298" s="7" t="str">
        <f ca="1">+WORLDCUP!BD64</f>
        <v>Egipto</v>
      </c>
      <c r="I298" s="7" t="str">
        <f ca="1">+WORLDCUP!BD69</f>
        <v>Ghana</v>
      </c>
      <c r="J298" s="7" t="str">
        <f ca="1">+WORLDCUP!BD66</f>
        <v>Noruega</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Bosnia y Herzegovina</v>
      </c>
      <c r="F299" s="7" t="str">
        <f ca="1">+WORLDCUP!BD58</f>
        <v>República Checa</v>
      </c>
      <c r="G299" s="7" t="str">
        <f ca="1">+WORLDCUP!BD65</f>
        <v>Arabia Saudita</v>
      </c>
      <c r="H299" s="7" t="str">
        <f ca="1">+WORLDCUP!BD64</f>
        <v>Egipto</v>
      </c>
      <c r="I299" s="7" t="str">
        <f ca="1">+WORLDCUP!BD66</f>
        <v>Noruega</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Bosnia y Herzegovina</v>
      </c>
      <c r="F300" s="7" t="str">
        <f ca="1">+WORLDCUP!BD58</f>
        <v>República Checa</v>
      </c>
      <c r="G300" s="7" t="str">
        <f ca="1">+WORLDCUP!BD66</f>
        <v>Noruega</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Bosnia y Herzegovina</v>
      </c>
      <c r="F301" s="7" t="str">
        <f ca="1">+WORLDCUP!BD63</f>
        <v>Suecia</v>
      </c>
      <c r="G301" s="7" t="str">
        <f ca="1">+WORLDCUP!BD58</f>
        <v>República Checa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Noruega</v>
      </c>
      <c r="E302" s="7" t="str">
        <f ca="1">+WORLDCUP!BD59</f>
        <v>Bosnia y Herzegovina</v>
      </c>
      <c r="F302" s="7" t="str">
        <f ca="1">+WORLDCUP!BD63</f>
        <v>Suecia</v>
      </c>
      <c r="G302" s="7" t="str">
        <f ca="1">+WORLDCUP!BD58</f>
        <v>República Checa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Bosnia y Herzegovina</v>
      </c>
      <c r="F303" s="7" t="str">
        <f ca="1">+WORLDCUP!BD63</f>
        <v>Suecia</v>
      </c>
      <c r="G303" s="7" t="str">
        <f ca="1">+WORLDCUP!BD58</f>
        <v>República Checa</v>
      </c>
      <c r="H303" s="7" t="str">
        <f ca="1">+WORLDCUP!BD65</f>
        <v>Arabia Saudita</v>
      </c>
      <c r="I303" s="7" t="str">
        <f ca="1">+WORLDCUP!BD69</f>
        <v>Ghana</v>
      </c>
      <c r="J303" s="7" t="str">
        <f ca="1">+WORLDCUP!BD66</f>
        <v>Noruega</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Bosnia y Herzegovina</v>
      </c>
      <c r="F304" s="7" t="str">
        <f ca="1">+WORLDCUP!BD63</f>
        <v>Suecia</v>
      </c>
      <c r="G304" s="7" t="str">
        <f ca="1">+WORLDCUP!BD58</f>
        <v>República Checa</v>
      </c>
      <c r="H304" s="7" t="str">
        <f ca="1">+WORLDCUP!BD65</f>
        <v>Arabia Saudita</v>
      </c>
      <c r="I304" s="7" t="str">
        <f ca="1">+WORLDCUP!BD66</f>
        <v>Noruega</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Bosnia y Herzegovina</v>
      </c>
      <c r="F305" s="7" t="str">
        <f ca="1">+WORLDCUP!BD63</f>
        <v>Suecia</v>
      </c>
      <c r="G305" s="7" t="str">
        <f ca="1">+WORLDCUP!BD58</f>
        <v>República Checa</v>
      </c>
      <c r="H305" s="7" t="str">
        <f ca="1">+WORLDCUP!BD64</f>
        <v>Egipto</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Egipto</v>
      </c>
      <c r="E306" s="7" t="str">
        <f ca="1">+WORLDCUP!BD59</f>
        <v>Bosnia y Herzegovina</v>
      </c>
      <c r="F306" s="7" t="str">
        <f ca="1">+WORLDCUP!BD58</f>
        <v>República Checa</v>
      </c>
      <c r="G306" s="7" t="str">
        <f ca="1">+WORLDCUP!BD66</f>
        <v>Noruega</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Bosnia y Herzegovina</v>
      </c>
      <c r="F307" s="7" t="str">
        <f ca="1">+WORLDCUP!BD63</f>
        <v>Suecia</v>
      </c>
      <c r="G307" s="7" t="str">
        <f ca="1">+WORLDCUP!BD58</f>
        <v>República Checa</v>
      </c>
      <c r="H307" s="7" t="str">
        <f ca="1">+WORLDCUP!BD64</f>
        <v>Egipto</v>
      </c>
      <c r="I307" s="7" t="str">
        <f ca="1">+WORLDCUP!BD69</f>
        <v>Ghana</v>
      </c>
      <c r="J307" s="7" t="str">
        <f ca="1">+WORLDCUP!BD66</f>
        <v>Noruega</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Bosnia y Herzegovina</v>
      </c>
      <c r="F308" s="7" t="str">
        <f ca="1">+WORLDCUP!BD63</f>
        <v>Suecia</v>
      </c>
      <c r="G308" s="7" t="str">
        <f ca="1">+WORLDCUP!BD58</f>
        <v>República Checa</v>
      </c>
      <c r="H308" s="7" t="str">
        <f ca="1">+WORLDCUP!BD64</f>
        <v>Egipto</v>
      </c>
      <c r="I308" s="7" t="str">
        <f ca="1">+WORLDCUP!BD66</f>
        <v>Noruega</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Egipto</v>
      </c>
      <c r="E309" s="7" t="str">
        <f ca="1">+WORLDCUP!BD59</f>
        <v>Bosnia y Herzegovina</v>
      </c>
      <c r="F309" s="7" t="str">
        <f ca="1">+WORLDCUP!BD63</f>
        <v>Suecia</v>
      </c>
      <c r="G309" s="7" t="str">
        <f ca="1">+WORLDCUP!BD58</f>
        <v>República Checa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Bosnia y Herzegovina</v>
      </c>
      <c r="F310" s="7" t="str">
        <f ca="1">+WORLDCUP!BD63</f>
        <v>Suecia</v>
      </c>
      <c r="G310" s="7" t="str">
        <f ca="1">+WORLDCUP!BD58</f>
        <v>República Checa</v>
      </c>
      <c r="H310" s="7" t="str">
        <f ca="1">+WORLDCUP!BD64</f>
        <v>Egipto</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Bosnia y Herzegovina</v>
      </c>
      <c r="F311" s="7" t="str">
        <f ca="1">+WORLDCUP!BD63</f>
        <v>Suecia</v>
      </c>
      <c r="G311" s="7" t="str">
        <f ca="1">+WORLDCUP!BD58</f>
        <v>República Checa</v>
      </c>
      <c r="H311" s="7" t="str">
        <f ca="1">+WORLDCUP!BD64</f>
        <v>Egipto</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Egipto</v>
      </c>
      <c r="E312" s="7" t="str">
        <f ca="1">+WORLDCUP!BD59</f>
        <v>Bosnia y Herzegovina</v>
      </c>
      <c r="F312" s="7" t="str">
        <f ca="1">+WORLDCUP!BD63</f>
        <v>Suecia</v>
      </c>
      <c r="G312" s="7" t="str">
        <f ca="1">+WORLDCUP!BD58</f>
        <v>República Checa</v>
      </c>
      <c r="H312" s="7" t="str">
        <f ca="1">+WORLDCUP!BD65</f>
        <v>Arabia Saudita</v>
      </c>
      <c r="I312" s="7" t="str">
        <f ca="1">+WORLDCUP!BD69</f>
        <v>Ghana</v>
      </c>
      <c r="J312" s="7" t="str">
        <f ca="1">+WORLDCUP!BD66</f>
        <v>Noruega</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Egipto</v>
      </c>
      <c r="E313" s="7" t="str">
        <f ca="1">+WORLDCUP!BD59</f>
        <v>Bosnia y Herzegovina</v>
      </c>
      <c r="F313" s="7" t="str">
        <f ca="1">+WORLDCUP!BD63</f>
        <v>Suecia</v>
      </c>
      <c r="G313" s="7" t="str">
        <f ca="1">+WORLDCUP!BD58</f>
        <v>República Checa</v>
      </c>
      <c r="H313" s="7" t="str">
        <f ca="1">+WORLDCUP!BD65</f>
        <v>Arabia Saudita</v>
      </c>
      <c r="I313" s="7" t="str">
        <f ca="1">+WORLDCUP!BD66</f>
        <v>Noruega</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Bosnia y Herzegovina</v>
      </c>
      <c r="F314" s="7" t="str">
        <f ca="1">+WORLDCUP!BD63</f>
        <v>Suecia</v>
      </c>
      <c r="G314" s="7" t="str">
        <f ca="1">+WORLDCUP!BD58</f>
        <v>República Checa</v>
      </c>
      <c r="H314" s="7" t="str">
        <f ca="1">+WORLDCUP!BD64</f>
        <v>Egipto</v>
      </c>
      <c r="I314" s="7" t="str">
        <f ca="1">+WORLDCUP!BD62</f>
        <v>Costa de Marfil</v>
      </c>
      <c r="J314" s="7" t="str">
        <f ca="1">+WORLDCUP!BD66</f>
        <v>Noruega</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Noruega</v>
      </c>
      <c r="D315" s="7" t="str">
        <f ca="1">+WORLDCUP!BD67</f>
        <v>Austria</v>
      </c>
      <c r="E315" s="7" t="str">
        <f ca="1">+WORLDCUP!BD59</f>
        <v>Bosnia y Herzegovina</v>
      </c>
      <c r="F315" s="7" t="str">
        <f ca="1">+WORLDCUP!BD61</f>
        <v>Turquía</v>
      </c>
      <c r="G315" s="7" t="str">
        <f ca="1">+WORLDCUP!BD58</f>
        <v>República Checa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Noruega</v>
      </c>
      <c r="D316" s="7" t="str">
        <f ca="1">+WORLDCUP!BD67</f>
        <v>Austria</v>
      </c>
      <c r="E316" s="7" t="str">
        <f ca="1">+WORLDCUP!BD59</f>
        <v>Bosnia y Herzegovina</v>
      </c>
      <c r="F316" s="7" t="str">
        <f ca="1">+WORLDCUP!BD61</f>
        <v>Turquía</v>
      </c>
      <c r="G316" s="7" t="str">
        <f ca="1">+WORLDCUP!BD58</f>
        <v>República Checa</v>
      </c>
      <c r="H316" s="7" t="str">
        <f ca="1">+WORLDCUP!BD64</f>
        <v>Egipto</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Bosnia y Herzegovina</v>
      </c>
      <c r="F317" s="7" t="str">
        <f ca="1">+WORLDCUP!BD61</f>
        <v>Turquía</v>
      </c>
      <c r="G317" s="7" t="str">
        <f ca="1">+WORLDCUP!BD58</f>
        <v>República Checa</v>
      </c>
      <c r="H317" s="7" t="str">
        <f ca="1">+WORLDCUP!BD64</f>
        <v>Egipto</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Noruega</v>
      </c>
      <c r="D318" s="7" t="str">
        <f ca="1">+WORLDCUP!BD64</f>
        <v>Egipto</v>
      </c>
      <c r="E318" s="7" t="str">
        <f ca="1">+WORLDCUP!BD59</f>
        <v>Bosnia y Herzegovina</v>
      </c>
      <c r="F318" s="7" t="str">
        <f ca="1">+WORLDCUP!BD61</f>
        <v>Turquía</v>
      </c>
      <c r="G318" s="7" t="str">
        <f ca="1">+WORLDCUP!BD58</f>
        <v>República Checa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Bosnia y Herzegovina</v>
      </c>
      <c r="F319" s="7" t="str">
        <f ca="1">+WORLDCUP!BD61</f>
        <v>Turquía</v>
      </c>
      <c r="G319" s="7" t="str">
        <f ca="1">+WORLDCUP!BD58</f>
        <v>República Checa</v>
      </c>
      <c r="H319" s="7" t="str">
        <f ca="1">+WORLDCUP!BD64</f>
        <v>Egipto</v>
      </c>
      <c r="I319" s="7" t="str">
        <f ca="1">+WORLDCUP!BD69</f>
        <v>Ghana</v>
      </c>
      <c r="J319" s="7" t="str">
        <f ca="1">+WORLDCUP!BD66</f>
        <v>Noruega</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Bosnia y Herzegovina</v>
      </c>
      <c r="F320" s="7" t="str">
        <f ca="1">+WORLDCUP!BD61</f>
        <v>Turquía</v>
      </c>
      <c r="G320" s="7" t="str">
        <f ca="1">+WORLDCUP!BD58</f>
        <v>República Checa</v>
      </c>
      <c r="H320" s="7" t="str">
        <f ca="1">+WORLDCUP!BD64</f>
        <v>Egipto</v>
      </c>
      <c r="I320" s="7" t="str">
        <f ca="1">+WORLDCUP!BD66</f>
        <v>Noruega</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Noruega</v>
      </c>
      <c r="D321" s="7" t="str">
        <f ca="1">+WORLDCUP!BD67</f>
        <v>Austria</v>
      </c>
      <c r="E321" s="7" t="str">
        <f ca="1">+WORLDCUP!BD59</f>
        <v>Bosnia y Herzegovina</v>
      </c>
      <c r="F321" s="7" t="str">
        <f ca="1">+WORLDCUP!BD61</f>
        <v>Turquía</v>
      </c>
      <c r="G321" s="7" t="str">
        <f ca="1">+WORLDCUP!BD58</f>
        <v>República Checa</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Bosnia y Herzegovina</v>
      </c>
      <c r="F322" s="7" t="str">
        <f ca="1">+WORLDCUP!BD61</f>
        <v>Turquía</v>
      </c>
      <c r="G322" s="7" t="str">
        <f ca="1">+WORLDCUP!BD58</f>
        <v>República Checa</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Noruega</v>
      </c>
      <c r="E323" s="7" t="str">
        <f ca="1">+WORLDCUP!BD59</f>
        <v>Bosnia y Herzegovina</v>
      </c>
      <c r="F323" s="7" t="str">
        <f ca="1">+WORLDCUP!BD61</f>
        <v>Turquía</v>
      </c>
      <c r="G323" s="7" t="str">
        <f ca="1">+WORLDCUP!BD58</f>
        <v>República Checa</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Bosnia y Herzegovina</v>
      </c>
      <c r="F324" s="7" t="str">
        <f ca="1">+WORLDCUP!BD61</f>
        <v>Turquía</v>
      </c>
      <c r="G324" s="7" t="str">
        <f ca="1">+WORLDCUP!BD58</f>
        <v>República Checa</v>
      </c>
      <c r="H324" s="7" t="str">
        <f ca="1">+WORLDCUP!BD63</f>
        <v>Suecia</v>
      </c>
      <c r="I324" s="7" t="str">
        <f ca="1">+WORLDCUP!BD69</f>
        <v>Ghana</v>
      </c>
      <c r="J324" s="7" t="str">
        <f ca="1">+WORLDCUP!BD66</f>
        <v>Noruega</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Bosnia y Herzegovina</v>
      </c>
      <c r="F325" s="7" t="str">
        <f ca="1">+WORLDCUP!BD61</f>
        <v>Turquía</v>
      </c>
      <c r="G325" s="7" t="str">
        <f ca="1">+WORLDCUP!BD58</f>
        <v>República Checa</v>
      </c>
      <c r="H325" s="7" t="str">
        <f ca="1">+WORLDCUP!BD63</f>
        <v>Suecia</v>
      </c>
      <c r="I325" s="7" t="str">
        <f ca="1">+WORLDCUP!BD66</f>
        <v>Noruega</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Bosnia y Herzegovina</v>
      </c>
      <c r="F326" s="7" t="str">
        <f ca="1">+WORLDCUP!BD61</f>
        <v>Turquía</v>
      </c>
      <c r="G326" s="7" t="str">
        <f ca="1">+WORLDCUP!BD58</f>
        <v>República Checa</v>
      </c>
      <c r="H326" s="7" t="str">
        <f ca="1">+WORLDCUP!BD64</f>
        <v>Egipto</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Noruega</v>
      </c>
      <c r="D327" s="7" t="str">
        <f ca="1">+WORLDCUP!BD64</f>
        <v>Egipto</v>
      </c>
      <c r="E327" s="7" t="str">
        <f ca="1">+WORLDCUP!BD59</f>
        <v>Bosnia y Herzegovina</v>
      </c>
      <c r="F327" s="7" t="str">
        <f ca="1">+WORLDCUP!BD61</f>
        <v>Turquía</v>
      </c>
      <c r="G327" s="7" t="str">
        <f ca="1">+WORLDCUP!BD58</f>
        <v>República Checa</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Bosnia y Herzegovina</v>
      </c>
      <c r="F328" s="7" t="str">
        <f ca="1">+WORLDCUP!BD61</f>
        <v>Turquía</v>
      </c>
      <c r="G328" s="7" t="str">
        <f ca="1">+WORLDCUP!BD58</f>
        <v>República Checa</v>
      </c>
      <c r="H328" s="7" t="str">
        <f ca="1">+WORLDCUP!BD64</f>
        <v>Egipto</v>
      </c>
      <c r="I328" s="7" t="str">
        <f ca="1">+WORLDCUP!BD69</f>
        <v>Ghana</v>
      </c>
      <c r="J328" s="7" t="str">
        <f ca="1">+WORLDCUP!BD66</f>
        <v>Noruega</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Bosnia y Herzegovina</v>
      </c>
      <c r="F329" s="7" t="str">
        <f ca="1">+WORLDCUP!BD61</f>
        <v>Turquía</v>
      </c>
      <c r="G329" s="7" t="str">
        <f ca="1">+WORLDCUP!BD58</f>
        <v>República Checa</v>
      </c>
      <c r="H329" s="7" t="str">
        <f ca="1">+WORLDCUP!BD64</f>
        <v>Egipto</v>
      </c>
      <c r="I329" s="7" t="str">
        <f ca="1">+WORLDCUP!BD66</f>
        <v>Noruega</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Egipto</v>
      </c>
      <c r="E330" s="7" t="str">
        <f ca="1">+WORLDCUP!BD59</f>
        <v>Bosnia y Herzegovina</v>
      </c>
      <c r="F330" s="7" t="str">
        <f ca="1">+WORLDCUP!BD61</f>
        <v>Turquía</v>
      </c>
      <c r="G330" s="7" t="str">
        <f ca="1">+WORLDCUP!BD58</f>
        <v>República Checa</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Egipto</v>
      </c>
      <c r="E331" s="7" t="str">
        <f ca="1">+WORLDCUP!BD59</f>
        <v>Bosnia y Herzegovina</v>
      </c>
      <c r="F331" s="7" t="str">
        <f ca="1">+WORLDCUP!BD61</f>
        <v>Turquía</v>
      </c>
      <c r="G331" s="7" t="str">
        <f ca="1">+WORLDCUP!BD58</f>
        <v>República Checa</v>
      </c>
      <c r="H331" s="7" t="str">
        <f ca="1">+WORLDCUP!BD63</f>
        <v>Suecia</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Egipto</v>
      </c>
      <c r="E332" s="7" t="str">
        <f ca="1">+WORLDCUP!BD59</f>
        <v>Bosnia y Herzegovina</v>
      </c>
      <c r="F332" s="7" t="str">
        <f ca="1">+WORLDCUP!BD61</f>
        <v>Turquía</v>
      </c>
      <c r="G332" s="7" t="str">
        <f ca="1">+WORLDCUP!BD58</f>
        <v>República Checa</v>
      </c>
      <c r="H332" s="7" t="str">
        <f ca="1">+WORLDCUP!BD63</f>
        <v>Suecia</v>
      </c>
      <c r="I332" s="7" t="str">
        <f ca="1">+WORLDCUP!BD67</f>
        <v>Austria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Egipto</v>
      </c>
      <c r="E333" s="7" t="str">
        <f ca="1">+WORLDCUP!BD59</f>
        <v>Bosnia y Herzegovina</v>
      </c>
      <c r="F333" s="7" t="str">
        <f ca="1">+WORLDCUP!BD61</f>
        <v>Turquía</v>
      </c>
      <c r="G333" s="7" t="str">
        <f ca="1">+WORLDCUP!BD58</f>
        <v>República Checa</v>
      </c>
      <c r="H333" s="7" t="str">
        <f ca="1">+WORLDCUP!BD63</f>
        <v>Suecia</v>
      </c>
      <c r="I333" s="7" t="str">
        <f ca="1">+WORLDCUP!BD69</f>
        <v>Ghana</v>
      </c>
      <c r="J333" s="7" t="str">
        <f ca="1">+WORLDCUP!BD66</f>
        <v>Noruega</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Egipto</v>
      </c>
      <c r="E334" s="7" t="str">
        <f ca="1">+WORLDCUP!BD59</f>
        <v>Bosnia y Herzegovina</v>
      </c>
      <c r="F334" s="7" t="str">
        <f ca="1">+WORLDCUP!BD61</f>
        <v>Turquía</v>
      </c>
      <c r="G334" s="7" t="str">
        <f ca="1">+WORLDCUP!BD58</f>
        <v>República Checa</v>
      </c>
      <c r="H334" s="7" t="str">
        <f ca="1">+WORLDCUP!BD63</f>
        <v>Suecia</v>
      </c>
      <c r="I334" s="7" t="str">
        <f ca="1">+WORLDCUP!BD66</f>
        <v>Noruega</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Egipto</v>
      </c>
      <c r="E335" s="7" t="str">
        <f ca="1">+WORLDCUP!BD59</f>
        <v>Bosnia y Herzegovina</v>
      </c>
      <c r="F335" s="7" t="str">
        <f ca="1">+WORLDCUP!BD61</f>
        <v>Turquía</v>
      </c>
      <c r="G335" s="7" t="str">
        <f ca="1">+WORLDCUP!BD58</f>
        <v>República Checa</v>
      </c>
      <c r="H335" s="7" t="str">
        <f ca="1">+WORLDCUP!BD63</f>
        <v>Suecia</v>
      </c>
      <c r="I335" s="7" t="str">
        <f ca="1">+WORLDCUP!BD66</f>
        <v>Noruega</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Bosnia y Herzegovina</v>
      </c>
      <c r="F336" s="7" t="str">
        <f ca="1">+WORLDCUP!BD58</f>
        <v>República Checa</v>
      </c>
      <c r="G336" s="7" t="str">
        <f ca="1">+WORLDCUP!BD66</f>
        <v>Noruega</v>
      </c>
      <c r="H336" s="7" t="str">
        <f ca="1">+WORLDCUP!BD61</f>
        <v>Turquía</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Bosnia y Herzegovina</v>
      </c>
      <c r="F337" s="7" t="str">
        <f ca="1">+WORLDCUP!BD61</f>
        <v>Turquía</v>
      </c>
      <c r="G337" s="7" t="str">
        <f ca="1">+WORLDCUP!BD58</f>
        <v>República Checa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Noruega</v>
      </c>
      <c r="E338" s="7" t="str">
        <f ca="1">+WORLDCUP!BD59</f>
        <v>Bosnia y Herzegovina</v>
      </c>
      <c r="F338" s="7" t="str">
        <f ca="1">+WORLDCUP!BD61</f>
        <v>Turquía</v>
      </c>
      <c r="G338" s="7" t="str">
        <f ca="1">+WORLDCUP!BD58</f>
        <v>República Checa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Bosnia y Herzegovina</v>
      </c>
      <c r="F339" s="7" t="str">
        <f ca="1">+WORLDCUP!BD61</f>
        <v>Turquía</v>
      </c>
      <c r="G339" s="7" t="str">
        <f ca="1">+WORLDCUP!BD58</f>
        <v>República Checa</v>
      </c>
      <c r="H339" s="7" t="str">
        <f ca="1">+WORLDCUP!BD65</f>
        <v>Arabia Saudita</v>
      </c>
      <c r="I339" s="7" t="str">
        <f ca="1">+WORLDCUP!BD69</f>
        <v>Ghana</v>
      </c>
      <c r="J339" s="7" t="str">
        <f ca="1">+WORLDCUP!BD66</f>
        <v>Noruega</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Bosnia y Herzegovina</v>
      </c>
      <c r="F340" s="7" t="str">
        <f ca="1">+WORLDCUP!BD61</f>
        <v>Turquía</v>
      </c>
      <c r="G340" s="7" t="str">
        <f ca="1">+WORLDCUP!BD58</f>
        <v>República Checa</v>
      </c>
      <c r="H340" s="7" t="str">
        <f ca="1">+WORLDCUP!BD65</f>
        <v>Arabia Saudita</v>
      </c>
      <c r="I340" s="7" t="str">
        <f ca="1">+WORLDCUP!BD66</f>
        <v>Noruega</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Bosnia y Herzegovina</v>
      </c>
      <c r="F341" s="7" t="str">
        <f ca="1">+WORLDCUP!BD61</f>
        <v>Turquía</v>
      </c>
      <c r="G341" s="7" t="str">
        <f ca="1">+WORLDCUP!BD58</f>
        <v>República Checa</v>
      </c>
      <c r="H341" s="7" t="str">
        <f ca="1">+WORLDCUP!BD64</f>
        <v>Egipto</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Egipto</v>
      </c>
      <c r="E342" s="7" t="str">
        <f ca="1">+WORLDCUP!BD59</f>
        <v>Bosnia y Herzegovina</v>
      </c>
      <c r="F342" s="7" t="str">
        <f ca="1">+WORLDCUP!BD58</f>
        <v>República Checa</v>
      </c>
      <c r="G342" s="7" t="str">
        <f ca="1">+WORLDCUP!BD66</f>
        <v>Noruega</v>
      </c>
      <c r="H342" s="7" t="str">
        <f ca="1">+WORLDCUP!BD61</f>
        <v>Turquía</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Bosnia y Herzegovina</v>
      </c>
      <c r="F343" s="7" t="str">
        <f ca="1">+WORLDCUP!BD61</f>
        <v>Turquía</v>
      </c>
      <c r="G343" s="7" t="str">
        <f ca="1">+WORLDCUP!BD58</f>
        <v>República Checa</v>
      </c>
      <c r="H343" s="7" t="str">
        <f ca="1">+WORLDCUP!BD64</f>
        <v>Egipto</v>
      </c>
      <c r="I343" s="7" t="str">
        <f ca="1">+WORLDCUP!BD69</f>
        <v>Ghana</v>
      </c>
      <c r="J343" s="7" t="str">
        <f ca="1">+WORLDCUP!BD66</f>
        <v>Noruega</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Bosnia y Herzegovina</v>
      </c>
      <c r="F344" s="7" t="str">
        <f ca="1">+WORLDCUP!BD61</f>
        <v>Turquía</v>
      </c>
      <c r="G344" s="7" t="str">
        <f ca="1">+WORLDCUP!BD58</f>
        <v>República Checa</v>
      </c>
      <c r="H344" s="7" t="str">
        <f ca="1">+WORLDCUP!BD64</f>
        <v>Egipto</v>
      </c>
      <c r="I344" s="7" t="str">
        <f ca="1">+WORLDCUP!BD66</f>
        <v>Noruega</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Egipto</v>
      </c>
      <c r="E345" s="7" t="str">
        <f ca="1">+WORLDCUP!BD59</f>
        <v>Bosnia y Herzegovina</v>
      </c>
      <c r="F345" s="7" t="str">
        <f ca="1">+WORLDCUP!BD61</f>
        <v>Turquía</v>
      </c>
      <c r="G345" s="7" t="str">
        <f ca="1">+WORLDCUP!BD58</f>
        <v>República Checa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Bosnia y Herzegovina</v>
      </c>
      <c r="F346" s="7" t="str">
        <f ca="1">+WORLDCUP!BD61</f>
        <v>Turquía</v>
      </c>
      <c r="G346" s="7" t="str">
        <f ca="1">+WORLDCUP!BD58</f>
        <v>República Checa</v>
      </c>
      <c r="H346" s="7" t="str">
        <f ca="1">+WORLDCUP!BD64</f>
        <v>Egipto</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Bosnia y Herzegovina</v>
      </c>
      <c r="F347" s="7" t="str">
        <f ca="1">+WORLDCUP!BD61</f>
        <v>Turquía</v>
      </c>
      <c r="G347" s="7" t="str">
        <f ca="1">+WORLDCUP!BD58</f>
        <v>República Checa</v>
      </c>
      <c r="H347" s="7" t="str">
        <f ca="1">+WORLDCUP!BD64</f>
        <v>Egipto</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Egipto</v>
      </c>
      <c r="E348" s="7" t="str">
        <f ca="1">+WORLDCUP!BD59</f>
        <v>Bosnia y Herzegovina</v>
      </c>
      <c r="F348" s="7" t="str">
        <f ca="1">+WORLDCUP!BD61</f>
        <v>Turquía</v>
      </c>
      <c r="G348" s="7" t="str">
        <f ca="1">+WORLDCUP!BD58</f>
        <v>República Checa</v>
      </c>
      <c r="H348" s="7" t="str">
        <f ca="1">+WORLDCUP!BD65</f>
        <v>Arabia Saudita</v>
      </c>
      <c r="I348" s="7" t="str">
        <f ca="1">+WORLDCUP!BD69</f>
        <v>Ghana</v>
      </c>
      <c r="J348" s="7" t="str">
        <f ca="1">+WORLDCUP!BD66</f>
        <v>Noruega</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Egipto</v>
      </c>
      <c r="E349" s="7" t="str">
        <f ca="1">+WORLDCUP!BD59</f>
        <v>Bosnia y Herzegovina</v>
      </c>
      <c r="F349" s="7" t="str">
        <f ca="1">+WORLDCUP!BD61</f>
        <v>Turquía</v>
      </c>
      <c r="G349" s="7" t="str">
        <f ca="1">+WORLDCUP!BD58</f>
        <v>República Checa</v>
      </c>
      <c r="H349" s="7" t="str">
        <f ca="1">+WORLDCUP!BD65</f>
        <v>Arabia Saudita</v>
      </c>
      <c r="I349" s="7" t="str">
        <f ca="1">+WORLDCUP!BD66</f>
        <v>Noruega</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Bosnia y Herzegovina</v>
      </c>
      <c r="F350" s="7" t="str">
        <f ca="1">+WORLDCUP!BD61</f>
        <v>Turquía</v>
      </c>
      <c r="G350" s="7" t="str">
        <f ca="1">+WORLDCUP!BD58</f>
        <v>República Checa</v>
      </c>
      <c r="H350" s="7" t="str">
        <f ca="1">+WORLDCUP!BD64</f>
        <v>Egipto</v>
      </c>
      <c r="I350" s="7" t="str">
        <f ca="1">+WORLDCUP!BD62</f>
        <v>Costa de Marfil</v>
      </c>
      <c r="J350" s="7" t="str">
        <f ca="1">+WORLDCUP!BD66</f>
        <v>Noruega</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Bosnia y Herzegovina</v>
      </c>
      <c r="F351" s="7" t="str">
        <f ca="1">+WORLDCUP!BD61</f>
        <v>Turquía</v>
      </c>
      <c r="G351" s="7" t="str">
        <f ca="1">+WORLDCUP!BD58</f>
        <v>República Checa</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Noruega</v>
      </c>
      <c r="E352" s="7" t="str">
        <f ca="1">+WORLDCUP!BD59</f>
        <v>Bosnia y Herzegovina</v>
      </c>
      <c r="F352" s="7" t="str">
        <f ca="1">+WORLDCUP!BD61</f>
        <v>Turquía</v>
      </c>
      <c r="G352" s="7" t="str">
        <f ca="1">+WORLDCUP!BD58</f>
        <v>República Checa</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Bosnia y Herzegovina</v>
      </c>
      <c r="F353" s="7" t="str">
        <f ca="1">+WORLDCUP!BD61</f>
        <v>Turquía</v>
      </c>
      <c r="G353" s="7" t="str">
        <f ca="1">+WORLDCUP!BD58</f>
        <v>República Checa</v>
      </c>
      <c r="H353" s="7" t="str">
        <f ca="1">+WORLDCUP!BD63</f>
        <v>Suecia</v>
      </c>
      <c r="I353" s="7" t="str">
        <f ca="1">+WORLDCUP!BD69</f>
        <v>Ghana</v>
      </c>
      <c r="J353" s="7" t="str">
        <f ca="1">+WORLDCUP!BD66</f>
        <v>Noruega</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Bosnia y Herzegovina</v>
      </c>
      <c r="F354" s="7" t="str">
        <f ca="1">+WORLDCUP!BD61</f>
        <v>Turquía</v>
      </c>
      <c r="G354" s="7" t="str">
        <f ca="1">+WORLDCUP!BD58</f>
        <v>República Checa</v>
      </c>
      <c r="H354" s="7" t="str">
        <f ca="1">+WORLDCUP!BD63</f>
        <v>Suecia</v>
      </c>
      <c r="I354" s="7" t="str">
        <f ca="1">+WORLDCUP!BD66</f>
        <v>Noruega</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Turquía</v>
      </c>
      <c r="G355" s="7" t="str">
        <f ca="1">+WORLDCUP!BD58</f>
        <v>República Checa</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Bosnia y Herzegovina</v>
      </c>
      <c r="F356" s="7" t="str">
        <f ca="1">+WORLDCUP!BD61</f>
        <v>Turquía</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Bosnia y Herzegovina</v>
      </c>
      <c r="F357" s="7" t="str">
        <f ca="1">+WORLDCUP!BD61</f>
        <v>Turquía</v>
      </c>
      <c r="G357" s="7" t="str">
        <f ca="1">+WORLDCUP!BD58</f>
        <v>República Checa</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Turquía</v>
      </c>
      <c r="G358" s="7" t="str">
        <f ca="1">+WORLDCUP!BD58</f>
        <v>República Checa</v>
      </c>
      <c r="H358" s="7" t="str">
        <f ca="1">+WORLDCUP!BD63</f>
        <v>Suecia</v>
      </c>
      <c r="I358" s="7" t="str">
        <f ca="1">+WORLDCUP!BD69</f>
        <v>Ghana</v>
      </c>
      <c r="J358" s="7" t="str">
        <f ca="1">+WORLDCUP!BD66</f>
        <v>Noruega</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Turquía</v>
      </c>
      <c r="G359" s="7" t="str">
        <f ca="1">+WORLDCUP!BD58</f>
        <v>República Checa</v>
      </c>
      <c r="H359" s="7" t="str">
        <f ca="1">+WORLDCUP!BD63</f>
        <v>Suecia</v>
      </c>
      <c r="I359" s="7" t="str">
        <f ca="1">+WORLDCUP!BD66</f>
        <v>Noruega</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Bosnia y Herzegovina</v>
      </c>
      <c r="F360" s="7" t="str">
        <f ca="1">+WORLDCUP!BD61</f>
        <v>Turquía</v>
      </c>
      <c r="G360" s="7" t="str">
        <f ca="1">+WORLDCUP!BD58</f>
        <v>República Checa</v>
      </c>
      <c r="H360" s="7" t="str">
        <f ca="1">+WORLDCUP!BD63</f>
        <v>Suecia</v>
      </c>
      <c r="I360" s="7" t="str">
        <f ca="1">+WORLDCUP!BD62</f>
        <v>Costa de Marfil</v>
      </c>
      <c r="J360" s="7" t="str">
        <f ca="1">+WORLDCUP!BD66</f>
        <v>Noruega</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Egipto</v>
      </c>
      <c r="E361" s="7" t="str">
        <f ca="1">+WORLDCUP!BD59</f>
        <v>Bosnia y Herzegovina</v>
      </c>
      <c r="F361" s="7" t="str">
        <f ca="1">+WORLDCUP!BD61</f>
        <v>Turquía</v>
      </c>
      <c r="G361" s="7" t="str">
        <f ca="1">+WORLDCUP!BD58</f>
        <v>República Checa</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Egipto</v>
      </c>
      <c r="E362" s="7" t="str">
        <f ca="1">+WORLDCUP!BD59</f>
        <v>Bosnia y Herzegovina</v>
      </c>
      <c r="F362" s="7" t="str">
        <f ca="1">+WORLDCUP!BD61</f>
        <v>Turquía</v>
      </c>
      <c r="G362" s="7" t="str">
        <f ca="1">+WORLDCUP!BD58</f>
        <v>República Checa</v>
      </c>
      <c r="H362" s="7" t="str">
        <f ca="1">+WORLDCUP!BD63</f>
        <v>Suecia</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Egipto</v>
      </c>
      <c r="E363" s="7" t="str">
        <f ca="1">+WORLDCUP!BD59</f>
        <v>Bosnia y Herzegovina</v>
      </c>
      <c r="F363" s="7" t="str">
        <f ca="1">+WORLDCUP!BD61</f>
        <v>Turquía</v>
      </c>
      <c r="G363" s="7" t="str">
        <f ca="1">+WORLDCUP!BD58</f>
        <v>República Checa</v>
      </c>
      <c r="H363" s="7" t="str">
        <f ca="1">+WORLDCUP!BD63</f>
        <v>Suecia</v>
      </c>
      <c r="I363" s="7" t="str">
        <f ca="1">+WORLDCUP!BD67</f>
        <v>Austria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Egipto</v>
      </c>
      <c r="E364" s="7" t="str">
        <f ca="1">+WORLDCUP!BD59</f>
        <v>Bosnia y Herzegovina</v>
      </c>
      <c r="F364" s="7" t="str">
        <f ca="1">+WORLDCUP!BD61</f>
        <v>Turquía</v>
      </c>
      <c r="G364" s="7" t="str">
        <f ca="1">+WORLDCUP!BD58</f>
        <v>República Checa</v>
      </c>
      <c r="H364" s="7" t="str">
        <f ca="1">+WORLDCUP!BD63</f>
        <v>Suecia</v>
      </c>
      <c r="I364" s="7" t="str">
        <f ca="1">+WORLDCUP!BD69</f>
        <v>Ghana</v>
      </c>
      <c r="J364" s="7" t="str">
        <f ca="1">+WORLDCUP!BD66</f>
        <v>Noruega</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Egipto</v>
      </c>
      <c r="E365" s="7" t="str">
        <f ca="1">+WORLDCUP!BD59</f>
        <v>Bosnia y Herzegovina</v>
      </c>
      <c r="F365" s="7" t="str">
        <f ca="1">+WORLDCUP!BD61</f>
        <v>Turquía</v>
      </c>
      <c r="G365" s="7" t="str">
        <f ca="1">+WORLDCUP!BD58</f>
        <v>República Checa</v>
      </c>
      <c r="H365" s="7" t="str">
        <f ca="1">+WORLDCUP!BD63</f>
        <v>Suecia</v>
      </c>
      <c r="I365" s="7" t="str">
        <f ca="1">+WORLDCUP!BD66</f>
        <v>Noruega</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Egipto</v>
      </c>
      <c r="E366" s="7" t="str">
        <f ca="1">+WORLDCUP!BD59</f>
        <v>Bosnia y Herzegovina</v>
      </c>
      <c r="F366" s="7" t="str">
        <f ca="1">+WORLDCUP!BD61</f>
        <v>Turquía</v>
      </c>
      <c r="G366" s="7" t="str">
        <f ca="1">+WORLDCUP!BD58</f>
        <v>República Checa</v>
      </c>
      <c r="H366" s="7" t="str">
        <f ca="1">+WORLDCUP!BD63</f>
        <v>Suecia</v>
      </c>
      <c r="I366" s="7" t="str">
        <f ca="1">+WORLDCUP!BD66</f>
        <v>Noruega</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Egipto</v>
      </c>
      <c r="E367" s="7" t="str">
        <f ca="1">+WORLDCUP!BD59</f>
        <v>Bosnia y Herzegovina</v>
      </c>
      <c r="F367" s="7" t="str">
        <f ca="1">+WORLDCUP!BD61</f>
        <v>Turquía</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Egipto</v>
      </c>
      <c r="E368" s="7" t="str">
        <f ca="1">+WORLDCUP!BD59</f>
        <v>Bosnia y Herzegovina</v>
      </c>
      <c r="F368" s="7" t="str">
        <f ca="1">+WORLDCUP!BD61</f>
        <v>Turquía</v>
      </c>
      <c r="G368" s="7" t="str">
        <f ca="1">+WORLDCUP!BD58</f>
        <v>República Checa</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Egipto</v>
      </c>
      <c r="E369" s="7" t="str">
        <f ca="1">+WORLDCUP!BD59</f>
        <v>Bosnia y Herzegovina</v>
      </c>
      <c r="F369" s="7" t="str">
        <f ca="1">+WORLDCUP!BD61</f>
        <v>Turquía</v>
      </c>
      <c r="G369" s="7" t="str">
        <f ca="1">+WORLDCUP!BD58</f>
        <v>República Checa</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Egipto</v>
      </c>
      <c r="E370" s="7" t="str">
        <f ca="1">+WORLDCUP!BD59</f>
        <v>Bosnia y Herzegovina</v>
      </c>
      <c r="F370" s="7" t="str">
        <f ca="1">+WORLDCUP!BD61</f>
        <v>Turquía</v>
      </c>
      <c r="G370" s="7" t="str">
        <f ca="1">+WORLDCUP!BD58</f>
        <v>República Checa</v>
      </c>
      <c r="H370" s="7" t="str">
        <f ca="1">+WORLDCUP!BD63</f>
        <v>Suecia</v>
      </c>
      <c r="I370" s="7" t="str">
        <f ca="1">+WORLDCUP!BD62</f>
        <v>Costa de Marfil</v>
      </c>
      <c r="J370" s="7" t="str">
        <f ca="1">+WORLDCUP!BD66</f>
        <v>Noruega</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Noruega</v>
      </c>
      <c r="D371" s="7" t="str">
        <f ca="1">+WORLDCUP!BD67</f>
        <v>Austria</v>
      </c>
      <c r="E371" s="7" t="str">
        <f ca="1">+WORLDCUP!BD59</f>
        <v>Bosnia y Herzegovina</v>
      </c>
      <c r="F371" s="7" t="str">
        <f ca="1">+WORLDCUP!BD60</f>
        <v>Escocia</v>
      </c>
      <c r="G371" s="7" t="str">
        <f ca="1">+WORLDCUP!BD58</f>
        <v>República Checa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Noruega</v>
      </c>
      <c r="D372" s="7" t="str">
        <f ca="1">+WORLDCUP!BD67</f>
        <v>Austria</v>
      </c>
      <c r="E372" s="7" t="str">
        <f ca="1">+WORLDCUP!BD59</f>
        <v>Bosnia y Herzegovina</v>
      </c>
      <c r="F372" s="7" t="str">
        <f ca="1">+WORLDCUP!BD60</f>
        <v>Escocia</v>
      </c>
      <c r="G372" s="7" t="str">
        <f ca="1">+WORLDCUP!BD58</f>
        <v>República Checa</v>
      </c>
      <c r="H372" s="7" t="str">
        <f ca="1">+WORLDCUP!BD64</f>
        <v>Egipto</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Bosnia y Herzegovina</v>
      </c>
      <c r="F373" s="7" t="str">
        <f ca="1">+WORLDCUP!BD60</f>
        <v>Escocia</v>
      </c>
      <c r="G373" s="7" t="str">
        <f ca="1">+WORLDCUP!BD58</f>
        <v>República Checa</v>
      </c>
      <c r="H373" s="7" t="str">
        <f ca="1">+WORLDCUP!BD64</f>
        <v>Egipto</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Noruega</v>
      </c>
      <c r="D374" s="7" t="str">
        <f ca="1">+WORLDCUP!BD64</f>
        <v>Egipto</v>
      </c>
      <c r="E374" s="7" t="str">
        <f ca="1">+WORLDCUP!BD59</f>
        <v>Bosnia y Herzegovina</v>
      </c>
      <c r="F374" s="7" t="str">
        <f ca="1">+WORLDCUP!BD60</f>
        <v>Escocia</v>
      </c>
      <c r="G374" s="7" t="str">
        <f ca="1">+WORLDCUP!BD58</f>
        <v>República Checa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Bosnia y Herzegovina</v>
      </c>
      <c r="F375" s="7" t="str">
        <f ca="1">+WORLDCUP!BD60</f>
        <v>Escocia</v>
      </c>
      <c r="G375" s="7" t="str">
        <f ca="1">+WORLDCUP!BD58</f>
        <v>República Checa</v>
      </c>
      <c r="H375" s="7" t="str">
        <f ca="1">+WORLDCUP!BD64</f>
        <v>Egipto</v>
      </c>
      <c r="I375" s="7" t="str">
        <f ca="1">+WORLDCUP!BD69</f>
        <v>Ghana</v>
      </c>
      <c r="J375" s="7" t="str">
        <f ca="1">+WORLDCUP!BD66</f>
        <v>Noruega</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Bosnia y Herzegovina</v>
      </c>
      <c r="F376" s="7" t="str">
        <f ca="1">+WORLDCUP!BD60</f>
        <v>Escocia</v>
      </c>
      <c r="G376" s="7" t="str">
        <f ca="1">+WORLDCUP!BD58</f>
        <v>República Checa</v>
      </c>
      <c r="H376" s="7" t="str">
        <f ca="1">+WORLDCUP!BD64</f>
        <v>Egipto</v>
      </c>
      <c r="I376" s="7" t="str">
        <f ca="1">+WORLDCUP!BD66</f>
        <v>Noruega</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Noruega</v>
      </c>
      <c r="D377" s="7" t="str">
        <f ca="1">+WORLDCUP!BD67</f>
        <v>Austria</v>
      </c>
      <c r="E377" s="7" t="str">
        <f ca="1">+WORLDCUP!BD59</f>
        <v>Bosnia y Herzegovina</v>
      </c>
      <c r="F377" s="7" t="str">
        <f ca="1">+WORLDCUP!BD60</f>
        <v>Escocia</v>
      </c>
      <c r="G377" s="7" t="str">
        <f ca="1">+WORLDCUP!BD58</f>
        <v>República Checa</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Bosnia y Herzegovina</v>
      </c>
      <c r="F378" s="7" t="str">
        <f ca="1">+WORLDCUP!BD60</f>
        <v>Escocia</v>
      </c>
      <c r="G378" s="7" t="str">
        <f ca="1">+WORLDCUP!BD58</f>
        <v>República Checa</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Noruega</v>
      </c>
      <c r="E379" s="7" t="str">
        <f ca="1">+WORLDCUP!BD59</f>
        <v>Bosnia y Herzegovina</v>
      </c>
      <c r="F379" s="7" t="str">
        <f ca="1">+WORLDCUP!BD60</f>
        <v>Escocia</v>
      </c>
      <c r="G379" s="7" t="str">
        <f ca="1">+WORLDCUP!BD58</f>
        <v>República Checa</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Bosnia y Herzegovina</v>
      </c>
      <c r="F380" s="7" t="str">
        <f ca="1">+WORLDCUP!BD60</f>
        <v>Escocia</v>
      </c>
      <c r="G380" s="7" t="str">
        <f ca="1">+WORLDCUP!BD58</f>
        <v>República Checa</v>
      </c>
      <c r="H380" s="7" t="str">
        <f ca="1">+WORLDCUP!BD63</f>
        <v>Suecia</v>
      </c>
      <c r="I380" s="7" t="str">
        <f ca="1">+WORLDCUP!BD69</f>
        <v>Ghana</v>
      </c>
      <c r="J380" s="7" t="str">
        <f ca="1">+WORLDCUP!BD66</f>
        <v>Noruega</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Bosnia y Herzegovina</v>
      </c>
      <c r="F381" s="7" t="str">
        <f ca="1">+WORLDCUP!BD60</f>
        <v>Escocia</v>
      </c>
      <c r="G381" s="7" t="str">
        <f ca="1">+WORLDCUP!BD58</f>
        <v>República Checa</v>
      </c>
      <c r="H381" s="7" t="str">
        <f ca="1">+WORLDCUP!BD63</f>
        <v>Suecia</v>
      </c>
      <c r="I381" s="7" t="str">
        <f ca="1">+WORLDCUP!BD66</f>
        <v>Noruega</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Bosnia y Herzegovina</v>
      </c>
      <c r="F382" s="7" t="str">
        <f ca="1">+WORLDCUP!BD63</f>
        <v>Suecia</v>
      </c>
      <c r="G382" s="7" t="str">
        <f ca="1">+WORLDCUP!BD58</f>
        <v>República Checa</v>
      </c>
      <c r="H382" s="7" t="str">
        <f ca="1">+WORLDCUP!BD64</f>
        <v>Egipto</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Noruega</v>
      </c>
      <c r="D383" s="7" t="str">
        <f ca="1">+WORLDCUP!BD64</f>
        <v>Egipto</v>
      </c>
      <c r="E383" s="7" t="str">
        <f ca="1">+WORLDCUP!BD59</f>
        <v>Bosnia y Herzegovina</v>
      </c>
      <c r="F383" s="7" t="str">
        <f ca="1">+WORLDCUP!BD60</f>
        <v>Escocia</v>
      </c>
      <c r="G383" s="7" t="str">
        <f ca="1">+WORLDCUP!BD58</f>
        <v>República Checa</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Bosnia y Herzegovina</v>
      </c>
      <c r="F384" s="7" t="str">
        <f ca="1">+WORLDCUP!BD63</f>
        <v>Suecia</v>
      </c>
      <c r="G384" s="7" t="str">
        <f ca="1">+WORLDCUP!BD58</f>
        <v>República Checa</v>
      </c>
      <c r="H384" s="7" t="str">
        <f ca="1">+WORLDCUP!BD64</f>
        <v>Egipto</v>
      </c>
      <c r="I384" s="7" t="str">
        <f ca="1">+WORLDCUP!BD69</f>
        <v>Ghana</v>
      </c>
      <c r="J384" s="7" t="str">
        <f ca="1">+WORLDCUP!BD66</f>
        <v>Noruega</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Bosnia y Herzegovina</v>
      </c>
      <c r="F385" s="7" t="str">
        <f ca="1">+WORLDCUP!BD63</f>
        <v>Suecia</v>
      </c>
      <c r="G385" s="7" t="str">
        <f ca="1">+WORLDCUP!BD58</f>
        <v>República Checa</v>
      </c>
      <c r="H385" s="7" t="str">
        <f ca="1">+WORLDCUP!BD64</f>
        <v>Egipto</v>
      </c>
      <c r="I385" s="7" t="str">
        <f ca="1">+WORLDCUP!BD66</f>
        <v>Noruega</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Egipto</v>
      </c>
      <c r="E386" s="7" t="str">
        <f ca="1">+WORLDCUP!BD59</f>
        <v>Bosnia y Herzegovina</v>
      </c>
      <c r="F386" s="7" t="str">
        <f ca="1">+WORLDCUP!BD60</f>
        <v>Escocia</v>
      </c>
      <c r="G386" s="7" t="str">
        <f ca="1">+WORLDCUP!BD58</f>
        <v>República Checa</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Egipto</v>
      </c>
      <c r="E387" s="7" t="str">
        <f ca="1">+WORLDCUP!BD59</f>
        <v>Bosnia y Herzegovina</v>
      </c>
      <c r="F387" s="7" t="str">
        <f ca="1">+WORLDCUP!BD60</f>
        <v>Escocia</v>
      </c>
      <c r="G387" s="7" t="str">
        <f ca="1">+WORLDCUP!BD58</f>
        <v>República Checa</v>
      </c>
      <c r="H387" s="7" t="str">
        <f ca="1">+WORLDCUP!BD63</f>
        <v>Suecia</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Egipto</v>
      </c>
      <c r="E388" s="7" t="str">
        <f ca="1">+WORLDCUP!BD59</f>
        <v>Bosnia y Herzegovina</v>
      </c>
      <c r="F388" s="7" t="str">
        <f ca="1">+WORLDCUP!BD60</f>
        <v>Escocia</v>
      </c>
      <c r="G388" s="7" t="str">
        <f ca="1">+WORLDCUP!BD58</f>
        <v>República Checa</v>
      </c>
      <c r="H388" s="7" t="str">
        <f ca="1">+WORLDCUP!BD63</f>
        <v>Suecia</v>
      </c>
      <c r="I388" s="7" t="str">
        <f ca="1">+WORLDCUP!BD67</f>
        <v>Austria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Egipto</v>
      </c>
      <c r="E389" s="7" t="str">
        <f ca="1">+WORLDCUP!BD59</f>
        <v>Bosnia y Herzegovina</v>
      </c>
      <c r="F389" s="7" t="str">
        <f ca="1">+WORLDCUP!BD60</f>
        <v>Escocia</v>
      </c>
      <c r="G389" s="7" t="str">
        <f ca="1">+WORLDCUP!BD58</f>
        <v>República Checa</v>
      </c>
      <c r="H389" s="7" t="str">
        <f ca="1">+WORLDCUP!BD63</f>
        <v>Suecia</v>
      </c>
      <c r="I389" s="7" t="str">
        <f ca="1">+WORLDCUP!BD69</f>
        <v>Ghana</v>
      </c>
      <c r="J389" s="7" t="str">
        <f ca="1">+WORLDCUP!BD66</f>
        <v>Noruega</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Egipto</v>
      </c>
      <c r="E390" s="7" t="str">
        <f ca="1">+WORLDCUP!BD59</f>
        <v>Bosnia y Herzegovina</v>
      </c>
      <c r="F390" s="7" t="str">
        <f ca="1">+WORLDCUP!BD60</f>
        <v>Escocia</v>
      </c>
      <c r="G390" s="7" t="str">
        <f ca="1">+WORLDCUP!BD58</f>
        <v>República Checa</v>
      </c>
      <c r="H390" s="7" t="str">
        <f ca="1">+WORLDCUP!BD63</f>
        <v>Suecia</v>
      </c>
      <c r="I390" s="7" t="str">
        <f ca="1">+WORLDCUP!BD66</f>
        <v>Noruega</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Egipto</v>
      </c>
      <c r="E391" s="7" t="str">
        <f ca="1">+WORLDCUP!BD59</f>
        <v>Bosnia y Herzegovina</v>
      </c>
      <c r="F391" s="7" t="str">
        <f ca="1">+WORLDCUP!BD60</f>
        <v>Escocia</v>
      </c>
      <c r="G391" s="7" t="str">
        <f ca="1">+WORLDCUP!BD58</f>
        <v>República Checa</v>
      </c>
      <c r="H391" s="7" t="str">
        <f ca="1">+WORLDCUP!BD63</f>
        <v>Suecia</v>
      </c>
      <c r="I391" s="7" t="str">
        <f ca="1">+WORLDCUP!BD66</f>
        <v>Noruega</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Bosnia y Herzegovina</v>
      </c>
      <c r="F392" s="7" t="str">
        <f ca="1">+WORLDCUP!BD58</f>
        <v>República Checa</v>
      </c>
      <c r="G392" s="7" t="str">
        <f ca="1">+WORLDCUP!BD66</f>
        <v>Noruega</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Bosnia y Herzegovina</v>
      </c>
      <c r="F393" s="7" t="str">
        <f ca="1">+WORLDCUP!BD60</f>
        <v>Escocia</v>
      </c>
      <c r="G393" s="7" t="str">
        <f ca="1">+WORLDCUP!BD58</f>
        <v>República Checa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Noruega</v>
      </c>
      <c r="E394" s="7" t="str">
        <f ca="1">+WORLDCUP!BD59</f>
        <v>Bosnia y Herzegovina</v>
      </c>
      <c r="F394" s="7" t="str">
        <f ca="1">+WORLDCUP!BD60</f>
        <v>Escocia</v>
      </c>
      <c r="G394" s="7" t="str">
        <f ca="1">+WORLDCUP!BD58</f>
        <v>República Checa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Bosnia y Herzegovina</v>
      </c>
      <c r="F395" s="7" t="str">
        <f ca="1">+WORLDCUP!BD60</f>
        <v>Escocia</v>
      </c>
      <c r="G395" s="7" t="str">
        <f ca="1">+WORLDCUP!BD58</f>
        <v>República Checa</v>
      </c>
      <c r="H395" s="7" t="str">
        <f ca="1">+WORLDCUP!BD65</f>
        <v>Arabia Saudita</v>
      </c>
      <c r="I395" s="7" t="str">
        <f ca="1">+WORLDCUP!BD69</f>
        <v>Ghana</v>
      </c>
      <c r="J395" s="7" t="str">
        <f ca="1">+WORLDCUP!BD66</f>
        <v>Noruega</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Bosnia y Herzegovina</v>
      </c>
      <c r="F396" s="7" t="str">
        <f ca="1">+WORLDCUP!BD60</f>
        <v>Escocia</v>
      </c>
      <c r="G396" s="7" t="str">
        <f ca="1">+WORLDCUP!BD58</f>
        <v>República Checa</v>
      </c>
      <c r="H396" s="7" t="str">
        <f ca="1">+WORLDCUP!BD65</f>
        <v>Arabia Saudita</v>
      </c>
      <c r="I396" s="7" t="str">
        <f ca="1">+WORLDCUP!BD66</f>
        <v>Noruega</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Bosnia y Herzegovina</v>
      </c>
      <c r="F397" s="7" t="str">
        <f ca="1">+WORLDCUP!BD60</f>
        <v>Escocia</v>
      </c>
      <c r="G397" s="7" t="str">
        <f ca="1">+WORLDCUP!BD58</f>
        <v>República Checa</v>
      </c>
      <c r="H397" s="7" t="str">
        <f ca="1">+WORLDCUP!BD64</f>
        <v>Egipto</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Egipto</v>
      </c>
      <c r="E398" s="7" t="str">
        <f ca="1">+WORLDCUP!BD59</f>
        <v>Bosnia y Herzegovina</v>
      </c>
      <c r="F398" s="7" t="str">
        <f ca="1">+WORLDCUP!BD58</f>
        <v>República Checa</v>
      </c>
      <c r="G398" s="7" t="str">
        <f ca="1">+WORLDCUP!BD66</f>
        <v>Noruega</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Bosnia y Herzegovina</v>
      </c>
      <c r="F399" s="7" t="str">
        <f ca="1">+WORLDCUP!BD60</f>
        <v>Escocia</v>
      </c>
      <c r="G399" s="7" t="str">
        <f ca="1">+WORLDCUP!BD58</f>
        <v>República Checa</v>
      </c>
      <c r="H399" s="7" t="str">
        <f ca="1">+WORLDCUP!BD64</f>
        <v>Egipto</v>
      </c>
      <c r="I399" s="7" t="str">
        <f ca="1">+WORLDCUP!BD69</f>
        <v>Ghana</v>
      </c>
      <c r="J399" s="7" t="str">
        <f ca="1">+WORLDCUP!BD66</f>
        <v>Noruega</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Bosnia y Herzegovina</v>
      </c>
      <c r="F400" s="7" t="str">
        <f ca="1">+WORLDCUP!BD60</f>
        <v>Escocia</v>
      </c>
      <c r="G400" s="7" t="str">
        <f ca="1">+WORLDCUP!BD58</f>
        <v>República Checa</v>
      </c>
      <c r="H400" s="7" t="str">
        <f ca="1">+WORLDCUP!BD64</f>
        <v>Egipto</v>
      </c>
      <c r="I400" s="7" t="str">
        <f ca="1">+WORLDCUP!BD66</f>
        <v>Noruega</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Egipto</v>
      </c>
      <c r="E401" s="7" t="str">
        <f ca="1">+WORLDCUP!BD59</f>
        <v>Bosnia y Herzegovina</v>
      </c>
      <c r="F401" s="7" t="str">
        <f ca="1">+WORLDCUP!BD60</f>
        <v>Escocia</v>
      </c>
      <c r="G401" s="7" t="str">
        <f ca="1">+WORLDCUP!BD58</f>
        <v>República Checa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Bosnia y Herzegovina</v>
      </c>
      <c r="F402" s="7" t="str">
        <f ca="1">+WORLDCUP!BD60</f>
        <v>Escocia</v>
      </c>
      <c r="G402" s="7" t="str">
        <f ca="1">+WORLDCUP!BD58</f>
        <v>República Checa</v>
      </c>
      <c r="H402" s="7" t="str">
        <f ca="1">+WORLDCUP!BD64</f>
        <v>Egipto</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Bosnia y Herzegovina</v>
      </c>
      <c r="F403" s="7" t="str">
        <f ca="1">+WORLDCUP!BD60</f>
        <v>Escocia</v>
      </c>
      <c r="G403" s="7" t="str">
        <f ca="1">+WORLDCUP!BD58</f>
        <v>República Checa</v>
      </c>
      <c r="H403" s="7" t="str">
        <f ca="1">+WORLDCUP!BD64</f>
        <v>Egipto</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Egipto</v>
      </c>
      <c r="E404" s="7" t="str">
        <f ca="1">+WORLDCUP!BD59</f>
        <v>Bosnia y Herzegovina</v>
      </c>
      <c r="F404" s="7" t="str">
        <f ca="1">+WORLDCUP!BD60</f>
        <v>Escocia</v>
      </c>
      <c r="G404" s="7" t="str">
        <f ca="1">+WORLDCUP!BD58</f>
        <v>República Checa</v>
      </c>
      <c r="H404" s="7" t="str">
        <f ca="1">+WORLDCUP!BD65</f>
        <v>Arabia Saudita</v>
      </c>
      <c r="I404" s="7" t="str">
        <f ca="1">+WORLDCUP!BD69</f>
        <v>Ghana</v>
      </c>
      <c r="J404" s="7" t="str">
        <f ca="1">+WORLDCUP!BD66</f>
        <v>Noruega</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Egipto</v>
      </c>
      <c r="E405" s="7" t="str">
        <f ca="1">+WORLDCUP!BD59</f>
        <v>Bosnia y Herzegovina</v>
      </c>
      <c r="F405" s="7" t="str">
        <f ca="1">+WORLDCUP!BD60</f>
        <v>Escocia</v>
      </c>
      <c r="G405" s="7" t="str">
        <f ca="1">+WORLDCUP!BD58</f>
        <v>República Checa</v>
      </c>
      <c r="H405" s="7" t="str">
        <f ca="1">+WORLDCUP!BD65</f>
        <v>Arabia Saudita</v>
      </c>
      <c r="I405" s="7" t="str">
        <f ca="1">+WORLDCUP!BD66</f>
        <v>Noruega</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Bosnia y Herzegovina</v>
      </c>
      <c r="F406" s="7" t="str">
        <f ca="1">+WORLDCUP!BD60</f>
        <v>Escocia</v>
      </c>
      <c r="G406" s="7" t="str">
        <f ca="1">+WORLDCUP!BD58</f>
        <v>República Checa</v>
      </c>
      <c r="H406" s="7" t="str">
        <f ca="1">+WORLDCUP!BD64</f>
        <v>Egipto</v>
      </c>
      <c r="I406" s="7" t="str">
        <f ca="1">+WORLDCUP!BD62</f>
        <v>Costa de Marfil</v>
      </c>
      <c r="J406" s="7" t="str">
        <f ca="1">+WORLDCUP!BD66</f>
        <v>Noruega</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Bosnia y Herzegovina</v>
      </c>
      <c r="F407" s="7" t="str">
        <f ca="1">+WORLDCUP!BD60</f>
        <v>Escocia</v>
      </c>
      <c r="G407" s="7" t="str">
        <f ca="1">+WORLDCUP!BD58</f>
        <v>República Checa</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Noruega</v>
      </c>
      <c r="E408" s="7" t="str">
        <f ca="1">+WORLDCUP!BD59</f>
        <v>Bosnia y Herzegovina</v>
      </c>
      <c r="F408" s="7" t="str">
        <f ca="1">+WORLDCUP!BD60</f>
        <v>Escocia</v>
      </c>
      <c r="G408" s="7" t="str">
        <f ca="1">+WORLDCUP!BD58</f>
        <v>República Checa</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Bosnia y Herzegovina</v>
      </c>
      <c r="F409" s="7" t="str">
        <f ca="1">+WORLDCUP!BD60</f>
        <v>Escocia</v>
      </c>
      <c r="G409" s="7" t="str">
        <f ca="1">+WORLDCUP!BD58</f>
        <v>República Checa</v>
      </c>
      <c r="H409" s="7" t="str">
        <f ca="1">+WORLDCUP!BD63</f>
        <v>Suecia</v>
      </c>
      <c r="I409" s="7" t="str">
        <f ca="1">+WORLDCUP!BD69</f>
        <v>Ghana</v>
      </c>
      <c r="J409" s="7" t="str">
        <f ca="1">+WORLDCUP!BD66</f>
        <v>Noruega</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Bosnia y Herzegovina</v>
      </c>
      <c r="F410" s="7" t="str">
        <f ca="1">+WORLDCUP!BD60</f>
        <v>Escocia</v>
      </c>
      <c r="G410" s="7" t="str">
        <f ca="1">+WORLDCUP!BD58</f>
        <v>República Checa</v>
      </c>
      <c r="H410" s="7" t="str">
        <f ca="1">+WORLDCUP!BD63</f>
        <v>Suecia</v>
      </c>
      <c r="I410" s="7" t="str">
        <f ca="1">+WORLDCUP!BD66</f>
        <v>Noruega</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República Checa</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Bosnia y Herzegovina</v>
      </c>
      <c r="F412" s="7" t="str">
        <f ca="1">+WORLDCUP!BD60</f>
        <v>Escocia</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Bosnia y Herzegovina</v>
      </c>
      <c r="F413" s="7" t="str">
        <f ca="1">+WORLDCUP!BD60</f>
        <v>Escocia</v>
      </c>
      <c r="G413" s="7" t="str">
        <f ca="1">+WORLDCUP!BD58</f>
        <v>República Checa</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República Checa</v>
      </c>
      <c r="H414" s="7" t="str">
        <f ca="1">+WORLDCUP!BD63</f>
        <v>Suecia</v>
      </c>
      <c r="I414" s="7" t="str">
        <f ca="1">+WORLDCUP!BD69</f>
        <v>Ghana</v>
      </c>
      <c r="J414" s="7" t="str">
        <f ca="1">+WORLDCUP!BD66</f>
        <v>Noruega</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República Checa</v>
      </c>
      <c r="H415" s="7" t="str">
        <f ca="1">+WORLDCUP!BD63</f>
        <v>Suecia</v>
      </c>
      <c r="I415" s="7" t="str">
        <f ca="1">+WORLDCUP!BD66</f>
        <v>Noruega</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Bosnia y Herzegovina</v>
      </c>
      <c r="F416" s="7" t="str">
        <f ca="1">+WORLDCUP!BD60</f>
        <v>Escocia</v>
      </c>
      <c r="G416" s="7" t="str">
        <f ca="1">+WORLDCUP!BD58</f>
        <v>República Checa</v>
      </c>
      <c r="H416" s="7" t="str">
        <f ca="1">+WORLDCUP!BD63</f>
        <v>Suecia</v>
      </c>
      <c r="I416" s="7" t="str">
        <f ca="1">+WORLDCUP!BD62</f>
        <v>Costa de Marfil</v>
      </c>
      <c r="J416" s="7" t="str">
        <f ca="1">+WORLDCUP!BD66</f>
        <v>Noruega</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Egipto</v>
      </c>
      <c r="E417" s="7" t="str">
        <f ca="1">+WORLDCUP!BD59</f>
        <v>Bosnia y Herzegovina</v>
      </c>
      <c r="F417" s="7" t="str">
        <f ca="1">+WORLDCUP!BD60</f>
        <v>Escocia</v>
      </c>
      <c r="G417" s="7" t="str">
        <f ca="1">+WORLDCUP!BD58</f>
        <v>República Checa</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Egipto</v>
      </c>
      <c r="E418" s="7" t="str">
        <f ca="1">+WORLDCUP!BD59</f>
        <v>Bosnia y Herzegovina</v>
      </c>
      <c r="F418" s="7" t="str">
        <f ca="1">+WORLDCUP!BD60</f>
        <v>Escocia</v>
      </c>
      <c r="G418" s="7" t="str">
        <f ca="1">+WORLDCUP!BD58</f>
        <v>República Checa</v>
      </c>
      <c r="H418" s="7" t="str">
        <f ca="1">+WORLDCUP!BD63</f>
        <v>Suecia</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Egipto</v>
      </c>
      <c r="E419" s="7" t="str">
        <f ca="1">+WORLDCUP!BD59</f>
        <v>Bosnia y Herzegovina</v>
      </c>
      <c r="F419" s="7" t="str">
        <f ca="1">+WORLDCUP!BD60</f>
        <v>Escocia</v>
      </c>
      <c r="G419" s="7" t="str">
        <f ca="1">+WORLDCUP!BD58</f>
        <v>República Checa</v>
      </c>
      <c r="H419" s="7" t="str">
        <f ca="1">+WORLDCUP!BD63</f>
        <v>Suecia</v>
      </c>
      <c r="I419" s="7" t="str">
        <f ca="1">+WORLDCUP!BD67</f>
        <v>Austria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Egipto</v>
      </c>
      <c r="E420" s="7" t="str">
        <f ca="1">+WORLDCUP!BD59</f>
        <v>Bosnia y Herzegovina</v>
      </c>
      <c r="F420" s="7" t="str">
        <f ca="1">+WORLDCUP!BD60</f>
        <v>Escocia</v>
      </c>
      <c r="G420" s="7" t="str">
        <f ca="1">+WORLDCUP!BD58</f>
        <v>República Checa</v>
      </c>
      <c r="H420" s="7" t="str">
        <f ca="1">+WORLDCUP!BD63</f>
        <v>Suecia</v>
      </c>
      <c r="I420" s="7" t="str">
        <f ca="1">+WORLDCUP!BD69</f>
        <v>Ghana</v>
      </c>
      <c r="J420" s="7" t="str">
        <f ca="1">+WORLDCUP!BD66</f>
        <v>Noruega</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Egipto</v>
      </c>
      <c r="E421" s="7" t="str">
        <f ca="1">+WORLDCUP!BD59</f>
        <v>Bosnia y Herzegovina</v>
      </c>
      <c r="F421" s="7" t="str">
        <f ca="1">+WORLDCUP!BD60</f>
        <v>Escocia</v>
      </c>
      <c r="G421" s="7" t="str">
        <f ca="1">+WORLDCUP!BD58</f>
        <v>República Checa</v>
      </c>
      <c r="H421" s="7" t="str">
        <f ca="1">+WORLDCUP!BD63</f>
        <v>Suecia</v>
      </c>
      <c r="I421" s="7" t="str">
        <f ca="1">+WORLDCUP!BD66</f>
        <v>Noruega</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Egipto</v>
      </c>
      <c r="E422" s="7" t="str">
        <f ca="1">+WORLDCUP!BD59</f>
        <v>Bosnia y Herzegovina</v>
      </c>
      <c r="F422" s="7" t="str">
        <f ca="1">+WORLDCUP!BD60</f>
        <v>Escocia</v>
      </c>
      <c r="G422" s="7" t="str">
        <f ca="1">+WORLDCUP!BD58</f>
        <v>República Checa</v>
      </c>
      <c r="H422" s="7" t="str">
        <f ca="1">+WORLDCUP!BD63</f>
        <v>Suecia</v>
      </c>
      <c r="I422" s="7" t="str">
        <f ca="1">+WORLDCUP!BD66</f>
        <v>Noruega</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Egipto</v>
      </c>
      <c r="E423" s="7" t="str">
        <f ca="1">+WORLDCUP!BD59</f>
        <v>Bosnia y Herzegovina</v>
      </c>
      <c r="F423" s="7" t="str">
        <f ca="1">+WORLDCUP!BD60</f>
        <v>Escocia</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Egipto</v>
      </c>
      <c r="E424" s="7" t="str">
        <f ca="1">+WORLDCUP!BD59</f>
        <v>Bosnia y Herzegovina</v>
      </c>
      <c r="F424" s="7" t="str">
        <f ca="1">+WORLDCUP!BD60</f>
        <v>Escocia</v>
      </c>
      <c r="G424" s="7" t="str">
        <f ca="1">+WORLDCUP!BD58</f>
        <v>República Checa</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Egipto</v>
      </c>
      <c r="E425" s="7" t="str">
        <f ca="1">+WORLDCUP!BD59</f>
        <v>Bosnia y Herzegovina</v>
      </c>
      <c r="F425" s="7" t="str">
        <f ca="1">+WORLDCUP!BD60</f>
        <v>Escocia</v>
      </c>
      <c r="G425" s="7" t="str">
        <f ca="1">+WORLDCUP!BD58</f>
        <v>República Checa</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Egipto</v>
      </c>
      <c r="E426" s="7" t="str">
        <f ca="1">+WORLDCUP!BD59</f>
        <v>Bosnia y Herzegovina</v>
      </c>
      <c r="F426" s="7" t="str">
        <f ca="1">+WORLDCUP!BD60</f>
        <v>Escocia</v>
      </c>
      <c r="G426" s="7" t="str">
        <f ca="1">+WORLDCUP!BD58</f>
        <v>República Checa</v>
      </c>
      <c r="H426" s="7" t="str">
        <f ca="1">+WORLDCUP!BD63</f>
        <v>Suecia</v>
      </c>
      <c r="I426" s="7" t="str">
        <f ca="1">+WORLDCUP!BD62</f>
        <v>Costa de Marfil</v>
      </c>
      <c r="J426" s="7" t="str">
        <f ca="1">+WORLDCUP!BD66</f>
        <v>Noruega</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Noruega</v>
      </c>
      <c r="D427" s="7" t="str">
        <f ca="1">+WORLDCUP!BD67</f>
        <v>Austria</v>
      </c>
      <c r="E427" s="7" t="str">
        <f ca="1">+WORLDCUP!BD59</f>
        <v>Bosnia y Herzegovina</v>
      </c>
      <c r="F427" s="7" t="str">
        <f ca="1">+WORLDCUP!BD60</f>
        <v>Escocia</v>
      </c>
      <c r="G427" s="7" t="str">
        <f ca="1">+WORLDCUP!BD58</f>
        <v>República Checa</v>
      </c>
      <c r="H427" s="7" t="str">
        <f ca="1">+WORLDCUP!BD61</f>
        <v>Turquía</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Bosnia y Herzegovina</v>
      </c>
      <c r="F428" s="7" t="str">
        <f ca="1">+WORLDCUP!BD60</f>
        <v>Escocia</v>
      </c>
      <c r="G428" s="7" t="str">
        <f ca="1">+WORLDCUP!BD58</f>
        <v>República Checa</v>
      </c>
      <c r="H428" s="7" t="str">
        <f ca="1">+WORLDCUP!BD61</f>
        <v>Turquía</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Noruega</v>
      </c>
      <c r="E429" s="7" t="str">
        <f ca="1">+WORLDCUP!BD59</f>
        <v>Bosnia y Herzegovina</v>
      </c>
      <c r="F429" s="7" t="str">
        <f ca="1">+WORLDCUP!BD60</f>
        <v>Escocia</v>
      </c>
      <c r="G429" s="7" t="str">
        <f ca="1">+WORLDCUP!BD58</f>
        <v>República Checa</v>
      </c>
      <c r="H429" s="7" t="str">
        <f ca="1">+WORLDCUP!BD61</f>
        <v>Turquía</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Bosnia y Herzegovina</v>
      </c>
      <c r="F430" s="7" t="str">
        <f ca="1">+WORLDCUP!BD60</f>
        <v>Escocia</v>
      </c>
      <c r="G430" s="7" t="str">
        <f ca="1">+WORLDCUP!BD58</f>
        <v>República Checa</v>
      </c>
      <c r="H430" s="7" t="str">
        <f ca="1">+WORLDCUP!BD61</f>
        <v>Turquía</v>
      </c>
      <c r="I430" s="7" t="str">
        <f ca="1">+WORLDCUP!BD69</f>
        <v>Ghana</v>
      </c>
      <c r="J430" s="7" t="str">
        <f ca="1">+WORLDCUP!BD66</f>
        <v>Noruega</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Bosnia y Herzegovina</v>
      </c>
      <c r="F431" s="7" t="str">
        <f ca="1">+WORLDCUP!BD60</f>
        <v>Escocia</v>
      </c>
      <c r="G431" s="7" t="str">
        <f ca="1">+WORLDCUP!BD58</f>
        <v>República Checa</v>
      </c>
      <c r="H431" s="7" t="str">
        <f ca="1">+WORLDCUP!BD61</f>
        <v>Turquía</v>
      </c>
      <c r="I431" s="7" t="str">
        <f ca="1">+WORLDCUP!BD66</f>
        <v>Noruega</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Bosnia y Herzegovina</v>
      </c>
      <c r="F432" s="7" t="str">
        <f ca="1">+WORLDCUP!BD61</f>
        <v>Turquía</v>
      </c>
      <c r="G432" s="7" t="str">
        <f ca="1">+WORLDCUP!BD58</f>
        <v>República Checa</v>
      </c>
      <c r="H432" s="7" t="str">
        <f ca="1">+WORLDCUP!BD64</f>
        <v>Egipto</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Noruega</v>
      </c>
      <c r="D433" s="7" t="str">
        <f ca="1">+WORLDCUP!BD64</f>
        <v>Egipto</v>
      </c>
      <c r="E433" s="7" t="str">
        <f ca="1">+WORLDCUP!BD59</f>
        <v>Bosnia y Herzegovina</v>
      </c>
      <c r="F433" s="7" t="str">
        <f ca="1">+WORLDCUP!BD60</f>
        <v>Escocia</v>
      </c>
      <c r="G433" s="7" t="str">
        <f ca="1">+WORLDCUP!BD58</f>
        <v>República Checa</v>
      </c>
      <c r="H433" s="7" t="str">
        <f ca="1">+WORLDCUP!BD61</f>
        <v>Turquía</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Bosnia y Herzegovina</v>
      </c>
      <c r="F434" s="7" t="str">
        <f ca="1">+WORLDCUP!BD61</f>
        <v>Turquía</v>
      </c>
      <c r="G434" s="7" t="str">
        <f ca="1">+WORLDCUP!BD58</f>
        <v>República Checa</v>
      </c>
      <c r="H434" s="7" t="str">
        <f ca="1">+WORLDCUP!BD64</f>
        <v>Egipto</v>
      </c>
      <c r="I434" s="7" t="str">
        <f ca="1">+WORLDCUP!BD69</f>
        <v>Ghana</v>
      </c>
      <c r="J434" s="7" t="str">
        <f ca="1">+WORLDCUP!BD66</f>
        <v>Noruega</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Bosnia y Herzegovina</v>
      </c>
      <c r="F435" s="7" t="str">
        <f ca="1">+WORLDCUP!BD61</f>
        <v>Turquía</v>
      </c>
      <c r="G435" s="7" t="str">
        <f ca="1">+WORLDCUP!BD58</f>
        <v>República Checa</v>
      </c>
      <c r="H435" s="7" t="str">
        <f ca="1">+WORLDCUP!BD64</f>
        <v>Egipto</v>
      </c>
      <c r="I435" s="7" t="str">
        <f ca="1">+WORLDCUP!BD66</f>
        <v>Noruega</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Egipto</v>
      </c>
      <c r="E436" s="7" t="str">
        <f ca="1">+WORLDCUP!BD59</f>
        <v>Bosnia y Herzegovina</v>
      </c>
      <c r="F436" s="7" t="str">
        <f ca="1">+WORLDCUP!BD60</f>
        <v>Escocia</v>
      </c>
      <c r="G436" s="7" t="str">
        <f ca="1">+WORLDCUP!BD58</f>
        <v>República Checa</v>
      </c>
      <c r="H436" s="7" t="str">
        <f ca="1">+WORLDCUP!BD61</f>
        <v>Turquía</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Egipto</v>
      </c>
      <c r="E437" s="7" t="str">
        <f ca="1">+WORLDCUP!BD59</f>
        <v>Bosnia y Herzegovina</v>
      </c>
      <c r="F437" s="7" t="str">
        <f ca="1">+WORLDCUP!BD60</f>
        <v>Escocia</v>
      </c>
      <c r="G437" s="7" t="str">
        <f ca="1">+WORLDCUP!BD58</f>
        <v>República Checa</v>
      </c>
      <c r="H437" s="7" t="str">
        <f ca="1">+WORLDCUP!BD61</f>
        <v>Turquía</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Egipto</v>
      </c>
      <c r="E438" s="7" t="str">
        <f ca="1">+WORLDCUP!BD59</f>
        <v>Bosnia y Herzegovina</v>
      </c>
      <c r="F438" s="7" t="str">
        <f ca="1">+WORLDCUP!BD60</f>
        <v>Escocia</v>
      </c>
      <c r="G438" s="7" t="str">
        <f ca="1">+WORLDCUP!BD58</f>
        <v>República Checa</v>
      </c>
      <c r="H438" s="7" t="str">
        <f ca="1">+WORLDCUP!BD61</f>
        <v>Turquía</v>
      </c>
      <c r="I438" s="7" t="str">
        <f ca="1">+WORLDCUP!BD67</f>
        <v>Austria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Egipto</v>
      </c>
      <c r="E439" s="7" t="str">
        <f ca="1">+WORLDCUP!BD59</f>
        <v>Bosnia y Herzegovina</v>
      </c>
      <c r="F439" s="7" t="str">
        <f ca="1">+WORLDCUP!BD60</f>
        <v>Escocia</v>
      </c>
      <c r="G439" s="7" t="str">
        <f ca="1">+WORLDCUP!BD58</f>
        <v>República Checa</v>
      </c>
      <c r="H439" s="7" t="str">
        <f ca="1">+WORLDCUP!BD61</f>
        <v>Turquía</v>
      </c>
      <c r="I439" s="7" t="str">
        <f ca="1">+WORLDCUP!BD69</f>
        <v>Ghana</v>
      </c>
      <c r="J439" s="7" t="str">
        <f ca="1">+WORLDCUP!BD66</f>
        <v>Noruega</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Egipto</v>
      </c>
      <c r="E440" s="7" t="str">
        <f ca="1">+WORLDCUP!BD59</f>
        <v>Bosnia y Herzegovina</v>
      </c>
      <c r="F440" s="7" t="str">
        <f ca="1">+WORLDCUP!BD60</f>
        <v>Escocia</v>
      </c>
      <c r="G440" s="7" t="str">
        <f ca="1">+WORLDCUP!BD58</f>
        <v>República Checa</v>
      </c>
      <c r="H440" s="7" t="str">
        <f ca="1">+WORLDCUP!BD61</f>
        <v>Turquía</v>
      </c>
      <c r="I440" s="7" t="str">
        <f ca="1">+WORLDCUP!BD66</f>
        <v>Noruega</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Egipto</v>
      </c>
      <c r="E441" s="7" t="str">
        <f ca="1">+WORLDCUP!BD59</f>
        <v>Bosnia y Herzegovina</v>
      </c>
      <c r="F441" s="7" t="str">
        <f ca="1">+WORLDCUP!BD60</f>
        <v>Escocia</v>
      </c>
      <c r="G441" s="7" t="str">
        <f ca="1">+WORLDCUP!BD58</f>
        <v>República Checa</v>
      </c>
      <c r="H441" s="7" t="str">
        <f ca="1">+WORLDCUP!BD61</f>
        <v>Turquía</v>
      </c>
      <c r="I441" s="7" t="str">
        <f ca="1">+WORLDCUP!BD66</f>
        <v>Noruega</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Bosnia y Herzegovina</v>
      </c>
      <c r="F442" s="7" t="str">
        <f ca="1">+WORLDCUP!BD61</f>
        <v>Turquía</v>
      </c>
      <c r="G442" s="7" t="str">
        <f ca="1">+WORLDCUP!BD58</f>
        <v>República Checa</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Noruega</v>
      </c>
      <c r="E443" s="7" t="str">
        <f ca="1">+WORLDCUP!BD59</f>
        <v>Bosnia y Herzegovina</v>
      </c>
      <c r="F443" s="7" t="str">
        <f ca="1">+WORLDCUP!BD61</f>
        <v>Turquía</v>
      </c>
      <c r="G443" s="7" t="str">
        <f ca="1">+WORLDCUP!BD58</f>
        <v>República Checa</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Bosnia y Herzegovina</v>
      </c>
      <c r="F444" s="7" t="str">
        <f ca="1">+WORLDCUP!BD61</f>
        <v>Turquía</v>
      </c>
      <c r="G444" s="7" t="str">
        <f ca="1">+WORLDCUP!BD58</f>
        <v>República Checa</v>
      </c>
      <c r="H444" s="7" t="str">
        <f ca="1">+WORLDCUP!BD63</f>
        <v>Suecia</v>
      </c>
      <c r="I444" s="7" t="str">
        <f ca="1">+WORLDCUP!BD69</f>
        <v>Ghana</v>
      </c>
      <c r="J444" s="7" t="str">
        <f ca="1">+WORLDCUP!BD66</f>
        <v>Noruega</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Bosnia y Herzegovina</v>
      </c>
      <c r="F445" s="7" t="str">
        <f ca="1">+WORLDCUP!BD61</f>
        <v>Turquía</v>
      </c>
      <c r="G445" s="7" t="str">
        <f ca="1">+WORLDCUP!BD58</f>
        <v>República Checa</v>
      </c>
      <c r="H445" s="7" t="str">
        <f ca="1">+WORLDCUP!BD63</f>
        <v>Suecia</v>
      </c>
      <c r="I445" s="7" t="str">
        <f ca="1">+WORLDCUP!BD66</f>
        <v>Noruega</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República Checa</v>
      </c>
      <c r="H446" s="7" t="str">
        <f ca="1">+WORLDCUP!BD61</f>
        <v>Turquía</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Bosnia y Herzegovina</v>
      </c>
      <c r="F447" s="7" t="str">
        <f ca="1">+WORLDCUP!BD61</f>
        <v>Turquía</v>
      </c>
      <c r="G447" s="7" t="str">
        <f ca="1">+WORLDCUP!BD58</f>
        <v>República Checa</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Bosnia y Herzegovina</v>
      </c>
      <c r="F448" s="7" t="str">
        <f ca="1">+WORLDCUP!BD60</f>
        <v>Escocia</v>
      </c>
      <c r="G448" s="7" t="str">
        <f ca="1">+WORLDCUP!BD58</f>
        <v>República Checa</v>
      </c>
      <c r="H448" s="7" t="str">
        <f ca="1">+WORLDCUP!BD63</f>
        <v>Suecia</v>
      </c>
      <c r="I448" s="7" t="str">
        <f ca="1">+WORLDCUP!BD61</f>
        <v>Turquía</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República Checa</v>
      </c>
      <c r="H449" s="7" t="str">
        <f ca="1">+WORLDCUP!BD61</f>
        <v>Turquía</v>
      </c>
      <c r="I449" s="7" t="str">
        <f ca="1">+WORLDCUP!BD69</f>
        <v>Ghana</v>
      </c>
      <c r="J449" s="7" t="str">
        <f ca="1">+WORLDCUP!BD66</f>
        <v>Noruega</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República Checa</v>
      </c>
      <c r="H450" s="7" t="str">
        <f ca="1">+WORLDCUP!BD61</f>
        <v>Turquía</v>
      </c>
      <c r="I450" s="7" t="str">
        <f ca="1">+WORLDCUP!BD66</f>
        <v>Noruega</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Bosnia y Herzegovina</v>
      </c>
      <c r="F451" s="7" t="str">
        <f ca="1">+WORLDCUP!BD60</f>
        <v>Escocia</v>
      </c>
      <c r="G451" s="7" t="str">
        <f ca="1">+WORLDCUP!BD58</f>
        <v>República Checa</v>
      </c>
      <c r="H451" s="7" t="str">
        <f ca="1">+WORLDCUP!BD63</f>
        <v>Suecia</v>
      </c>
      <c r="I451" s="7" t="str">
        <f ca="1">+WORLDCUP!BD61</f>
        <v>Turquía</v>
      </c>
      <c r="J451" s="7" t="str">
        <f ca="1">+WORLDCUP!BD66</f>
        <v>Noruega</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Egipto</v>
      </c>
      <c r="E452" s="7" t="str">
        <f ca="1">+WORLDCUP!BD59</f>
        <v>Bosnia y Herzegovina</v>
      </c>
      <c r="F452" s="7" t="str">
        <f ca="1">+WORLDCUP!BD61</f>
        <v>Turquía</v>
      </c>
      <c r="G452" s="7" t="str">
        <f ca="1">+WORLDCUP!BD58</f>
        <v>República Checa</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Egipto</v>
      </c>
      <c r="E453" s="7" t="str">
        <f ca="1">+WORLDCUP!BD59</f>
        <v>Bosnia y Herzegovina</v>
      </c>
      <c r="F453" s="7" t="str">
        <f ca="1">+WORLDCUP!BD61</f>
        <v>Turquía</v>
      </c>
      <c r="G453" s="7" t="str">
        <f ca="1">+WORLDCUP!BD58</f>
        <v>República Checa</v>
      </c>
      <c r="H453" s="7" t="str">
        <f ca="1">+WORLDCUP!BD63</f>
        <v>Suecia</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Egipto</v>
      </c>
      <c r="E454" s="7" t="str">
        <f ca="1">+WORLDCUP!BD59</f>
        <v>Bosnia y Herzegovina</v>
      </c>
      <c r="F454" s="7" t="str">
        <f ca="1">+WORLDCUP!BD61</f>
        <v>Turquía</v>
      </c>
      <c r="G454" s="7" t="str">
        <f ca="1">+WORLDCUP!BD58</f>
        <v>República Checa</v>
      </c>
      <c r="H454" s="7" t="str">
        <f ca="1">+WORLDCUP!BD63</f>
        <v>Suecia</v>
      </c>
      <c r="I454" s="7" t="str">
        <f ca="1">+WORLDCUP!BD67</f>
        <v>Austria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Egipto</v>
      </c>
      <c r="E455" s="7" t="str">
        <f ca="1">+WORLDCUP!BD59</f>
        <v>Bosnia y Herzegovina</v>
      </c>
      <c r="F455" s="7" t="str">
        <f ca="1">+WORLDCUP!BD61</f>
        <v>Turquía</v>
      </c>
      <c r="G455" s="7" t="str">
        <f ca="1">+WORLDCUP!BD58</f>
        <v>República Checa</v>
      </c>
      <c r="H455" s="7" t="str">
        <f ca="1">+WORLDCUP!BD63</f>
        <v>Suecia</v>
      </c>
      <c r="I455" s="7" t="str">
        <f ca="1">+WORLDCUP!BD69</f>
        <v>Ghana</v>
      </c>
      <c r="J455" s="7" t="str">
        <f ca="1">+WORLDCUP!BD66</f>
        <v>Noruega</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Egipto</v>
      </c>
      <c r="E456" s="7" t="str">
        <f ca="1">+WORLDCUP!BD59</f>
        <v>Bosnia y Herzegovina</v>
      </c>
      <c r="F456" s="7" t="str">
        <f ca="1">+WORLDCUP!BD61</f>
        <v>Turquía</v>
      </c>
      <c r="G456" s="7" t="str">
        <f ca="1">+WORLDCUP!BD58</f>
        <v>República Checa</v>
      </c>
      <c r="H456" s="7" t="str">
        <f ca="1">+WORLDCUP!BD63</f>
        <v>Suecia</v>
      </c>
      <c r="I456" s="7" t="str">
        <f ca="1">+WORLDCUP!BD66</f>
        <v>Noruega</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Egipto</v>
      </c>
      <c r="E457" s="7" t="str">
        <f ca="1">+WORLDCUP!BD59</f>
        <v>Bosnia y Herzegovina</v>
      </c>
      <c r="F457" s="7" t="str">
        <f ca="1">+WORLDCUP!BD61</f>
        <v>Turquía</v>
      </c>
      <c r="G457" s="7" t="str">
        <f ca="1">+WORLDCUP!BD58</f>
        <v>República Checa</v>
      </c>
      <c r="H457" s="7" t="str">
        <f ca="1">+WORLDCUP!BD63</f>
        <v>Suecia</v>
      </c>
      <c r="I457" s="7" t="str">
        <f ca="1">+WORLDCUP!BD66</f>
        <v>Noruega</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Egipto</v>
      </c>
      <c r="E458" s="7" t="str">
        <f ca="1">+WORLDCUP!BD59</f>
        <v>Bosnia y Herzegovina</v>
      </c>
      <c r="F458" s="7" t="str">
        <f ca="1">+WORLDCUP!BD61</f>
        <v>Turquía</v>
      </c>
      <c r="G458" s="7" t="str">
        <f ca="1">+WORLDCUP!BD58</f>
        <v>República Checa</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Egipto</v>
      </c>
      <c r="E459" s="7" t="str">
        <f ca="1">+WORLDCUP!BD59</f>
        <v>Bosnia y Herzegovina</v>
      </c>
      <c r="F459" s="7" t="str">
        <f ca="1">+WORLDCUP!BD60</f>
        <v>Escocia</v>
      </c>
      <c r="G459" s="7" t="str">
        <f ca="1">+WORLDCUP!BD58</f>
        <v>República Checa</v>
      </c>
      <c r="H459" s="7" t="str">
        <f ca="1">+WORLDCUP!BD63</f>
        <v>Suecia</v>
      </c>
      <c r="I459" s="7" t="str">
        <f ca="1">+WORLDCUP!BD61</f>
        <v>Turquía</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Egipto</v>
      </c>
      <c r="E460" s="7" t="str">
        <f ca="1">+WORLDCUP!BD59</f>
        <v>Bosnia y Herzegovina</v>
      </c>
      <c r="F460" s="7" t="str">
        <f ca="1">+WORLDCUP!BD60</f>
        <v>Escocia</v>
      </c>
      <c r="G460" s="7" t="str">
        <f ca="1">+WORLDCUP!BD58</f>
        <v>República Checa</v>
      </c>
      <c r="H460" s="7" t="str">
        <f ca="1">+WORLDCUP!BD63</f>
        <v>Suecia</v>
      </c>
      <c r="I460" s="7" t="str">
        <f ca="1">+WORLDCUP!BD61</f>
        <v>Turquía</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Egipto</v>
      </c>
      <c r="E461" s="7" t="str">
        <f ca="1">+WORLDCUP!BD59</f>
        <v>Bosnia y Herzegovina</v>
      </c>
      <c r="F461" s="7" t="str">
        <f ca="1">+WORLDCUP!BD60</f>
        <v>Escocia</v>
      </c>
      <c r="G461" s="7" t="str">
        <f ca="1">+WORLDCUP!BD58</f>
        <v>República Checa</v>
      </c>
      <c r="H461" s="7" t="str">
        <f ca="1">+WORLDCUP!BD63</f>
        <v>Suecia</v>
      </c>
      <c r="I461" s="7" t="str">
        <f ca="1">+WORLDCUP!BD61</f>
        <v>Turquía</v>
      </c>
      <c r="J461" s="7" t="str">
        <f ca="1">+WORLDCUP!BD66</f>
        <v>Noruega</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Bosnia y Herzegovina</v>
      </c>
      <c r="F462" s="7" t="str">
        <f ca="1">+WORLDCUP!BD60</f>
        <v>Escocia</v>
      </c>
      <c r="G462" s="7" t="str">
        <f ca="1">+WORLDCUP!BD58</f>
        <v>República Checa</v>
      </c>
      <c r="H462" s="7" t="str">
        <f ca="1">+WORLDCUP!BD61</f>
        <v>Turquía</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Noruega</v>
      </c>
      <c r="E463" s="7" t="str">
        <f ca="1">+WORLDCUP!BD59</f>
        <v>Bosnia y Herzegovina</v>
      </c>
      <c r="F463" s="7" t="str">
        <f ca="1">+WORLDCUP!BD60</f>
        <v>Escocia</v>
      </c>
      <c r="G463" s="7" t="str">
        <f ca="1">+WORLDCUP!BD58</f>
        <v>República Checa</v>
      </c>
      <c r="H463" s="7" t="str">
        <f ca="1">+WORLDCUP!BD61</f>
        <v>Turquía</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Bosnia y Herzegovina</v>
      </c>
      <c r="F464" s="7" t="str">
        <f ca="1">+WORLDCUP!BD60</f>
        <v>Escocia</v>
      </c>
      <c r="G464" s="7" t="str">
        <f ca="1">+WORLDCUP!BD58</f>
        <v>República Checa</v>
      </c>
      <c r="H464" s="7" t="str">
        <f ca="1">+WORLDCUP!BD61</f>
        <v>Turquía</v>
      </c>
      <c r="I464" s="7" t="str">
        <f ca="1">+WORLDCUP!BD69</f>
        <v>Ghana</v>
      </c>
      <c r="J464" s="7" t="str">
        <f ca="1">+WORLDCUP!BD66</f>
        <v>Noruega</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Bosnia y Herzegovina</v>
      </c>
      <c r="F465" s="7" t="str">
        <f ca="1">+WORLDCUP!BD60</f>
        <v>Escocia</v>
      </c>
      <c r="G465" s="7" t="str">
        <f ca="1">+WORLDCUP!BD58</f>
        <v>República Checa</v>
      </c>
      <c r="H465" s="7" t="str">
        <f ca="1">+WORLDCUP!BD61</f>
        <v>Turquía</v>
      </c>
      <c r="I465" s="7" t="str">
        <f ca="1">+WORLDCUP!BD66</f>
        <v>Noruega</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República Checa</v>
      </c>
      <c r="H466" s="7" t="str">
        <f ca="1">+WORLDCUP!BD61</f>
        <v>Turquía</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Bosnia y Herzegovina</v>
      </c>
      <c r="F467" s="7" t="str">
        <f ca="1">+WORLDCUP!BD60</f>
        <v>Escocia</v>
      </c>
      <c r="G467" s="7" t="str">
        <f ca="1">+WORLDCUP!BD58</f>
        <v>República Checa</v>
      </c>
      <c r="H467" s="7" t="str">
        <f ca="1">+WORLDCUP!BD61</f>
        <v>Turquía</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Bosnia y Herzegovina</v>
      </c>
      <c r="F468" s="7" t="str">
        <f ca="1">+WORLDCUP!BD60</f>
        <v>Escocia</v>
      </c>
      <c r="G468" s="7" t="str">
        <f ca="1">+WORLDCUP!BD58</f>
        <v>República Checa</v>
      </c>
      <c r="H468" s="7" t="str">
        <f ca="1">+WORLDCUP!BD61</f>
        <v>Turquía</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República Checa</v>
      </c>
      <c r="H469" s="7" t="str">
        <f ca="1">+WORLDCUP!BD61</f>
        <v>Turquía</v>
      </c>
      <c r="I469" s="7" t="str">
        <f ca="1">+WORLDCUP!BD69</f>
        <v>Ghana</v>
      </c>
      <c r="J469" s="7" t="str">
        <f ca="1">+WORLDCUP!BD66</f>
        <v>Noruega</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República Checa</v>
      </c>
      <c r="H470" s="7" t="str">
        <f ca="1">+WORLDCUP!BD61</f>
        <v>Turquía</v>
      </c>
      <c r="I470" s="7" t="str">
        <f ca="1">+WORLDCUP!BD66</f>
        <v>Noruega</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Bosnia y Herzegovina</v>
      </c>
      <c r="F471" s="7" t="str">
        <f ca="1">+WORLDCUP!BD60</f>
        <v>Escocia</v>
      </c>
      <c r="G471" s="7" t="str">
        <f ca="1">+WORLDCUP!BD58</f>
        <v>República Checa</v>
      </c>
      <c r="H471" s="7" t="str">
        <f ca="1">+WORLDCUP!BD61</f>
        <v>Turquía</v>
      </c>
      <c r="I471" s="7" t="str">
        <f ca="1">+WORLDCUP!BD62</f>
        <v>Costa de Marfil</v>
      </c>
      <c r="J471" s="7" t="str">
        <f ca="1">+WORLDCUP!BD66</f>
        <v>Noruega</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Egipto</v>
      </c>
      <c r="E472" s="7" t="str">
        <f ca="1">+WORLDCUP!BD59</f>
        <v>Bosnia y Herzegovina</v>
      </c>
      <c r="F472" s="7" t="str">
        <f ca="1">+WORLDCUP!BD60</f>
        <v>Escocia</v>
      </c>
      <c r="G472" s="7" t="str">
        <f ca="1">+WORLDCUP!BD58</f>
        <v>República Checa</v>
      </c>
      <c r="H472" s="7" t="str">
        <f ca="1">+WORLDCUP!BD61</f>
        <v>Turquía</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Egipto</v>
      </c>
      <c r="E473" s="7" t="str">
        <f ca="1">+WORLDCUP!BD59</f>
        <v>Bosnia y Herzegovina</v>
      </c>
      <c r="F473" s="7" t="str">
        <f ca="1">+WORLDCUP!BD60</f>
        <v>Escocia</v>
      </c>
      <c r="G473" s="7" t="str">
        <f ca="1">+WORLDCUP!BD58</f>
        <v>República Checa</v>
      </c>
      <c r="H473" s="7" t="str">
        <f ca="1">+WORLDCUP!BD61</f>
        <v>Turquía</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Egipto</v>
      </c>
      <c r="E474" s="7" t="str">
        <f ca="1">+WORLDCUP!BD59</f>
        <v>Bosnia y Herzegovina</v>
      </c>
      <c r="F474" s="7" t="str">
        <f ca="1">+WORLDCUP!BD60</f>
        <v>Escocia</v>
      </c>
      <c r="G474" s="7" t="str">
        <f ca="1">+WORLDCUP!BD58</f>
        <v>República Checa</v>
      </c>
      <c r="H474" s="7" t="str">
        <f ca="1">+WORLDCUP!BD61</f>
        <v>Turquía</v>
      </c>
      <c r="I474" s="7" t="str">
        <f ca="1">+WORLDCUP!BD67</f>
        <v>Austria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Egipto</v>
      </c>
      <c r="E475" s="7" t="str">
        <f ca="1">+WORLDCUP!BD59</f>
        <v>Bosnia y Herzegovina</v>
      </c>
      <c r="F475" s="7" t="str">
        <f ca="1">+WORLDCUP!BD60</f>
        <v>Escocia</v>
      </c>
      <c r="G475" s="7" t="str">
        <f ca="1">+WORLDCUP!BD58</f>
        <v>República Checa</v>
      </c>
      <c r="H475" s="7" t="str">
        <f ca="1">+WORLDCUP!BD61</f>
        <v>Turquía</v>
      </c>
      <c r="I475" s="7" t="str">
        <f ca="1">+WORLDCUP!BD69</f>
        <v>Ghana</v>
      </c>
      <c r="J475" s="7" t="str">
        <f ca="1">+WORLDCUP!BD66</f>
        <v>Noruega</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Egipto</v>
      </c>
      <c r="E476" s="7" t="str">
        <f ca="1">+WORLDCUP!BD59</f>
        <v>Bosnia y Herzegovina</v>
      </c>
      <c r="F476" s="7" t="str">
        <f ca="1">+WORLDCUP!BD60</f>
        <v>Escocia</v>
      </c>
      <c r="G476" s="7" t="str">
        <f ca="1">+WORLDCUP!BD58</f>
        <v>República Checa</v>
      </c>
      <c r="H476" s="7" t="str">
        <f ca="1">+WORLDCUP!BD61</f>
        <v>Turquía</v>
      </c>
      <c r="I476" s="7" t="str">
        <f ca="1">+WORLDCUP!BD66</f>
        <v>Noruega</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Egipto</v>
      </c>
      <c r="E477" s="7" t="str">
        <f ca="1">+WORLDCUP!BD59</f>
        <v>Bosnia y Herzegovina</v>
      </c>
      <c r="F477" s="7" t="str">
        <f ca="1">+WORLDCUP!BD60</f>
        <v>Escocia</v>
      </c>
      <c r="G477" s="7" t="str">
        <f ca="1">+WORLDCUP!BD58</f>
        <v>República Checa</v>
      </c>
      <c r="H477" s="7" t="str">
        <f ca="1">+WORLDCUP!BD61</f>
        <v>Turquía</v>
      </c>
      <c r="I477" s="7" t="str">
        <f ca="1">+WORLDCUP!BD66</f>
        <v>Noruega</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Egipto</v>
      </c>
      <c r="E478" s="7" t="str">
        <f ca="1">+WORLDCUP!BD59</f>
        <v>Bosnia y Herzegovina</v>
      </c>
      <c r="F478" s="7" t="str">
        <f ca="1">+WORLDCUP!BD60</f>
        <v>Escocia</v>
      </c>
      <c r="G478" s="7" t="str">
        <f ca="1">+WORLDCUP!BD58</f>
        <v>República Checa</v>
      </c>
      <c r="H478" s="7" t="str">
        <f ca="1">+WORLDCUP!BD61</f>
        <v>Turquía</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Egipto</v>
      </c>
      <c r="E479" s="7" t="str">
        <f ca="1">+WORLDCUP!BD59</f>
        <v>Bosnia y Herzegovina</v>
      </c>
      <c r="F479" s="7" t="str">
        <f ca="1">+WORLDCUP!BD60</f>
        <v>Escocia</v>
      </c>
      <c r="G479" s="7" t="str">
        <f ca="1">+WORLDCUP!BD58</f>
        <v>República Checa</v>
      </c>
      <c r="H479" s="7" t="str">
        <f ca="1">+WORLDCUP!BD61</f>
        <v>Turquía</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Egipto</v>
      </c>
      <c r="E480" s="7" t="str">
        <f ca="1">+WORLDCUP!BD59</f>
        <v>Bosnia y Herzegovina</v>
      </c>
      <c r="F480" s="7" t="str">
        <f ca="1">+WORLDCUP!BD60</f>
        <v>Escocia</v>
      </c>
      <c r="G480" s="7" t="str">
        <f ca="1">+WORLDCUP!BD58</f>
        <v>República Checa</v>
      </c>
      <c r="H480" s="7" t="str">
        <f ca="1">+WORLDCUP!BD61</f>
        <v>Turquía</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Egipto</v>
      </c>
      <c r="E481" s="7" t="str">
        <f ca="1">+WORLDCUP!BD59</f>
        <v>Bosnia y Herzegovina</v>
      </c>
      <c r="F481" s="7" t="str">
        <f ca="1">+WORLDCUP!BD60</f>
        <v>Escocia</v>
      </c>
      <c r="G481" s="7" t="str">
        <f ca="1">+WORLDCUP!BD58</f>
        <v>República Checa</v>
      </c>
      <c r="H481" s="7" t="str">
        <f ca="1">+WORLDCUP!BD61</f>
        <v>Turquía</v>
      </c>
      <c r="I481" s="7" t="str">
        <f ca="1">+WORLDCUP!BD62</f>
        <v>Costa de Marfil</v>
      </c>
      <c r="J481" s="7" t="str">
        <f ca="1">+WORLDCUP!BD66</f>
        <v>Noruega</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Turquía</v>
      </c>
      <c r="G482" s="7" t="str">
        <f ca="1">+WORLDCUP!BD58</f>
        <v>República Checa</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Bosnia y Herzegovina</v>
      </c>
      <c r="F483" s="7" t="str">
        <f ca="1">+WORLDCUP!BD61</f>
        <v>Turquía</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Bosnia y Herzegovina</v>
      </c>
      <c r="F484" s="7" t="str">
        <f ca="1">+WORLDCUP!BD61</f>
        <v>Turquía</v>
      </c>
      <c r="G484" s="7" t="str">
        <f ca="1">+WORLDCUP!BD58</f>
        <v>República Checa</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Turquía</v>
      </c>
      <c r="G485" s="7" t="str">
        <f ca="1">+WORLDCUP!BD58</f>
        <v>República Checa</v>
      </c>
      <c r="H485" s="7" t="str">
        <f ca="1">+WORLDCUP!BD63</f>
        <v>Suecia</v>
      </c>
      <c r="I485" s="7" t="str">
        <f ca="1">+WORLDCUP!BD69</f>
        <v>Ghana</v>
      </c>
      <c r="J485" s="7" t="str">
        <f ca="1">+WORLDCUP!BD66</f>
        <v>Noruega</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Turquía</v>
      </c>
      <c r="G486" s="7" t="str">
        <f ca="1">+WORLDCUP!BD58</f>
        <v>República Checa</v>
      </c>
      <c r="H486" s="7" t="str">
        <f ca="1">+WORLDCUP!BD63</f>
        <v>Suecia</v>
      </c>
      <c r="I486" s="7" t="str">
        <f ca="1">+WORLDCUP!BD66</f>
        <v>Noruega</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Bosnia y Herzegovina</v>
      </c>
      <c r="F487" s="7" t="str">
        <f ca="1">+WORLDCUP!BD61</f>
        <v>Turquía</v>
      </c>
      <c r="G487" s="7" t="str">
        <f ca="1">+WORLDCUP!BD58</f>
        <v>República Checa</v>
      </c>
      <c r="H487" s="7" t="str">
        <f ca="1">+WORLDCUP!BD63</f>
        <v>Suecia</v>
      </c>
      <c r="I487" s="7" t="str">
        <f ca="1">+WORLDCUP!BD62</f>
        <v>Costa de Marfil</v>
      </c>
      <c r="J487" s="7" t="str">
        <f ca="1">+WORLDCUP!BD66</f>
        <v>Noruega</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República Checa</v>
      </c>
      <c r="H488" s="7" t="str">
        <f ca="1">+WORLDCUP!BD61</f>
        <v>Turquía</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República Checa</v>
      </c>
      <c r="H489" s="7" t="str">
        <f ca="1">+WORLDCUP!BD63</f>
        <v>Suecia</v>
      </c>
      <c r="I489" s="7" t="str">
        <f ca="1">+WORLDCUP!BD61</f>
        <v>Turquía</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Bosnia y Herzegovina</v>
      </c>
      <c r="F490" s="7" t="str">
        <f ca="1">+WORLDCUP!BD60</f>
        <v>Escocia</v>
      </c>
      <c r="G490" s="7" t="str">
        <f ca="1">+WORLDCUP!BD58</f>
        <v>República Checa</v>
      </c>
      <c r="H490" s="7" t="str">
        <f ca="1">+WORLDCUP!BD63</f>
        <v>Suecia</v>
      </c>
      <c r="I490" s="7" t="str">
        <f ca="1">+WORLDCUP!BD61</f>
        <v>Turquía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República Checa</v>
      </c>
      <c r="H491" s="7" t="str">
        <f ca="1">+WORLDCUP!BD63</f>
        <v>Suecia</v>
      </c>
      <c r="I491" s="7" t="str">
        <f ca="1">+WORLDCUP!BD61</f>
        <v>Turquía</v>
      </c>
      <c r="J491" s="7" t="str">
        <f ca="1">+WORLDCUP!BD66</f>
        <v>Noruega</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Egipto</v>
      </c>
      <c r="E492" s="7" t="str">
        <f ca="1">+WORLDCUP!BD59</f>
        <v>Bosnia y Herzegovina</v>
      </c>
      <c r="F492" s="7" t="str">
        <f ca="1">+WORLDCUP!BD61</f>
        <v>Turquía</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Egipto</v>
      </c>
      <c r="E493" s="7" t="str">
        <f ca="1">+WORLDCUP!BD59</f>
        <v>Bosnia y Herzegovina</v>
      </c>
      <c r="F493" s="7" t="str">
        <f ca="1">+WORLDCUP!BD61</f>
        <v>Turquía</v>
      </c>
      <c r="G493" s="7" t="str">
        <f ca="1">+WORLDCUP!BD58</f>
        <v>República Checa</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Egipto</v>
      </c>
      <c r="E494" s="7" t="str">
        <f ca="1">+WORLDCUP!BD59</f>
        <v>Bosnia y Herzegovina</v>
      </c>
      <c r="F494" s="7" t="str">
        <f ca="1">+WORLDCUP!BD61</f>
        <v>Turquía</v>
      </c>
      <c r="G494" s="7" t="str">
        <f ca="1">+WORLDCUP!BD58</f>
        <v>República Checa</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Egipto</v>
      </c>
      <c r="E495" s="7" t="str">
        <f ca="1">+WORLDCUP!BD59</f>
        <v>Bosnia y Herzegovina</v>
      </c>
      <c r="F495" s="7" t="str">
        <f ca="1">+WORLDCUP!BD61</f>
        <v>Turquía</v>
      </c>
      <c r="G495" s="7" t="str">
        <f ca="1">+WORLDCUP!BD58</f>
        <v>República Checa</v>
      </c>
      <c r="H495" s="7" t="str">
        <f ca="1">+WORLDCUP!BD63</f>
        <v>Suecia</v>
      </c>
      <c r="I495" s="7" t="str">
        <f ca="1">+WORLDCUP!BD62</f>
        <v>Costa de Marfil</v>
      </c>
      <c r="J495" s="7" t="str">
        <f ca="1">+WORLDCUP!BD66</f>
        <v>Noruega</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Egipto</v>
      </c>
      <c r="E496" s="7" t="str">
        <f ca="1">+WORLDCUP!BD59</f>
        <v>Bosnia y Herzegovina</v>
      </c>
      <c r="F496" s="7" t="str">
        <f ca="1">+WORLDCUP!BD60</f>
        <v>Escocia</v>
      </c>
      <c r="G496" s="7" t="str">
        <f ca="1">+WORLDCUP!BD58</f>
        <v>República Checa</v>
      </c>
      <c r="H496" s="7" t="str">
        <f ca="1">+WORLDCUP!BD63</f>
        <v>Suecia</v>
      </c>
      <c r="I496" s="7" t="str">
        <f ca="1">+WORLDCUP!BD61</f>
        <v>Turquía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2">
        <v>#VALUE!</v>
      </c>
      <c r="Y87" s="7">
        <v>3.5</v>
      </c>
      <c r="Z87" s="5"/>
      <c r="AA87" s="5"/>
      <c r="AB87" s="5"/>
    </row>
    <row r="88" spans="12:28">
      <c r="L88" s="3"/>
      <c r="M88" s="3"/>
      <c r="N88" s="3"/>
      <c r="O88" s="5"/>
      <c r="P88" s="5"/>
      <c r="Q88" s="5"/>
      <c r="R88" s="5"/>
      <c r="T88" s="13" t="s">
        <v>1479</v>
      </c>
      <c r="U88" s="7" t="s">
        <v>1464</v>
      </c>
      <c r="V88" s="7" t="s">
        <v>1465</v>
      </c>
      <c r="W88" s="7" t="s">
        <v>1466</v>
      </c>
      <c r="X88" s="571" t="e" vm="3">
        <v>#VALUE!</v>
      </c>
      <c r="Y88" s="7">
        <v>4</v>
      </c>
      <c r="Z88" s="5"/>
      <c r="AA88" s="5"/>
      <c r="AB88" s="5"/>
    </row>
    <row r="89" spans="12:28" ht="15.6">
      <c r="L89" s="3"/>
      <c r="M89" s="3"/>
      <c r="N89" s="3"/>
      <c r="O89" s="5"/>
      <c r="P89" s="5"/>
      <c r="Q89" s="5"/>
      <c r="R89" s="5"/>
      <c r="T89" s="13" t="s">
        <v>1480</v>
      </c>
      <c r="U89" s="7" t="s">
        <v>1467</v>
      </c>
      <c r="V89" s="7" t="s">
        <v>1467</v>
      </c>
      <c r="W89" s="572" t="s">
        <v>1469</v>
      </c>
      <c r="X89" s="571" t="e" vm="4">
        <v>#VALUE!</v>
      </c>
      <c r="Y89" s="7">
        <v>-4</v>
      </c>
      <c r="Z89" s="5"/>
      <c r="AA89" s="5"/>
      <c r="AB89" s="5"/>
    </row>
    <row r="90" spans="12:28" ht="15.6">
      <c r="L90" s="3"/>
      <c r="M90" s="3"/>
      <c r="N90" s="3"/>
      <c r="O90" s="5"/>
      <c r="P90" s="5"/>
      <c r="Q90" s="5"/>
      <c r="R90" s="5"/>
      <c r="T90" s="13" t="s">
        <v>1481</v>
      </c>
      <c r="U90" s="7" t="s">
        <v>1468</v>
      </c>
      <c r="V90" s="7" t="s">
        <v>1471</v>
      </c>
      <c r="W90" s="573" t="s">
        <v>1470</v>
      </c>
      <c r="X90" s="571" t="e" vm="5">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6">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7">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8">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9">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10">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11">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12">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13">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14">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15">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16">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17">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18">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19">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20">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21">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22">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23">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24">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25">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26">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27">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28">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29">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30">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31">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32">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33">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34">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35">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36">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37">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38">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39">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40">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41">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42">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43">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44">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45">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46">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47">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48">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49">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50">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51">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52">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Evest Evest</cp:lastModifiedBy>
  <cp:lastPrinted>2018-12-06T18:06:35Z</cp:lastPrinted>
  <dcterms:created xsi:type="dcterms:W3CDTF">2015-10-31T09:41:54Z</dcterms:created>
  <dcterms:modified xsi:type="dcterms:W3CDTF">2026-06-09T18:33:38Z</dcterms:modified>
</cp:coreProperties>
</file>