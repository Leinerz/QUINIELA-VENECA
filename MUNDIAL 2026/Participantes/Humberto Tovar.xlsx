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AB9F0B9D-E726-4FC2-9022-C0AB739010A8}"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5" i="36"/>
  <c r="B95" i="31" s="1"/>
  <c r="D49" i="36"/>
  <c r="AL149" i="3"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142" i="36"/>
  <c r="B82" i="31" s="1"/>
  <c r="D146" i="36"/>
  <c r="B86"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7" i="36"/>
  <c r="X3" i="3" s="1"/>
  <c r="D171" i="36"/>
  <c r="B111" i="31" s="1"/>
  <c r="D39" i="36"/>
  <c r="W156" i="3" s="1"/>
  <c r="B255" i="31" s="1"/>
  <c r="D164" i="36"/>
  <c r="B104" i="31" s="1"/>
  <c r="D172" i="36"/>
  <c r="B112" i="31" s="1"/>
  <c r="D127" i="36"/>
  <c r="B129" i="31" s="1"/>
  <c r="D38" i="36"/>
  <c r="W155" i="3" s="1"/>
  <c r="B254" i="31" s="1"/>
  <c r="D264" i="36"/>
  <c r="D263" i="36"/>
  <c r="D269" i="36"/>
  <c r="D266" i="36"/>
  <c r="D66" i="36"/>
  <c r="D35" i="36"/>
  <c r="W151" i="3" s="1"/>
  <c r="B251" i="31" s="1"/>
  <c r="D9" i="36"/>
  <c r="D70" i="36"/>
  <c r="D95" i="36"/>
  <c r="L21" i="34" s="1"/>
  <c r="D88" i="36"/>
  <c r="L12" i="34" s="1"/>
  <c r="D89" i="36"/>
  <c r="L13" i="34" s="1"/>
  <c r="D91" i="36"/>
  <c r="L15" i="34" s="1"/>
  <c r="D85" i="36"/>
  <c r="L5" i="34" s="1"/>
  <c r="D93" i="36"/>
  <c r="D94" i="36"/>
  <c r="L20" i="34" s="1"/>
  <c r="D10" i="36"/>
  <c r="D52" i="36"/>
  <c r="AL5" i="3" s="1"/>
  <c r="D8" i="36" l="1"/>
  <c r="B3" i="30" s="1"/>
  <c r="D187" i="36"/>
  <c r="B127" i="31" s="1"/>
  <c r="D181" i="36"/>
  <c r="B121" i="31" s="1"/>
  <c r="D120" i="36"/>
  <c r="E253" i="31" s="1"/>
  <c r="D81" i="36"/>
  <c r="B16" i="34" s="1"/>
  <c r="D261" i="36"/>
  <c r="D255" i="36"/>
  <c r="D168" i="36"/>
  <c r="B108" i="31" s="1"/>
  <c r="D31" i="36"/>
  <c r="W141" i="3" s="1"/>
  <c r="D102" i="36"/>
  <c r="C1" i="31" s="1"/>
  <c r="D106" i="36"/>
  <c r="E1" i="31" s="1"/>
  <c r="D256" i="36"/>
  <c r="D69" i="36"/>
  <c r="D47" i="36"/>
  <c r="AL148" i="3" s="1"/>
  <c r="D21" i="36"/>
  <c r="AC3" i="3" s="1"/>
  <c r="AC11" i="3" s="1"/>
  <c r="D145" i="36"/>
  <c r="B85" i="31" s="1"/>
  <c r="D184" i="36"/>
  <c r="B124" i="31" s="1"/>
  <c r="D22" i="36"/>
  <c r="AF3" i="3" s="1"/>
  <c r="AF146" i="3" s="1"/>
  <c r="D125" i="36"/>
  <c r="B5" i="31" s="1"/>
  <c r="D24" i="36"/>
  <c r="AV3" i="3" s="1"/>
  <c r="D132" i="36"/>
  <c r="B219" i="31" s="1"/>
  <c r="D136" i="36"/>
  <c r="B239" i="31" s="1"/>
  <c r="D37" i="36"/>
  <c r="W154" i="3" s="1"/>
  <c r="B253" i="31" s="1"/>
  <c r="D160" i="36"/>
  <c r="B100" i="31" s="1"/>
  <c r="D271" i="36"/>
  <c r="D60" i="36"/>
  <c r="AT5" i="3" s="1"/>
  <c r="AT45" i="3" s="1"/>
  <c r="D262" i="36"/>
  <c r="D40" i="36"/>
  <c r="W158" i="3" s="1"/>
  <c r="B256" i="31" s="1"/>
  <c r="D48" i="36"/>
  <c r="AM148" i="3" s="1"/>
  <c r="D108" i="36"/>
  <c r="E4" i="31" s="1"/>
  <c r="D259" i="36"/>
  <c r="D56" i="36"/>
  <c r="AP5" i="3" s="1"/>
  <c r="AP53" i="3" s="1"/>
  <c r="D119" i="36"/>
  <c r="E244" i="31" s="1"/>
  <c r="D30" i="36"/>
  <c r="W136" i="3" s="1"/>
  <c r="D46" i="36"/>
  <c r="C9" i="30" s="1"/>
  <c r="D183" i="36"/>
  <c r="B123" i="31" s="1"/>
  <c r="D5" i="36"/>
  <c r="E16" i="30" s="1"/>
  <c r="D152" i="36"/>
  <c r="B92" i="31" s="1"/>
  <c r="AV25" i="45"/>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Z80" i="3"/>
  <c r="Z56" i="3"/>
  <c r="Z33" i="3"/>
  <c r="AJ29" i="3"/>
  <c r="AJ21" i="3"/>
  <c r="AJ45" i="3"/>
  <c r="C253" i="31"/>
  <c r="C258" i="31"/>
  <c r="C257" i="31"/>
  <c r="D72" i="36"/>
  <c r="AY3" i="3" s="1"/>
  <c r="D273" i="36"/>
  <c r="EU6144" i="34"/>
  <c r="G227" i="36" s="1"/>
  <c r="D227" i="36" s="1"/>
  <c r="K27" i="6" s="1"/>
  <c r="E17" i="30"/>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Z16" i="3"/>
  <c r="AM37" i="3"/>
  <c r="Z75" i="3"/>
  <c r="Z51" i="3"/>
  <c r="Z67" i="3"/>
  <c r="Z91" i="3"/>
  <c r="X146" i="3"/>
  <c r="AT29" i="3"/>
  <c r="X75" i="3"/>
  <c r="AN101" i="3"/>
  <c r="AN77" i="3"/>
  <c r="AN37" i="3"/>
  <c r="AN69" i="3"/>
  <c r="Z11" i="3"/>
  <c r="Z27" i="3" s="1"/>
  <c r="Z43" i="3" s="1"/>
  <c r="X119" i="3"/>
  <c r="AC100" i="3"/>
  <c r="AC43" i="3"/>
  <c r="AC51" i="3"/>
  <c r="Z19" i="3"/>
  <c r="Z35" i="3" s="1"/>
  <c r="J3" i="45"/>
  <c r="J11" i="45" s="1"/>
  <c r="J19" i="45" s="1"/>
  <c r="J27" i="45" s="1"/>
  <c r="J35" i="45" s="1"/>
  <c r="J43" i="45" s="1"/>
  <c r="V3" i="45" s="1"/>
  <c r="V11" i="45" s="1"/>
  <c r="V19" i="45" s="1"/>
  <c r="V27" i="45" s="1"/>
  <c r="V35" i="45" s="1"/>
  <c r="V43" i="45" s="1"/>
  <c r="AT13" i="3"/>
  <c r="AT61" i="3"/>
  <c r="AT101"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Z59" i="3"/>
  <c r="AJ93" i="3"/>
  <c r="AJ61" i="3"/>
  <c r="Z83" i="3"/>
  <c r="AJ13" i="3"/>
  <c r="AJ85" i="3"/>
  <c r="AL13" i="3"/>
  <c r="AY13" i="3" s="1"/>
  <c r="AL21" i="3"/>
  <c r="AY21" i="3" s="1"/>
  <c r="AL53" i="3"/>
  <c r="AY53" i="3" s="1"/>
  <c r="AP69" i="3"/>
  <c r="AP77" i="3"/>
  <c r="BH5" i="3"/>
  <c r="BH57" i="3" s="1"/>
  <c r="AJ77" i="3"/>
  <c r="AJ53" i="3"/>
  <c r="AJ37" i="3"/>
  <c r="AF51" i="3" l="1"/>
  <c r="AC59" i="3"/>
  <c r="AT69" i="3"/>
  <c r="AT37" i="3"/>
  <c r="AC35" i="3"/>
  <c r="B227" i="31"/>
  <c r="AZ69" i="3"/>
  <c r="AC75" i="3"/>
  <c r="AC91" i="3"/>
  <c r="Z76" i="3"/>
  <c r="AF83" i="3"/>
  <c r="AF119" i="3"/>
  <c r="AF11" i="3"/>
  <c r="AF27" i="3" s="1"/>
  <c r="AF43" i="3" s="1"/>
  <c r="AC142" i="3"/>
  <c r="AF142" i="3"/>
  <c r="AC27" i="3"/>
  <c r="AP13" i="3"/>
  <c r="AF19" i="3"/>
  <c r="AF35" i="3" s="1"/>
  <c r="AC119" i="3"/>
  <c r="AP45" i="3"/>
  <c r="AC130" i="3"/>
  <c r="AF130" i="3"/>
  <c r="AF100" i="3"/>
  <c r="AP101" i="3"/>
  <c r="AP61" i="3"/>
  <c r="AC83" i="3"/>
  <c r="AF137" i="3"/>
  <c r="AF59" i="3"/>
  <c r="AC67" i="3"/>
  <c r="AP37" i="3"/>
  <c r="AP29" i="3"/>
  <c r="AC19" i="3"/>
  <c r="AP93" i="3"/>
  <c r="AP85" i="3"/>
  <c r="AT77" i="3"/>
  <c r="BE5" i="3"/>
  <c r="BE57" i="3" s="1"/>
  <c r="Z64" i="3"/>
  <c r="AO61" i="3"/>
  <c r="Z17" i="3"/>
  <c r="Z96" i="3"/>
  <c r="BK5" i="3"/>
  <c r="BK57" i="3" s="1"/>
  <c r="Z73" i="3"/>
  <c r="Z81" i="3"/>
  <c r="K3" i="45"/>
  <c r="K11" i="45" s="1"/>
  <c r="K19" i="45" s="1"/>
  <c r="K27" i="45" s="1"/>
  <c r="K35" i="45" s="1"/>
  <c r="K43" i="45" s="1"/>
  <c r="W3" i="45" s="1"/>
  <c r="W11" i="45" s="1"/>
  <c r="W19" i="45" s="1"/>
  <c r="W27" i="45" s="1"/>
  <c r="W35" i="45" s="1"/>
  <c r="W43" i="45" s="1"/>
  <c r="AD67" i="3"/>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BU27" i="3" s="1"/>
  <c r="BU28" i="3"/>
  <c r="F46" i="3"/>
  <c r="E45" i="3"/>
  <c r="F92" i="3"/>
  <c r="F95" i="3"/>
  <c r="BW53" i="3" s="1"/>
  <c r="E97" i="3"/>
  <c r="BV52" i="3" s="1"/>
  <c r="F81" i="3"/>
  <c r="E76" i="3"/>
  <c r="E78" i="3"/>
  <c r="BW44" i="3" s="1"/>
  <c r="E48" i="3"/>
  <c r="F44" i="3"/>
  <c r="F47" i="3"/>
  <c r="E38" i="3"/>
  <c r="BW24" i="3" s="1"/>
  <c r="BW22" i="3"/>
  <c r="F41" i="3"/>
  <c r="E36" i="3"/>
  <c r="BW23" i="3" s="1"/>
  <c r="E39" i="3"/>
  <c r="F37" i="3"/>
  <c r="BU24" i="3" s="1"/>
  <c r="E41" i="3"/>
  <c r="BU34" i="3"/>
  <c r="BW34" i="3"/>
  <c r="E62" i="3"/>
  <c r="E60" i="3"/>
  <c r="BW35" i="3" s="1"/>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BW43" i="3"/>
  <c r="E80" i="3"/>
  <c r="F76" i="3"/>
  <c r="BW42" i="3" s="1"/>
  <c r="F80" i="3"/>
  <c r="E77" i="3"/>
  <c r="BW45" i="3" s="1"/>
  <c r="F78" i="3"/>
  <c r="BW36" i="3"/>
  <c r="E61" i="3"/>
  <c r="BW37" i="3" s="1"/>
  <c r="F62" i="3"/>
  <c r="BU36" i="3"/>
  <c r="F64" i="3"/>
  <c r="BU35" i="3" s="1"/>
  <c r="F72" i="3"/>
  <c r="BU41" i="3" s="1"/>
  <c r="E68" i="3"/>
  <c r="BW39" i="3" s="1"/>
  <c r="BW38" i="3"/>
  <c r="E70" i="3"/>
  <c r="BU26" i="3" l="1"/>
  <c r="BU51" i="3"/>
  <c r="BU42" i="3"/>
  <c r="BU38" i="3"/>
  <c r="BU37" i="3"/>
  <c r="BU22" i="3"/>
  <c r="BW28" i="3"/>
  <c r="BW29" i="3"/>
  <c r="BU25" i="3"/>
  <c r="BU19" i="3"/>
  <c r="BW18" i="3"/>
  <c r="BV50" i="3"/>
  <c r="BV51" i="3"/>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26" i="3" l="1"/>
  <c r="BX51" i="3"/>
  <c r="BX25" i="3"/>
  <c r="BX42" i="3"/>
  <c r="BX19"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0" i="3"/>
  <c r="H23" i="3"/>
  <c r="H25" i="3"/>
  <c r="I23" i="3"/>
  <c r="H21"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A6" i="3"/>
  <c r="CA13" i="3"/>
  <c r="CB53" i="3"/>
  <c r="CA45" i="3"/>
  <c r="CB45" i="3"/>
  <c r="CB46" i="3"/>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6" i="3"/>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4" i="3" l="1"/>
  <c r="L87" i="3"/>
  <c r="K93" i="3"/>
  <c r="L84" i="3"/>
  <c r="L97" i="3"/>
  <c r="K2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9" i="3" l="1"/>
  <c r="CF46" i="3"/>
  <c r="CF47" i="3"/>
  <c r="CF22" i="3"/>
  <c r="CF2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O93" i="3" l="1"/>
  <c r="N95" i="3"/>
  <c r="N96" i="3"/>
  <c r="O97" i="3"/>
  <c r="O95" i="3"/>
  <c r="CI42" i="3"/>
  <c r="N61" i="3"/>
  <c r="O64" i="3"/>
  <c r="O47" i="3"/>
  <c r="O44" i="3"/>
  <c r="CK36" i="3"/>
  <c r="CI36" i="3"/>
  <c r="CI51" i="3"/>
  <c r="N29" i="3"/>
  <c r="CJ50" i="3"/>
  <c r="CI9" i="3"/>
  <c r="O55" i="3"/>
  <c r="O33" i="3"/>
  <c r="CJ19" i="3" s="1"/>
  <c r="N9" i="3"/>
  <c r="N36" i="3"/>
  <c r="O41" i="3"/>
  <c r="O4" i="3"/>
  <c r="CK6" i="3" s="1"/>
  <c r="O69" i="3"/>
  <c r="CK40" i="3" s="1"/>
  <c r="CI35" i="3"/>
  <c r="N72" i="3"/>
  <c r="CK21" i="3"/>
  <c r="O30" i="3"/>
  <c r="N32" i="3"/>
  <c r="CJ18" i="3" s="1"/>
  <c r="N7" i="3"/>
  <c r="O29" i="3"/>
  <c r="CI20" i="3" s="1"/>
  <c r="N49" i="3"/>
  <c r="N52" i="3"/>
  <c r="N54" i="3"/>
  <c r="N37" i="3"/>
  <c r="CI25" i="3" s="1"/>
  <c r="CI10" i="3"/>
  <c r="N8" i="3"/>
  <c r="CK22" i="3"/>
  <c r="CK41" i="3"/>
  <c r="O52" i="3"/>
  <c r="N97" i="3"/>
  <c r="O77" i="3"/>
  <c r="CI44" i="3" s="1"/>
  <c r="N80" i="3"/>
  <c r="N55" i="3"/>
  <c r="CI31" i="3" s="1"/>
  <c r="N81" i="3"/>
  <c r="N84" i="3"/>
  <c r="CI45" i="3"/>
  <c r="O5" i="3"/>
  <c r="N47" i="3"/>
  <c r="CI27" i="3" s="1"/>
  <c r="CK46" i="3"/>
  <c r="CI33" i="3"/>
  <c r="O53" i="3"/>
  <c r="CI32" i="3" s="1"/>
  <c r="O79" i="3"/>
  <c r="N6" i="3"/>
  <c r="N86" i="3"/>
  <c r="CK48" i="3" s="1"/>
  <c r="O32" i="3"/>
  <c r="CI21" i="3" s="1"/>
  <c r="CI12" i="3"/>
  <c r="CI43" i="3"/>
  <c r="N88" i="3"/>
  <c r="N30" i="3"/>
  <c r="CK20" i="3" s="1"/>
  <c r="CK18" i="3"/>
  <c r="CI18" i="3"/>
  <c r="CK25" i="3"/>
  <c r="N73" i="3"/>
  <c r="CI34" i="3"/>
  <c r="CI15" i="3"/>
  <c r="N15" i="3"/>
  <c r="CK12" i="3" s="1"/>
  <c r="CI37" i="3"/>
  <c r="CI11" i="3"/>
  <c r="O96" i="3"/>
  <c r="CJ53" i="3" s="1"/>
  <c r="CL53" i="3" s="1"/>
  <c r="CK34" i="3"/>
  <c r="CK8" i="3"/>
  <c r="CI39" i="3"/>
  <c r="CK30" i="3"/>
  <c r="N68" i="3"/>
  <c r="CK39" i="3" s="1"/>
  <c r="CK50" i="3"/>
  <c r="O40" i="3"/>
  <c r="O15" i="3"/>
  <c r="N65" i="3"/>
  <c r="O9" i="3"/>
  <c r="CI23" i="3"/>
  <c r="O36" i="3"/>
  <c r="CJ22" i="3" s="1"/>
  <c r="CK23" i="3"/>
  <c r="O61" i="3"/>
  <c r="CJ36" i="3" s="1"/>
  <c r="CI47" i="3"/>
  <c r="CK37" i="3"/>
  <c r="N13" i="3"/>
  <c r="O68" i="3"/>
  <c r="O57" i="3"/>
  <c r="O65" i="3"/>
  <c r="N40" i="3"/>
  <c r="O31" i="3"/>
  <c r="N92" i="3"/>
  <c r="CK51" i="3" s="1"/>
  <c r="N77" i="3"/>
  <c r="CK45" i="3" s="1"/>
  <c r="CI19" i="3"/>
  <c r="CI50" i="3"/>
  <c r="O25" i="3"/>
  <c r="O37" i="3"/>
  <c r="CI24" i="3" s="1"/>
  <c r="N5" i="3"/>
  <c r="CJ9" i="3" s="1"/>
  <c r="O72" i="3"/>
  <c r="O84" i="3"/>
  <c r="CI46" i="3" s="1"/>
  <c r="O87" i="3"/>
  <c r="N60" i="3"/>
  <c r="CK35" i="3" s="1"/>
  <c r="O78" i="3"/>
  <c r="O23" i="3"/>
  <c r="N94" i="3"/>
  <c r="CK52" i="3" s="1"/>
  <c r="N39" i="3"/>
  <c r="CK38" i="3"/>
  <c r="CI52" i="3"/>
  <c r="N4" i="3"/>
  <c r="CK19" i="3"/>
  <c r="N87" i="3"/>
  <c r="N25" i="3"/>
  <c r="CK16" i="3" s="1"/>
  <c r="O22" i="3"/>
  <c r="N76" i="3"/>
  <c r="CJ43" i="3" s="1"/>
  <c r="O49" i="3"/>
  <c r="CI29" i="3" s="1"/>
  <c r="N46" i="3"/>
  <c r="CJ28" i="3" s="1"/>
  <c r="N53" i="3"/>
  <c r="N85" i="3"/>
  <c r="N44" i="3"/>
  <c r="CK27" i="3" s="1"/>
  <c r="N12" i="3"/>
  <c r="O54" i="3"/>
  <c r="O89" i="3"/>
  <c r="O56" i="3"/>
  <c r="N24" i="3"/>
  <c r="O46" i="3"/>
  <c r="CI28" i="3"/>
  <c r="O21" i="3"/>
  <c r="CI16" i="3" s="1"/>
  <c r="N45" i="3"/>
  <c r="CK32" i="3"/>
  <c r="N16" i="3"/>
  <c r="CI48" i="3"/>
  <c r="CK26" i="3"/>
  <c r="CJ48" i="3"/>
  <c r="O20" i="3"/>
  <c r="CI14" i="3" s="1"/>
  <c r="N33" i="3"/>
  <c r="CK10" i="3"/>
  <c r="N69" i="3"/>
  <c r="O73" i="3"/>
  <c r="O60" i="3"/>
  <c r="O63" i="3"/>
  <c r="CI40" i="3"/>
  <c r="O70" i="3"/>
  <c r="CK17" i="3"/>
  <c r="N22" i="3"/>
  <c r="CK42" i="3"/>
  <c r="N78" i="3"/>
  <c r="CK44" i="3" s="1"/>
  <c r="O81" i="3"/>
  <c r="N14" i="3"/>
  <c r="CK13" i="3"/>
  <c r="N23" i="3"/>
  <c r="N20" i="3"/>
  <c r="O24" i="3"/>
  <c r="N17" i="3"/>
  <c r="O14" i="3"/>
  <c r="CI13" i="3" s="1"/>
  <c r="CK33" i="3"/>
  <c r="CK53" i="3"/>
  <c r="CK14" i="3"/>
  <c r="CK49" i="3"/>
  <c r="CK31" i="3"/>
  <c r="CI49" i="3" l="1"/>
  <c r="CI26" i="3"/>
  <c r="CK47" i="3"/>
  <c r="CJ21" i="3"/>
  <c r="CL21" i="3" s="1"/>
  <c r="CK43" i="3"/>
  <c r="CI38" i="3"/>
  <c r="CI41" i="3"/>
  <c r="CK29" i="3"/>
  <c r="CK28" i="3"/>
  <c r="CL36" i="3"/>
  <c r="CI6" i="3"/>
  <c r="CI22" i="3"/>
  <c r="CL22" i="3" s="1"/>
  <c r="CK24" i="3"/>
  <c r="CK11" i="3"/>
  <c r="CI8" i="3"/>
  <c r="CK7" i="3"/>
  <c r="CI7" i="3"/>
  <c r="CL50"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J6" i="3"/>
  <c r="CJ7" i="3"/>
  <c r="CL7" i="3" s="1"/>
  <c r="CJ23" i="3"/>
  <c r="CL23" i="3" s="1"/>
  <c r="CJ37" i="3"/>
  <c r="CL37" i="3" s="1"/>
  <c r="CJ39" i="3"/>
  <c r="CL39" i="3" s="1"/>
  <c r="CJ41" i="3"/>
  <c r="CL41" i="3" s="1"/>
  <c r="CJ29" i="3"/>
  <c r="CL29" i="3" s="1"/>
  <c r="CJ27" i="3"/>
  <c r="CL27" i="3" s="1"/>
  <c r="CL26" i="3" l="1"/>
  <c r="CL6" i="3"/>
  <c r="CL8" i="3"/>
  <c r="CM45" i="3"/>
  <c r="CM53" i="3"/>
  <c r="CM48" i="3"/>
  <c r="CM16" i="3"/>
  <c r="CM40" i="3"/>
  <c r="CM30" i="3"/>
  <c r="CM17" i="3"/>
  <c r="CM15" i="3"/>
  <c r="CM34" i="3"/>
  <c r="CM31" i="3"/>
  <c r="CM33" i="3"/>
  <c r="CM47" i="3"/>
  <c r="CM43" i="3"/>
  <c r="CM35" i="3"/>
  <c r="CM18" i="3"/>
  <c r="CM20" i="3"/>
  <c r="CM44" i="3"/>
  <c r="CM14" i="3"/>
  <c r="CM38" i="3"/>
  <c r="CM42" i="3"/>
  <c r="CM28" i="3"/>
  <c r="CM24" i="3"/>
  <c r="CM11" i="3"/>
  <c r="CM13" i="3"/>
  <c r="CM12" i="3"/>
  <c r="CM10" i="3"/>
  <c r="CM32" i="3"/>
  <c r="CM9" i="3"/>
  <c r="CM7" i="3"/>
  <c r="CM29" i="3"/>
  <c r="CM39" i="3"/>
  <c r="CM41" i="3"/>
  <c r="CM36" i="3"/>
  <c r="CM23" i="3"/>
  <c r="CM52" i="3"/>
  <c r="CM37" i="3"/>
  <c r="CM6" i="3" l="1"/>
  <c r="CM46" i="3"/>
  <c r="CM51" i="3"/>
  <c r="CM26" i="3"/>
  <c r="CM8" i="3"/>
  <c r="CM49" i="3"/>
  <c r="CM19" i="3"/>
  <c r="CM50" i="3"/>
  <c r="CM25" i="3"/>
  <c r="CM27" i="3"/>
  <c r="CM21" i="3"/>
  <c r="CM22" i="3"/>
  <c r="CN11" i="3" l="1"/>
  <c r="R12" i="3" s="1"/>
  <c r="CN46" i="3"/>
  <c r="Q84" i="3" s="1"/>
  <c r="CN53" i="3"/>
  <c r="Q95" i="3" s="1"/>
  <c r="CN27" i="3"/>
  <c r="R47" i="3" s="1"/>
  <c r="CN8" i="3"/>
  <c r="Q5" i="3" s="1"/>
  <c r="CN6" i="3"/>
  <c r="Q7" i="3" s="1"/>
  <c r="CN20" i="3"/>
  <c r="R33" i="3" s="1"/>
  <c r="CN16" i="3"/>
  <c r="R25" i="3" s="1"/>
  <c r="CN15" i="3"/>
  <c r="Q25" i="3" s="1"/>
  <c r="CN40" i="3"/>
  <c r="R73" i="3" s="1"/>
  <c r="CN41" i="3"/>
  <c r="Q71" i="3" s="1"/>
  <c r="CN24" i="3"/>
  <c r="Q37" i="3" s="1"/>
  <c r="CN42" i="3"/>
  <c r="Q76" i="3" s="1"/>
  <c r="CN17" i="3"/>
  <c r="Q24" i="3" s="1"/>
  <c r="CN18" i="3"/>
  <c r="Q28" i="3" s="1"/>
  <c r="CN19" i="3"/>
  <c r="Q33" i="3" s="1"/>
  <c r="CN44" i="3"/>
  <c r="R80" i="3" s="1"/>
  <c r="CN29" i="3"/>
  <c r="Q47" i="3" s="1"/>
  <c r="CN23" i="3"/>
  <c r="R36" i="3" s="1"/>
  <c r="CN35" i="3"/>
  <c r="R63" i="3" s="1"/>
  <c r="CN39" i="3"/>
  <c r="R71" i="3" s="1"/>
  <c r="CN49" i="3"/>
  <c r="Q87" i="3" s="1"/>
  <c r="CN45" i="3"/>
  <c r="Q79" i="3" s="1"/>
  <c r="CN51" i="3"/>
  <c r="R92" i="3" s="1"/>
  <c r="CN37" i="3"/>
  <c r="R61" i="3" s="1"/>
  <c r="CN34" i="3"/>
  <c r="R65" i="3" s="1"/>
  <c r="CN13" i="3"/>
  <c r="R13" i="3" s="1"/>
  <c r="CN14" i="3"/>
  <c r="Q20" i="3" s="1"/>
  <c r="CN9" i="3"/>
  <c r="Q6" i="3" s="1"/>
  <c r="CN26" i="3"/>
  <c r="Q44" i="3" s="1"/>
  <c r="CN22" i="3"/>
  <c r="Q36" i="3" s="1"/>
  <c r="CN7" i="3"/>
  <c r="R4" i="3" s="1"/>
  <c r="CN21" i="3"/>
  <c r="Q32" i="3" s="1"/>
  <c r="CN38" i="3"/>
  <c r="Q70" i="3" s="1"/>
  <c r="CN28" i="3"/>
  <c r="R46" i="3" s="1"/>
  <c r="CN47" i="3"/>
  <c r="Q89" i="3" s="1"/>
  <c r="CN31" i="3"/>
  <c r="R52" i="3" s="1"/>
  <c r="CN43" i="3"/>
  <c r="R76" i="3" s="1"/>
  <c r="CN52" i="3"/>
  <c r="R97" i="3" s="1"/>
  <c r="CN30" i="3"/>
  <c r="R57" i="3" s="1"/>
  <c r="CN10" i="3"/>
  <c r="Q15" i="3" s="1"/>
  <c r="CN32" i="3"/>
  <c r="Q53" i="3" s="1"/>
  <c r="CN33" i="3"/>
  <c r="Q57" i="3" s="1"/>
  <c r="CN48" i="3"/>
  <c r="R89" i="3" s="1"/>
  <c r="CN36" i="3"/>
  <c r="R64" i="3" s="1"/>
  <c r="CN25" i="3"/>
  <c r="CN12" i="3"/>
  <c r="R15" i="3" s="1"/>
  <c r="CN50" i="3"/>
  <c r="Q94" i="3" s="1"/>
  <c r="Q17" i="3" l="1"/>
  <c r="R14" i="3"/>
  <c r="Q40" i="3"/>
  <c r="Q86" i="3"/>
  <c r="R88" i="3"/>
  <c r="Q48" i="3"/>
  <c r="R85" i="3"/>
  <c r="R44" i="3"/>
  <c r="Q97" i="3"/>
  <c r="Q96" i="3"/>
  <c r="R93" i="3"/>
  <c r="R95" i="3"/>
  <c r="R96" i="3"/>
  <c r="R7" i="3"/>
  <c r="Q93" i="3"/>
  <c r="R94" i="3"/>
  <c r="CO50" i="3" s="1"/>
  <c r="R79" i="3"/>
  <c r="R87" i="3"/>
  <c r="Q92" i="3"/>
  <c r="CO51" i="3" s="1"/>
  <c r="R8" i="3"/>
  <c r="Q4" i="3"/>
  <c r="Q88" i="3"/>
  <c r="Q81" i="3"/>
  <c r="Q80" i="3"/>
  <c r="Q85" i="3"/>
  <c r="R86" i="3"/>
  <c r="R84" i="3"/>
  <c r="Q73" i="3"/>
  <c r="R81" i="3"/>
  <c r="R39" i="3"/>
  <c r="R9" i="3"/>
  <c r="Q77" i="3"/>
  <c r="R78" i="3"/>
  <c r="Q78" i="3"/>
  <c r="R69" i="3"/>
  <c r="R77" i="3"/>
  <c r="Q72" i="3"/>
  <c r="CO53" i="3"/>
  <c r="CP53" i="3"/>
  <c r="Q22" i="3"/>
  <c r="CO15" i="3" s="1"/>
  <c r="R70" i="3"/>
  <c r="R22" i="3"/>
  <c r="Q29" i="3"/>
  <c r="Q69" i="3"/>
  <c r="R30" i="3"/>
  <c r="R23" i="3"/>
  <c r="R20" i="3"/>
  <c r="Q21" i="3"/>
  <c r="R21" i="3"/>
  <c r="R32" i="3"/>
  <c r="R28" i="3"/>
  <c r="Q30" i="3"/>
  <c r="CP20" i="3" s="1"/>
  <c r="R38" i="3"/>
  <c r="R31" i="3"/>
  <c r="R40" i="3"/>
  <c r="CP42" i="3"/>
  <c r="R45" i="3"/>
  <c r="R68" i="3"/>
  <c r="Q64" i="3"/>
  <c r="Q49" i="3"/>
  <c r="CP26" i="3" s="1"/>
  <c r="Q63" i="3"/>
  <c r="CO35" i="3" s="1"/>
  <c r="CP45" i="3"/>
  <c r="Q16" i="3"/>
  <c r="Q62" i="3"/>
  <c r="Q60" i="3"/>
  <c r="CO23" i="3"/>
  <c r="R53" i="3"/>
  <c r="Q65" i="3"/>
  <c r="CP23" i="3"/>
  <c r="R60" i="3"/>
  <c r="Q23" i="3"/>
  <c r="R41" i="3"/>
  <c r="R6" i="3"/>
  <c r="Q9" i="3"/>
  <c r="Q14" i="3"/>
  <c r="R29" i="3"/>
  <c r="Q8" i="3"/>
  <c r="Q38" i="3"/>
  <c r="Q31" i="3"/>
  <c r="CO19" i="3" s="1"/>
  <c r="R72" i="3"/>
  <c r="CO9" i="3"/>
  <c r="Q13" i="3"/>
  <c r="CP12" i="3"/>
  <c r="R24" i="3"/>
  <c r="R48" i="3"/>
  <c r="CO27" i="3" s="1"/>
  <c r="Q54" i="3"/>
  <c r="R5" i="3"/>
  <c r="R54" i="3"/>
  <c r="Q68" i="3"/>
  <c r="CP39" i="3" s="1"/>
  <c r="Q56" i="3"/>
  <c r="Q52" i="3"/>
  <c r="CP47" i="3"/>
  <c r="R56" i="3"/>
  <c r="CO30" i="3"/>
  <c r="R55" i="3"/>
  <c r="CP33" i="3" s="1"/>
  <c r="CO43" i="3"/>
  <c r="Q46" i="3"/>
  <c r="CO12" i="3"/>
  <c r="CP30" i="3"/>
  <c r="Q45" i="3"/>
  <c r="R49" i="3"/>
  <c r="R62" i="3"/>
  <c r="R16" i="3"/>
  <c r="Q55" i="3"/>
  <c r="CP43" i="3"/>
  <c r="Q12" i="3"/>
  <c r="CP36" i="3"/>
  <c r="CO10" i="3"/>
  <c r="CO47" i="3"/>
  <c r="Q61" i="3"/>
  <c r="CP37" i="3" s="1"/>
  <c r="Q39" i="3"/>
  <c r="Q41" i="3"/>
  <c r="R37" i="3"/>
  <c r="R17" i="3"/>
  <c r="CO18" i="3"/>
  <c r="CO45" i="3"/>
  <c r="CP35" i="3"/>
  <c r="CQ35" i="3" s="1"/>
  <c r="CP34" i="3"/>
  <c r="CO24" i="3"/>
  <c r="CO37" i="3"/>
  <c r="CQ37" i="3" s="1"/>
  <c r="CP38" i="3"/>
  <c r="CP14" i="3"/>
  <c r="CO34" i="3"/>
  <c r="CP40" i="3"/>
  <c r="CP24" i="3"/>
  <c r="CO40" i="3"/>
  <c r="CO11" i="3"/>
  <c r="CO38" i="3"/>
  <c r="CP31" i="3"/>
  <c r="CP32" i="3"/>
  <c r="CP16" i="3"/>
  <c r="CO42" i="3"/>
  <c r="CQ42" i="3" s="1"/>
  <c r="CP10" i="3"/>
  <c r="CQ10" i="3" s="1"/>
  <c r="CO31" i="3"/>
  <c r="CQ30" i="3"/>
  <c r="CO32" i="3"/>
  <c r="CP17" i="3"/>
  <c r="CP9" i="3"/>
  <c r="CQ9" i="3" s="1"/>
  <c r="CP15" i="3"/>
  <c r="CQ15" i="3" s="1"/>
  <c r="CP13" i="3"/>
  <c r="CO17" i="3"/>
  <c r="CP18" i="3"/>
  <c r="CQ18" i="3" s="1"/>
  <c r="CO16" i="3"/>
  <c r="CO20" i="3"/>
  <c r="CQ20" i="3" s="1"/>
  <c r="CO14" i="3"/>
  <c r="CP11" i="3"/>
  <c r="CQ12" i="3"/>
  <c r="CO13" i="3"/>
  <c r="CO7" i="3"/>
  <c r="CP7" i="3"/>
  <c r="CP52" i="3"/>
  <c r="CO52" i="3"/>
  <c r="CO41" i="3"/>
  <c r="CQ23" i="3"/>
  <c r="CO33" i="3"/>
  <c r="CQ33" i="3" s="1"/>
  <c r="CP41" i="3"/>
  <c r="CO36" i="3"/>
  <c r="CQ36" i="3" s="1"/>
  <c r="CP48" i="3" l="1"/>
  <c r="CP50" i="3"/>
  <c r="CQ50" i="3" s="1"/>
  <c r="CO48" i="3"/>
  <c r="CQ48" i="3" s="1"/>
  <c r="CO49" i="3"/>
  <c r="CO6" i="3"/>
  <c r="CO46" i="3"/>
  <c r="CP51" i="3"/>
  <c r="CQ51" i="3" s="1"/>
  <c r="CP46" i="3"/>
  <c r="CP49" i="3"/>
  <c r="CO25" i="3"/>
  <c r="CP44" i="3"/>
  <c r="CO44" i="3"/>
  <c r="CQ53" i="3"/>
  <c r="CP21" i="3"/>
  <c r="CO21" i="3"/>
  <c r="CP22" i="3"/>
  <c r="CQ47" i="3"/>
  <c r="CP28" i="3"/>
  <c r="CQ45" i="3"/>
  <c r="CO26" i="3"/>
  <c r="CQ26" i="3" s="1"/>
  <c r="CP19" i="3"/>
  <c r="CQ19" i="3" s="1"/>
  <c r="CO8" i="3"/>
  <c r="CP8" i="3"/>
  <c r="CP25" i="3"/>
  <c r="CP6" i="3"/>
  <c r="CP27" i="3"/>
  <c r="CQ27" i="3" s="1"/>
  <c r="CQ43" i="3"/>
  <c r="CO29" i="3"/>
  <c r="CO39" i="3"/>
  <c r="CQ39" i="3" s="1"/>
  <c r="CP29" i="3"/>
  <c r="CO28" i="3"/>
  <c r="CO22" i="3"/>
  <c r="CQ24" i="3"/>
  <c r="CQ34" i="3"/>
  <c r="CQ14" i="3"/>
  <c r="CQ16" i="3"/>
  <c r="CQ40" i="3"/>
  <c r="CQ38" i="3"/>
  <c r="CQ11" i="3"/>
  <c r="CQ31" i="3"/>
  <c r="CQ32" i="3"/>
  <c r="CQ13" i="3"/>
  <c r="CQ17" i="3"/>
  <c r="CQ7" i="3"/>
  <c r="CQ41" i="3"/>
  <c r="CQ52" i="3"/>
  <c r="CQ6" i="3" l="1"/>
  <c r="CQ49" i="3"/>
  <c r="CQ46" i="3"/>
  <c r="CQ21" i="3"/>
  <c r="CQ25" i="3"/>
  <c r="CQ44" i="3"/>
  <c r="CR44" i="3" s="1"/>
  <c r="CQ22" i="3"/>
  <c r="CQ28" i="3"/>
  <c r="CR52" i="3" s="1"/>
  <c r="CQ29" i="3"/>
  <c r="CR53" i="3" s="1"/>
  <c r="CQ8" i="3"/>
  <c r="CR31" i="3"/>
  <c r="CR41" i="3"/>
  <c r="CR45" i="3"/>
  <c r="CR43" i="3"/>
  <c r="CR30" i="3"/>
  <c r="CR42" i="3"/>
  <c r="CR38" i="3"/>
  <c r="CR33" i="3"/>
  <c r="CR40" i="3"/>
  <c r="CR39" i="3"/>
  <c r="CR35" i="3"/>
  <c r="CR34" i="3"/>
  <c r="CR24" i="3"/>
  <c r="CR36" i="3"/>
  <c r="CR17" i="3"/>
  <c r="CR14" i="3"/>
  <c r="CR20" i="3"/>
  <c r="CR15" i="3"/>
  <c r="CR16" i="3"/>
  <c r="CR18" i="3"/>
  <c r="CR10" i="3"/>
  <c r="CR7" i="3"/>
  <c r="CR11" i="3"/>
  <c r="CR32" i="3"/>
  <c r="CR9" i="3"/>
  <c r="CR13" i="3"/>
  <c r="CR12" i="3"/>
  <c r="CR37" i="3"/>
  <c r="CR23" i="3"/>
  <c r="CR49" i="3" l="1"/>
  <c r="CR22" i="3"/>
  <c r="CR26" i="3"/>
  <c r="CR28" i="3"/>
  <c r="CR29" i="3"/>
  <c r="CR25" i="3"/>
  <c r="CR27" i="3"/>
  <c r="CR8" i="3"/>
  <c r="CR21" i="3"/>
  <c r="CR50" i="3"/>
  <c r="CR48" i="3"/>
  <c r="CR6" i="3"/>
  <c r="CR47" i="3"/>
  <c r="CR46" i="3"/>
  <c r="CR51" i="3"/>
  <c r="CR19" i="3"/>
  <c r="CS29" i="3" l="1"/>
  <c r="U45" i="3" s="1"/>
  <c r="CS23" i="3"/>
  <c r="T40" i="3" s="1"/>
  <c r="CS50" i="3"/>
  <c r="T92" i="3" s="1"/>
  <c r="CS12" i="3"/>
  <c r="T13" i="3" s="1"/>
  <c r="CS34" i="3"/>
  <c r="U65" i="3" s="1"/>
  <c r="CS15" i="3"/>
  <c r="U22" i="3" s="1"/>
  <c r="CS7" i="3"/>
  <c r="U4" i="3" s="1"/>
  <c r="CS27" i="3"/>
  <c r="U47" i="3" s="1"/>
  <c r="CS14" i="3"/>
  <c r="U24" i="3" s="1"/>
  <c r="CS8" i="3"/>
  <c r="U9" i="3" s="1"/>
  <c r="CS43" i="3"/>
  <c r="T80" i="3" s="1"/>
  <c r="CS33" i="3"/>
  <c r="U53" i="3" s="1"/>
  <c r="CS24" i="3"/>
  <c r="CT24" i="3" s="1"/>
  <c r="CS37" i="3"/>
  <c r="T63" i="3" s="1"/>
  <c r="CS31" i="3"/>
  <c r="U55" i="3" s="1"/>
  <c r="CS41" i="3"/>
  <c r="T71" i="3" s="1"/>
  <c r="CS51" i="3"/>
  <c r="U92" i="3" s="1"/>
  <c r="CS40" i="3"/>
  <c r="U70" i="3" s="1"/>
  <c r="CS52" i="3"/>
  <c r="T93" i="3" s="1"/>
  <c r="CS32" i="3"/>
  <c r="U56" i="3" s="1"/>
  <c r="CS26" i="3"/>
  <c r="T46" i="3" s="1"/>
  <c r="CS11" i="3"/>
  <c r="T17" i="3" s="1"/>
  <c r="CS49" i="3"/>
  <c r="U85" i="3" s="1"/>
  <c r="CS28" i="3"/>
  <c r="U48" i="3" s="1"/>
  <c r="CS19" i="3"/>
  <c r="U31" i="3" s="1"/>
  <c r="CS21" i="3"/>
  <c r="T31" i="3" s="1"/>
  <c r="CS22" i="3"/>
  <c r="T38" i="3" s="1"/>
  <c r="CS45" i="3"/>
  <c r="T79" i="3" s="1"/>
  <c r="CS6" i="3"/>
  <c r="U8" i="3" s="1"/>
  <c r="CS25" i="3"/>
  <c r="T39" i="3" s="1"/>
  <c r="CS39" i="3"/>
  <c r="U71" i="3" s="1"/>
  <c r="CS38" i="3"/>
  <c r="T70" i="3" s="1"/>
  <c r="CS16" i="3"/>
  <c r="U23" i="3" s="1"/>
  <c r="CS44" i="3"/>
  <c r="U80" i="3" s="1"/>
  <c r="CS53" i="3"/>
  <c r="T95" i="3" s="1"/>
  <c r="CS17" i="3"/>
  <c r="T22" i="3" s="1"/>
  <c r="CS35" i="3"/>
  <c r="U63" i="3" s="1"/>
  <c r="CS9" i="3"/>
  <c r="U5" i="3" s="1"/>
  <c r="CS13" i="3"/>
  <c r="T14" i="3" s="1"/>
  <c r="CS47" i="3"/>
  <c r="U84" i="3" s="1"/>
  <c r="CS48" i="3"/>
  <c r="U89" i="3" s="1"/>
  <c r="CS10" i="3"/>
  <c r="T15" i="3" s="1"/>
  <c r="CS30" i="3"/>
  <c r="T52" i="3" s="1"/>
  <c r="CS46" i="3"/>
  <c r="U88" i="3" s="1"/>
  <c r="CS18" i="3"/>
  <c r="T30" i="3" s="1"/>
  <c r="CS20" i="3"/>
  <c r="U30" i="3" s="1"/>
  <c r="CS36" i="3"/>
  <c r="U62" i="3" s="1"/>
  <c r="CS42" i="3"/>
  <c r="T78" i="3" s="1"/>
  <c r="U36" i="3" l="1"/>
  <c r="U39" i="3"/>
  <c r="U17" i="3"/>
  <c r="T49" i="3"/>
  <c r="T47" i="3"/>
  <c r="T9" i="3"/>
  <c r="U20" i="3"/>
  <c r="T62" i="3"/>
  <c r="U96" i="3"/>
  <c r="T94" i="3"/>
  <c r="U97" i="3"/>
  <c r="CT51" i="3" s="1"/>
  <c r="U40" i="3"/>
  <c r="U94" i="3"/>
  <c r="T23" i="3"/>
  <c r="T97" i="3"/>
  <c r="T96" i="3"/>
  <c r="T55" i="3"/>
  <c r="U95" i="3"/>
  <c r="U93" i="3"/>
  <c r="T60" i="3"/>
  <c r="T24" i="3"/>
  <c r="CT34" i="3"/>
  <c r="U15" i="3"/>
  <c r="T25" i="3"/>
  <c r="U38" i="3"/>
  <c r="U44" i="3"/>
  <c r="T37" i="3"/>
  <c r="T20" i="3"/>
  <c r="CT15" i="3" s="1"/>
  <c r="U6" i="3"/>
  <c r="CT31" i="3"/>
  <c r="U61" i="3"/>
  <c r="T48" i="3"/>
  <c r="CT28" i="3" s="1"/>
  <c r="U73" i="3"/>
  <c r="U69" i="3"/>
  <c r="T56" i="3"/>
  <c r="T57" i="3"/>
  <c r="T69" i="3"/>
  <c r="U52" i="3"/>
  <c r="U76" i="3"/>
  <c r="U7" i="3"/>
  <c r="T65" i="3"/>
  <c r="T72" i="3"/>
  <c r="U79" i="3"/>
  <c r="T5" i="3"/>
  <c r="CT11" i="3"/>
  <c r="U54" i="3"/>
  <c r="U87" i="3"/>
  <c r="T33" i="3"/>
  <c r="CT40" i="3"/>
  <c r="T89" i="3"/>
  <c r="U21" i="3"/>
  <c r="U12" i="3"/>
  <c r="T64" i="3"/>
  <c r="U29" i="3"/>
  <c r="U49" i="3"/>
  <c r="T53" i="3"/>
  <c r="CT33" i="3" s="1"/>
  <c r="T45" i="3"/>
  <c r="U60" i="3"/>
  <c r="T44" i="3"/>
  <c r="CT27" i="3" s="1"/>
  <c r="CT32" i="3"/>
  <c r="T87" i="3"/>
  <c r="U14" i="3"/>
  <c r="U46" i="3"/>
  <c r="U28" i="3"/>
  <c r="U13" i="3"/>
  <c r="CT12" i="3" s="1"/>
  <c r="U77" i="3"/>
  <c r="CT44" i="3" s="1"/>
  <c r="T36" i="3"/>
  <c r="CT23" i="3" s="1"/>
  <c r="U41" i="3"/>
  <c r="T81" i="3"/>
  <c r="T88" i="3"/>
  <c r="T77" i="3"/>
  <c r="T7" i="3"/>
  <c r="T4" i="3"/>
  <c r="U68" i="3"/>
  <c r="T32" i="3"/>
  <c r="U78" i="3"/>
  <c r="U81" i="3"/>
  <c r="T21" i="3"/>
  <c r="CT17" i="3" s="1"/>
  <c r="U25" i="3"/>
  <c r="T73" i="3"/>
  <c r="T76" i="3"/>
  <c r="CT43" i="3" s="1"/>
  <c r="T12" i="3"/>
  <c r="U72" i="3"/>
  <c r="U37" i="3"/>
  <c r="T68" i="3"/>
  <c r="U16" i="3"/>
  <c r="T41" i="3"/>
  <c r="CT38" i="3"/>
  <c r="T61" i="3"/>
  <c r="CT37" i="3" s="1"/>
  <c r="T84" i="3"/>
  <c r="T8" i="3"/>
  <c r="T54" i="3"/>
  <c r="U33" i="3"/>
  <c r="U57" i="3"/>
  <c r="T85" i="3"/>
  <c r="CT49" i="3" s="1"/>
  <c r="T86" i="3"/>
  <c r="U86" i="3"/>
  <c r="U64" i="3"/>
  <c r="T28" i="3"/>
  <c r="T16" i="3"/>
  <c r="T6" i="3"/>
  <c r="T29" i="3"/>
  <c r="U32" i="3"/>
  <c r="CT35" i="3"/>
  <c r="CT7" i="3"/>
  <c r="CT53" i="3"/>
  <c r="CT14" i="3"/>
  <c r="CT42" i="3"/>
  <c r="CT45" i="3"/>
  <c r="CT20" i="3"/>
  <c r="CT30" i="3"/>
  <c r="CT18" i="3"/>
  <c r="CT16" i="3"/>
  <c r="CT13" i="3"/>
  <c r="CT41" i="3"/>
  <c r="CT39" i="3"/>
  <c r="CT10" i="3"/>
  <c r="CT52" i="3"/>
  <c r="CT9" i="3"/>
  <c r="CT36" i="3"/>
  <c r="CT50" i="3" l="1"/>
  <c r="CT8" i="3"/>
  <c r="CT22" i="3"/>
  <c r="CT48" i="3"/>
  <c r="CT26" i="3"/>
  <c r="CT47" i="3"/>
  <c r="CT29" i="3"/>
  <c r="CT25" i="3"/>
  <c r="CT6" i="3"/>
  <c r="CT46" i="3"/>
  <c r="CT21" i="3"/>
  <c r="CT19" i="3"/>
  <c r="CU53" i="3"/>
  <c r="CU43" i="3"/>
  <c r="CU45" i="3"/>
  <c r="CU44" i="3"/>
  <c r="CU24" i="3"/>
  <c r="CU41" i="3"/>
  <c r="CU38" i="3"/>
  <c r="CU30" i="3"/>
  <c r="CU10" i="3"/>
  <c r="CU20" i="3"/>
  <c r="CU35" i="3"/>
  <c r="CU31" i="3"/>
  <c r="CU18" i="3"/>
  <c r="CU11" i="3"/>
  <c r="CU32" i="3"/>
  <c r="CU33" i="3"/>
  <c r="CU15" i="3"/>
  <c r="CU14" i="3"/>
  <c r="CU42" i="3"/>
  <c r="CU34" i="3"/>
  <c r="CU17" i="3"/>
  <c r="CU12" i="3"/>
  <c r="CU16" i="3"/>
  <c r="CU40" i="3"/>
  <c r="CU39" i="3"/>
  <c r="CU37" i="3"/>
  <c r="CU23" i="3"/>
  <c r="CU9" i="3"/>
  <c r="CU7" i="3"/>
  <c r="CU52" i="3"/>
  <c r="CU13" i="3"/>
  <c r="CU36" i="3"/>
  <c r="CU47" i="3" l="1"/>
  <c r="CU48" i="3"/>
  <c r="CU29" i="3"/>
  <c r="CU26" i="3"/>
  <c r="CU6" i="3"/>
  <c r="CU28" i="3"/>
  <c r="CU51" i="3"/>
  <c r="CU21" i="3"/>
  <c r="CU46" i="3"/>
  <c r="CU25" i="3"/>
  <c r="CU27" i="3"/>
  <c r="CU50" i="3"/>
  <c r="CU22" i="3"/>
  <c r="CU8" i="3"/>
  <c r="CU19" i="3"/>
  <c r="CU49" i="3"/>
  <c r="CV30" i="3" l="1"/>
  <c r="CW30" i="3" s="1"/>
  <c r="CV26" i="3"/>
  <c r="CW26" i="3" s="1"/>
  <c r="CV53" i="3"/>
  <c r="CW53" i="3" s="1"/>
  <c r="CV31" i="3"/>
  <c r="CW31" i="3" s="1"/>
  <c r="CV32" i="3"/>
  <c r="CW32" i="3" s="1"/>
  <c r="CV39" i="3"/>
  <c r="CW39" i="3" s="1"/>
  <c r="CV37" i="3"/>
  <c r="CW37" i="3" s="1"/>
  <c r="CV52" i="3"/>
  <c r="CW52" i="3" s="1"/>
  <c r="CV44" i="3"/>
  <c r="CW44" i="3" s="1"/>
  <c r="CV47" i="3"/>
  <c r="CW47" i="3" s="1"/>
  <c r="CV34" i="3"/>
  <c r="CW34" i="3" s="1"/>
  <c r="CV20" i="3"/>
  <c r="CW20" i="3" s="1"/>
  <c r="CV13" i="3"/>
  <c r="CW13" i="3" s="1"/>
  <c r="CV14" i="3"/>
  <c r="CW14" i="3" s="1"/>
  <c r="CV23" i="3"/>
  <c r="CW23" i="3" s="1"/>
  <c r="CV12" i="3"/>
  <c r="CW12" i="3" s="1"/>
  <c r="CV21" i="3"/>
  <c r="CW21" i="3" s="1"/>
  <c r="CV17" i="3"/>
  <c r="CW17" i="3" s="1"/>
  <c r="CV10" i="3"/>
  <c r="CW10" i="3" s="1"/>
  <c r="CV51" i="3"/>
  <c r="CW51" i="3" s="1"/>
  <c r="CV18" i="3"/>
  <c r="CW18" i="3" s="1"/>
  <c r="CV38" i="3"/>
  <c r="CW38" i="3" s="1"/>
  <c r="CV45" i="3"/>
  <c r="CW45" i="3" s="1"/>
  <c r="CV35" i="3"/>
  <c r="CW35" i="3" s="1"/>
  <c r="CV49" i="3"/>
  <c r="CW49" i="3" s="1"/>
  <c r="CV50" i="3"/>
  <c r="CW50" i="3" s="1"/>
  <c r="CV40" i="3"/>
  <c r="CW40" i="3" s="1"/>
  <c r="CV6" i="3"/>
  <c r="CW6" i="3" s="1"/>
  <c r="CV15" i="3"/>
  <c r="CW15" i="3" s="1"/>
  <c r="CV41" i="3"/>
  <c r="CW41" i="3" s="1"/>
  <c r="CV25" i="3"/>
  <c r="CW25" i="3" s="1"/>
  <c r="CV46" i="3"/>
  <c r="CW46" i="3" s="1"/>
  <c r="CV8" i="3"/>
  <c r="CW8" i="3" s="1"/>
  <c r="CV19" i="3"/>
  <c r="CW19" i="3" s="1"/>
  <c r="CV27" i="3"/>
  <c r="CW27" i="3" s="1"/>
  <c r="CV29" i="3"/>
  <c r="CW29" i="3" s="1"/>
  <c r="CV28" i="3"/>
  <c r="CW28" i="3" s="1"/>
  <c r="CV22" i="3"/>
  <c r="CW22" i="3" s="1"/>
  <c r="CV7" i="3"/>
  <c r="CW7" i="3" s="1"/>
  <c r="CV36" i="3"/>
  <c r="CW36" i="3" s="1"/>
  <c r="CV9" i="3"/>
  <c r="CW9" i="3" s="1"/>
  <c r="CV43" i="3"/>
  <c r="CW43" i="3" s="1"/>
  <c r="CV33" i="3"/>
  <c r="CW33" i="3" s="1"/>
  <c r="CV24" i="3"/>
  <c r="CW24" i="3" s="1"/>
  <c r="CV11" i="3"/>
  <c r="CW11" i="3" s="1"/>
  <c r="CV16" i="3"/>
  <c r="CW16" i="3" s="1"/>
  <c r="CV48" i="3"/>
  <c r="CW48" i="3" s="1"/>
  <c r="CV42" i="3"/>
  <c r="CW42" i="3" s="1"/>
  <c r="CX45" i="3" l="1"/>
  <c r="CX50" i="3"/>
  <c r="CX39" i="3"/>
  <c r="CX7" i="3"/>
  <c r="CX16" i="3"/>
  <c r="CX35" i="3"/>
  <c r="CX33" i="3"/>
  <c r="CX28" i="3"/>
  <c r="CX32" i="3"/>
  <c r="CX34" i="3"/>
  <c r="CX26" i="3"/>
  <c r="CX37" i="3"/>
  <c r="CX9" i="3"/>
  <c r="CX46" i="3"/>
  <c r="CX29" i="3"/>
  <c r="CX17" i="3"/>
  <c r="CX11" i="3"/>
  <c r="CX18" i="3"/>
  <c r="CX43" i="3"/>
  <c r="CX24" i="3"/>
  <c r="CX38" i="3"/>
  <c r="CX6" i="3"/>
  <c r="CX15" i="3"/>
  <c r="CX27" i="3"/>
  <c r="CX21" i="3"/>
  <c r="CX25" i="3"/>
  <c r="CX23" i="3"/>
  <c r="CX53" i="3"/>
  <c r="CX20" i="3"/>
  <c r="CX40" i="3"/>
  <c r="CX47" i="3"/>
  <c r="CX10" i="3"/>
  <c r="CX19" i="3"/>
  <c r="CX12" i="3"/>
  <c r="CX48" i="3"/>
  <c r="CX8" i="3"/>
  <c r="CX41" i="3"/>
  <c r="CX36" i="3"/>
  <c r="CX49" i="3"/>
  <c r="CX30" i="3"/>
  <c r="CX51" i="3"/>
  <c r="CX22" i="3"/>
  <c r="CX44" i="3"/>
  <c r="CX13" i="3"/>
  <c r="CX31" i="3"/>
  <c r="CX42" i="3"/>
  <c r="CX52" i="3"/>
  <c r="CX14" i="3"/>
  <c r="CY47" i="3" l="1"/>
  <c r="CZ47" i="3" s="1"/>
  <c r="CY36" i="3"/>
  <c r="CZ36" i="3" s="1"/>
  <c r="CY24" i="3"/>
  <c r="CZ24" i="3" s="1"/>
  <c r="CY43" i="3"/>
  <c r="CZ43" i="3" s="1"/>
  <c r="CY44" i="3"/>
  <c r="CZ44" i="3" s="1"/>
  <c r="CY17" i="3"/>
  <c r="CZ17" i="3" s="1"/>
  <c r="CY25" i="3"/>
  <c r="CZ25" i="3" s="1"/>
  <c r="CY11" i="3"/>
  <c r="CZ11" i="3" s="1"/>
  <c r="CY38" i="3"/>
  <c r="CZ38" i="3" s="1"/>
  <c r="CY15" i="3"/>
  <c r="CZ15" i="3" s="1"/>
  <c r="CY27" i="3"/>
  <c r="CZ27" i="3" s="1"/>
  <c r="CY30" i="3"/>
  <c r="CZ30" i="3" s="1"/>
  <c r="CY9" i="3"/>
  <c r="CZ9" i="3" s="1"/>
  <c r="CY13" i="3"/>
  <c r="CZ13" i="3" s="1"/>
  <c r="CY41" i="3"/>
  <c r="CZ41" i="3" s="1"/>
  <c r="CY49" i="3"/>
  <c r="CZ49" i="3" s="1"/>
  <c r="CY46" i="3"/>
  <c r="CZ46" i="3" s="1"/>
  <c r="CY19" i="3"/>
  <c r="CZ19" i="3" s="1"/>
  <c r="CY21" i="3"/>
  <c r="CZ21" i="3" s="1"/>
  <c r="CY51" i="3"/>
  <c r="CZ51" i="3" s="1"/>
  <c r="CY26" i="3"/>
  <c r="CZ26" i="3" s="1"/>
  <c r="CY7" i="3"/>
  <c r="CZ7" i="3" s="1"/>
  <c r="CY22" i="3"/>
  <c r="CZ22" i="3" s="1"/>
  <c r="CY33" i="3"/>
  <c r="CZ33" i="3" s="1"/>
  <c r="CY35" i="3"/>
  <c r="CZ35" i="3" s="1"/>
  <c r="CY32" i="3"/>
  <c r="CZ32" i="3" s="1"/>
  <c r="CY37" i="3"/>
  <c r="CZ37" i="3" s="1"/>
  <c r="CY39" i="3"/>
  <c r="CZ39" i="3" s="1"/>
  <c r="CY50" i="3"/>
  <c r="CZ50" i="3" s="1"/>
  <c r="CY31" i="3"/>
  <c r="CZ31" i="3" s="1"/>
  <c r="CY52" i="3"/>
  <c r="CZ52" i="3" s="1"/>
  <c r="CY6" i="3"/>
  <c r="CZ6" i="3" s="1"/>
  <c r="CY8" i="3"/>
  <c r="CZ8" i="3" s="1"/>
  <c r="CY48" i="3"/>
  <c r="CZ48" i="3" s="1"/>
  <c r="CY16" i="3"/>
  <c r="CZ16" i="3" s="1"/>
  <c r="CY28" i="3"/>
  <c r="CZ28" i="3" s="1"/>
  <c r="CY12" i="3"/>
  <c r="CZ12" i="3" s="1"/>
  <c r="CY29" i="3"/>
  <c r="CZ29" i="3" s="1"/>
  <c r="CY23" i="3"/>
  <c r="CZ23" i="3" s="1"/>
  <c r="CY10" i="3"/>
  <c r="CZ10" i="3" s="1"/>
  <c r="CY42" i="3"/>
  <c r="CZ42" i="3" s="1"/>
  <c r="CY34" i="3"/>
  <c r="CZ34" i="3" s="1"/>
  <c r="CY45" i="3"/>
  <c r="CZ45" i="3" s="1"/>
  <c r="CY14" i="3"/>
  <c r="CZ14" i="3" s="1"/>
  <c r="CY20" i="3"/>
  <c r="CZ20" i="3" s="1"/>
  <c r="CY18" i="3"/>
  <c r="CZ18" i="3" s="1"/>
  <c r="CY53" i="3"/>
  <c r="CZ53" i="3" s="1"/>
  <c r="CY40" i="3"/>
  <c r="CZ40" i="3" s="1"/>
  <c r="DA38" i="3" l="1"/>
  <c r="DA34" i="3"/>
  <c r="DA41" i="3"/>
  <c r="DA9" i="3"/>
  <c r="DA24" i="3"/>
  <c r="DA25" i="3"/>
  <c r="DA30" i="3"/>
  <c r="DA49" i="3"/>
  <c r="DA52" i="3"/>
  <c r="DA7" i="3"/>
  <c r="DA46" i="3"/>
  <c r="DA44" i="3"/>
  <c r="DA33" i="3"/>
  <c r="DA8" i="3"/>
  <c r="DA53" i="3"/>
  <c r="DA21" i="3"/>
  <c r="DA39" i="3"/>
  <c r="DA18" i="3"/>
  <c r="DA51" i="3"/>
  <c r="DA22" i="3"/>
  <c r="DA16" i="3"/>
  <c r="DA14" i="3"/>
  <c r="DA27" i="3"/>
  <c r="DA37" i="3"/>
  <c r="DA13" i="3"/>
  <c r="DA31" i="3"/>
  <c r="DA28" i="3"/>
  <c r="DA10" i="3"/>
  <c r="DA20" i="3"/>
  <c r="DA36" i="3"/>
  <c r="DA12" i="3"/>
  <c r="DA42" i="3"/>
  <c r="DA17" i="3"/>
  <c r="DA29" i="3"/>
  <c r="DA32" i="3"/>
  <c r="DA40" i="3"/>
  <c r="DA26" i="3"/>
  <c r="DA43" i="3"/>
  <c r="DA23" i="3"/>
  <c r="DA50" i="3"/>
  <c r="DA45" i="3"/>
  <c r="DA6" i="3"/>
  <c r="DA19" i="3"/>
  <c r="DA11" i="3"/>
  <c r="DA48" i="3"/>
  <c r="DA47" i="3"/>
  <c r="DA35" i="3"/>
  <c r="DA15" i="3"/>
  <c r="DB44" i="3" l="1"/>
  <c r="DC44" i="3" s="1"/>
  <c r="DB42" i="3"/>
  <c r="DC42" i="3" s="1"/>
  <c r="DB35" i="3"/>
  <c r="DC35" i="3" s="1"/>
  <c r="DB36" i="3"/>
  <c r="DC36" i="3" s="1"/>
  <c r="DB46" i="3"/>
  <c r="DC46" i="3" s="1"/>
  <c r="DB13" i="3"/>
  <c r="DC13" i="3" s="1"/>
  <c r="DB23" i="3"/>
  <c r="DC23" i="3" s="1"/>
  <c r="DB30" i="3"/>
  <c r="DC30" i="3" s="1"/>
  <c r="DB12" i="3"/>
  <c r="DC12" i="3" s="1"/>
  <c r="DB48" i="3"/>
  <c r="DC48" i="3" s="1"/>
  <c r="DB9" i="3"/>
  <c r="DC9" i="3" s="1"/>
  <c r="DB50" i="3"/>
  <c r="DC50" i="3" s="1"/>
  <c r="DB47" i="3"/>
  <c r="DC47" i="3" s="1"/>
  <c r="DB43" i="3"/>
  <c r="DC43" i="3" s="1"/>
  <c r="DB20" i="3"/>
  <c r="DC20" i="3" s="1"/>
  <c r="DB52" i="3"/>
  <c r="DC52" i="3" s="1"/>
  <c r="DB28" i="3"/>
  <c r="DC28" i="3" s="1"/>
  <c r="DB53" i="3"/>
  <c r="DC53" i="3" s="1"/>
  <c r="DB45" i="3"/>
  <c r="DC45" i="3" s="1"/>
  <c r="DB18" i="3"/>
  <c r="DC18" i="3" s="1"/>
  <c r="DB11" i="3"/>
  <c r="DC11" i="3" s="1"/>
  <c r="DB49" i="3"/>
  <c r="DC49" i="3" s="1"/>
  <c r="DB26" i="3"/>
  <c r="DC26" i="3" s="1"/>
  <c r="DB8" i="3"/>
  <c r="DC8" i="3" s="1"/>
  <c r="DB25" i="3"/>
  <c r="DC25" i="3" s="1"/>
  <c r="DB7" i="3"/>
  <c r="DC7" i="3" s="1"/>
  <c r="DB14" i="3"/>
  <c r="DC14" i="3" s="1"/>
  <c r="DB29" i="3"/>
  <c r="DC29" i="3" s="1"/>
  <c r="DB31" i="3"/>
  <c r="DC31" i="3" s="1"/>
  <c r="DB32" i="3"/>
  <c r="DC32" i="3" s="1"/>
  <c r="DB15" i="3"/>
  <c r="DC15" i="3" s="1"/>
  <c r="DB27" i="3"/>
  <c r="DC27" i="3" s="1"/>
  <c r="DB34" i="3"/>
  <c r="DC34" i="3" s="1"/>
  <c r="DB22" i="3"/>
  <c r="DC22" i="3" s="1"/>
  <c r="DB39" i="3"/>
  <c r="DC39" i="3" s="1"/>
  <c r="DB6" i="3"/>
  <c r="DC6" i="3" s="1"/>
  <c r="DB17" i="3"/>
  <c r="DC17" i="3" s="1"/>
  <c r="DB37" i="3"/>
  <c r="DC37" i="3" s="1"/>
  <c r="DB38" i="3"/>
  <c r="DC38" i="3" s="1"/>
  <c r="DB51" i="3"/>
  <c r="DC51" i="3" s="1"/>
  <c r="DB33" i="3"/>
  <c r="DC33" i="3" s="1"/>
  <c r="DB19" i="3"/>
  <c r="DC19" i="3" s="1"/>
  <c r="DB16" i="3"/>
  <c r="DC16" i="3" s="1"/>
  <c r="DB41" i="3"/>
  <c r="DC41" i="3" s="1"/>
  <c r="DB24" i="3"/>
  <c r="DC24" i="3" s="1"/>
  <c r="DB10" i="3"/>
  <c r="DC10" i="3" s="1"/>
  <c r="DB21" i="3"/>
  <c r="DC21" i="3" s="1"/>
  <c r="DB40" i="3"/>
  <c r="DC40" i="3" s="1"/>
  <c r="DD44" i="3" l="1"/>
  <c r="BM44" i="3" s="1"/>
  <c r="DD46" i="3"/>
  <c r="BM46" i="3" s="1"/>
  <c r="DD52" i="3"/>
  <c r="BM52" i="3" s="1"/>
  <c r="DD33" i="3"/>
  <c r="BM33" i="3" s="1"/>
  <c r="DD35" i="3"/>
  <c r="BM35" i="3" s="1"/>
  <c r="DD26" i="3"/>
  <c r="BM26" i="3" s="1"/>
  <c r="DD47" i="3"/>
  <c r="BM47" i="3" s="1"/>
  <c r="DD25" i="3"/>
  <c r="BM25" i="3" s="1"/>
  <c r="DD23" i="3"/>
  <c r="BM23" i="3" s="1"/>
  <c r="DD39" i="3"/>
  <c r="BM39" i="3" s="1"/>
  <c r="DD41" i="3"/>
  <c r="BM41" i="3" s="1"/>
  <c r="DD17" i="3"/>
  <c r="BM17" i="3" s="1"/>
  <c r="DD12" i="3"/>
  <c r="BM12" i="3" s="1"/>
  <c r="DD51" i="3"/>
  <c r="BM51" i="3" s="1"/>
  <c r="DD32" i="3"/>
  <c r="BM32" i="3" s="1"/>
  <c r="DD8" i="3"/>
  <c r="BM8" i="3" s="1"/>
  <c r="DD30" i="3"/>
  <c r="BM30" i="3" s="1"/>
  <c r="DD27" i="3"/>
  <c r="BM27" i="3" s="1"/>
  <c r="DD31" i="3"/>
  <c r="BM31" i="3" s="1"/>
  <c r="DD50" i="3"/>
  <c r="BM50" i="3" s="1"/>
  <c r="DD29" i="3"/>
  <c r="BM29" i="3" s="1"/>
  <c r="DD11" i="3"/>
  <c r="BM11" i="3" s="1"/>
  <c r="DD13" i="3"/>
  <c r="BM13" i="3" s="1"/>
  <c r="DD15" i="3"/>
  <c r="BM15" i="3" s="1"/>
  <c r="DD10" i="3"/>
  <c r="BM10" i="3" s="1"/>
  <c r="DD22" i="3"/>
  <c r="BM22" i="3" s="1"/>
  <c r="DD7" i="3"/>
  <c r="BM7" i="3" s="1"/>
  <c r="DD14" i="3"/>
  <c r="BM14" i="3" s="1"/>
  <c r="DD40" i="3"/>
  <c r="BM40" i="3" s="1"/>
  <c r="DD6" i="3"/>
  <c r="BM6" i="3" s="1"/>
  <c r="DD19" i="3"/>
  <c r="BM19" i="3" s="1"/>
  <c r="DD43" i="3"/>
  <c r="BM43" i="3" s="1"/>
  <c r="DD45" i="3"/>
  <c r="BM45" i="3" s="1"/>
  <c r="DD16" i="3"/>
  <c r="BM16" i="3" s="1"/>
  <c r="DD37" i="3"/>
  <c r="BM37" i="3" s="1"/>
  <c r="DD28" i="3"/>
  <c r="BM28" i="3" s="1"/>
  <c r="DD18" i="3"/>
  <c r="BM18" i="3" s="1"/>
  <c r="DD53" i="3"/>
  <c r="BM53" i="3" s="1"/>
  <c r="DD38" i="3"/>
  <c r="BM38" i="3" s="1"/>
  <c r="DD9" i="3"/>
  <c r="BM9" i="3" s="1"/>
  <c r="DD34" i="3"/>
  <c r="BM34" i="3" s="1"/>
  <c r="DD42" i="3"/>
  <c r="BM42" i="3" s="1"/>
  <c r="DD21" i="3"/>
  <c r="BM21" i="3" s="1"/>
  <c r="DD48" i="3"/>
  <c r="BM48" i="3" s="1"/>
  <c r="DD36" i="3"/>
  <c r="BM36" i="3" s="1"/>
  <c r="DD49" i="3"/>
  <c r="BM49" i="3" s="1"/>
  <c r="DD20" i="3"/>
  <c r="BM20" i="3" s="1"/>
  <c r="DD24" i="3"/>
  <c r="BM24" i="3" s="1"/>
  <c r="DQ9" i="3" l="1"/>
  <c r="DJ9" i="3" s="1"/>
  <c r="DQ7" i="3"/>
  <c r="DJ7" i="3" s="1"/>
  <c r="AV8" i="3"/>
  <c r="DQ17" i="3"/>
  <c r="DJ17" i="3" s="1"/>
  <c r="DQ13" i="3"/>
  <c r="DJ13" i="3" s="1"/>
  <c r="AV6" i="3"/>
  <c r="DQ8" i="3"/>
  <c r="DJ8" i="3" s="1"/>
  <c r="DQ49" i="3"/>
  <c r="DJ49" i="3" s="1"/>
  <c r="AV97" i="3"/>
  <c r="DQ22" i="3"/>
  <c r="DJ22" i="3" s="1"/>
  <c r="DQ27" i="3"/>
  <c r="DJ27" i="3" s="1"/>
  <c r="AV48" i="3"/>
  <c r="DQ32" i="3"/>
  <c r="DJ32" i="3" s="1"/>
  <c r="DQ33" i="3"/>
  <c r="DJ33" i="3" s="1"/>
  <c r="AV64" i="3"/>
  <c r="DQ42" i="3"/>
  <c r="DJ42" i="3" s="1"/>
  <c r="DQ44" i="3"/>
  <c r="DJ44" i="3" s="1"/>
  <c r="DQ11" i="3"/>
  <c r="DJ11" i="3" s="1"/>
  <c r="DQ51" i="3"/>
  <c r="DJ51" i="3" s="1"/>
  <c r="AV32" i="3"/>
  <c r="AV46" i="3"/>
  <c r="DQ34" i="3"/>
  <c r="DJ34" i="3" s="1"/>
  <c r="AV72" i="3"/>
  <c r="AV49" i="3"/>
  <c r="AV88" i="3"/>
  <c r="AV9" i="3"/>
  <c r="AV71" i="3"/>
  <c r="DQ41" i="3"/>
  <c r="DJ41" i="3" s="1"/>
  <c r="AV70" i="3"/>
  <c r="AV22" i="3"/>
  <c r="AV31" i="3"/>
  <c r="DQ53" i="3"/>
  <c r="DJ53" i="3" s="1"/>
  <c r="AV86" i="3"/>
  <c r="AV30" i="3"/>
  <c r="AV41" i="3"/>
  <c r="AV65" i="3"/>
  <c r="DQ16" i="3"/>
  <c r="DJ16" i="3" s="1"/>
  <c r="AV89" i="3"/>
  <c r="AV39" i="3"/>
  <c r="DQ30" i="3"/>
  <c r="DJ30" i="3" s="1"/>
  <c r="DQ18" i="3"/>
  <c r="DJ18" i="3" s="1"/>
  <c r="DQ37" i="3"/>
  <c r="DJ37" i="3" s="1"/>
  <c r="DQ20" i="3"/>
  <c r="DJ20" i="3" s="1"/>
  <c r="AV95" i="3"/>
  <c r="AV16" i="3"/>
  <c r="AV87" i="3"/>
  <c r="AV40" i="3"/>
  <c r="AV81" i="3"/>
  <c r="AV33" i="3"/>
  <c r="DQ26" i="3"/>
  <c r="DJ26" i="3" s="1"/>
  <c r="DQ45" i="3"/>
  <c r="DJ45" i="3" s="1"/>
  <c r="AV62" i="3"/>
  <c r="AV14" i="3"/>
  <c r="DQ31" i="3"/>
  <c r="DJ31" i="3" s="1"/>
  <c r="AV80" i="3"/>
  <c r="AV54" i="3"/>
  <c r="DQ36" i="3"/>
  <c r="DJ36" i="3" s="1"/>
  <c r="DQ29" i="3"/>
  <c r="DJ29" i="3" s="1"/>
  <c r="DQ28" i="3"/>
  <c r="DJ28" i="3" s="1"/>
  <c r="AV23" i="3"/>
  <c r="AV7" i="3"/>
  <c r="DQ38" i="3"/>
  <c r="DJ38" i="3" s="1"/>
  <c r="AV15" i="3"/>
  <c r="DQ52" i="3"/>
  <c r="DJ52" i="3" s="1"/>
  <c r="AV47" i="3"/>
  <c r="AV78" i="3"/>
  <c r="DQ10" i="3"/>
  <c r="DJ10" i="3" s="1"/>
  <c r="DQ21" i="3"/>
  <c r="DJ21" i="3" s="1"/>
  <c r="DQ6" i="3"/>
  <c r="DJ6" i="3" s="1"/>
  <c r="AV63" i="3"/>
  <c r="AV55" i="3"/>
  <c r="DQ25" i="3"/>
  <c r="DJ25" i="3" s="1"/>
  <c r="AV79" i="3"/>
  <c r="DQ14" i="3"/>
  <c r="DJ14" i="3" s="1"/>
  <c r="AV24" i="3"/>
  <c r="AV94" i="3"/>
  <c r="DQ24" i="3"/>
  <c r="DJ24" i="3" s="1"/>
  <c r="DQ23" i="3"/>
  <c r="DJ23" i="3" s="1"/>
  <c r="DQ15" i="3"/>
  <c r="DJ15" i="3" s="1"/>
  <c r="DQ35" i="3"/>
  <c r="DJ35" i="3" s="1"/>
  <c r="DQ12" i="3"/>
  <c r="DJ12" i="3" s="1"/>
  <c r="AV38" i="3"/>
  <c r="AV96" i="3"/>
  <c r="DQ43" i="3"/>
  <c r="DJ43" i="3" s="1"/>
  <c r="DQ47" i="3"/>
  <c r="DJ47" i="3" s="1"/>
  <c r="DQ50" i="3"/>
  <c r="DJ50" i="3" s="1"/>
  <c r="AV57" i="3"/>
  <c r="AV25" i="3"/>
  <c r="DQ48" i="3"/>
  <c r="DJ48" i="3" s="1"/>
  <c r="AV56" i="3"/>
  <c r="AV73" i="3"/>
  <c r="DQ46" i="3"/>
  <c r="DJ46" i="3" s="1"/>
  <c r="DQ39" i="3"/>
  <c r="DJ39" i="3" s="1"/>
  <c r="DQ40" i="3"/>
  <c r="DJ40" i="3" s="1"/>
  <c r="AV17" i="3"/>
  <c r="DQ19" i="3"/>
  <c r="DJ19" i="3" s="1"/>
  <c r="DF8" i="3" l="1"/>
  <c r="DL49" i="3"/>
  <c r="AU89" i="3" s="1"/>
  <c r="DL51" i="3"/>
  <c r="AU95" i="3" s="1"/>
  <c r="DL53" i="3"/>
  <c r="AU97" i="3" s="1"/>
  <c r="DL50" i="3"/>
  <c r="DM50" i="3" s="1"/>
  <c r="DL52" i="3"/>
  <c r="AU96" i="3" s="1"/>
  <c r="DL46" i="3"/>
  <c r="AU86" i="3" s="1"/>
  <c r="DL48" i="3"/>
  <c r="AU88" i="3" s="1"/>
  <c r="DL47" i="3"/>
  <c r="AU87" i="3" s="1"/>
  <c r="DL44" i="3"/>
  <c r="AU80" i="3" s="1"/>
  <c r="DL23" i="3"/>
  <c r="AU39" i="3" s="1"/>
  <c r="DL40" i="3"/>
  <c r="AU72" i="3" s="1"/>
  <c r="DL30" i="3"/>
  <c r="AU54" i="3" s="1"/>
  <c r="DL31" i="3"/>
  <c r="AU55" i="3" s="1"/>
  <c r="DL34" i="3"/>
  <c r="AU62" i="3" s="1"/>
  <c r="DL22" i="3"/>
  <c r="AU38" i="3" s="1"/>
  <c r="DL37" i="3"/>
  <c r="AU65" i="3" s="1"/>
  <c r="DL43" i="3"/>
  <c r="AU79" i="3" s="1"/>
  <c r="DL21" i="3"/>
  <c r="AU33" i="3" s="1"/>
  <c r="DL42" i="3"/>
  <c r="AU78" i="3" s="1"/>
  <c r="DF7" i="3"/>
  <c r="DL10" i="3"/>
  <c r="AU14" i="3" s="1"/>
  <c r="DL26" i="3"/>
  <c r="DN26" i="3" s="1" a="1"/>
  <c r="DN26" i="3" s="1"/>
  <c r="DL36" i="3"/>
  <c r="AU64" i="3" s="1"/>
  <c r="DL32" i="3"/>
  <c r="AU56" i="3" s="1"/>
  <c r="DL38" i="3"/>
  <c r="AU70" i="3" s="1"/>
  <c r="DL14" i="3"/>
  <c r="DM14" i="3" s="1"/>
  <c r="DL41" i="3"/>
  <c r="AU73" i="3" s="1"/>
  <c r="DL25" i="3"/>
  <c r="AU41" i="3" s="1"/>
  <c r="DL9" i="3"/>
  <c r="AU9" i="3" s="1"/>
  <c r="DL19" i="3"/>
  <c r="AU31" i="3" s="1"/>
  <c r="DL11" i="3"/>
  <c r="DM11" i="3" s="1"/>
  <c r="DL8" i="3"/>
  <c r="AU8" i="3" s="1"/>
  <c r="DL17" i="3"/>
  <c r="AU25" i="3" s="1"/>
  <c r="DL28" i="3"/>
  <c r="AU48" i="3" s="1"/>
  <c r="DL45" i="3"/>
  <c r="DN45" i="3" s="1" a="1"/>
  <c r="DN45" i="3" s="1"/>
  <c r="DL20" i="3"/>
  <c r="DN20" i="3" s="1" a="1"/>
  <c r="DN20" i="3" s="1"/>
  <c r="DL12" i="3"/>
  <c r="AU16" i="3" s="1"/>
  <c r="DL15" i="3"/>
  <c r="AU23" i="3" s="1"/>
  <c r="DL33" i="3"/>
  <c r="AU57" i="3" s="1"/>
  <c r="DL39" i="3"/>
  <c r="AU71" i="3" s="1"/>
  <c r="DL13" i="3"/>
  <c r="AU17" i="3" s="1"/>
  <c r="DL7" i="3"/>
  <c r="DN7" i="3" s="1" a="1"/>
  <c r="DN7" i="3" s="1"/>
  <c r="DL27" i="3"/>
  <c r="AU47" i="3" s="1"/>
  <c r="DL16" i="3"/>
  <c r="AU24" i="3" s="1"/>
  <c r="DL6" i="3"/>
  <c r="AU6" i="3" s="1"/>
  <c r="DL24" i="3"/>
  <c r="AU40" i="3" s="1"/>
  <c r="DL29" i="3"/>
  <c r="DN29" i="3" s="1" a="1"/>
  <c r="DN29" i="3" s="1"/>
  <c r="DL18" i="3"/>
  <c r="AU30" i="3" s="1"/>
  <c r="DL35" i="3"/>
  <c r="AU63" i="3" s="1"/>
  <c r="DN51" i="3" l="1" a="1"/>
  <c r="DN51" i="3" s="1"/>
  <c r="DM51" i="3"/>
  <c r="AU94" i="3"/>
  <c r="AU93" i="3" s="1"/>
  <c r="AV92" i="3" s="1"/>
  <c r="DM53" i="3"/>
  <c r="DM49" i="3"/>
  <c r="DM48" i="3"/>
  <c r="AU85" i="3"/>
  <c r="AV84" i="3" s="1"/>
  <c r="DN49" i="3" a="1"/>
  <c r="DN49" i="3" s="1"/>
  <c r="DN47" i="3" a="1"/>
  <c r="DN47" i="3" s="1"/>
  <c r="DM46" i="3"/>
  <c r="DN50" i="3" a="1"/>
  <c r="DN50" i="3" s="1"/>
  <c r="DM27" i="3"/>
  <c r="DM23" i="3"/>
  <c r="DM44" i="3"/>
  <c r="DN46" i="3" a="1"/>
  <c r="DN46" i="3" s="1"/>
  <c r="DN53" i="3" a="1"/>
  <c r="DN53" i="3" s="1"/>
  <c r="DM52" i="3"/>
  <c r="DN48" i="3" a="1"/>
  <c r="DN48" i="3" s="1"/>
  <c r="DN41" i="3" a="1"/>
  <c r="DN41" i="3" s="1"/>
  <c r="AU37" i="3"/>
  <c r="AV36" i="3" s="1"/>
  <c r="DM41" i="3"/>
  <c r="DM47" i="3"/>
  <c r="DN52" i="3" a="1"/>
  <c r="DN52" i="3" s="1"/>
  <c r="DN44" i="3" a="1"/>
  <c r="DN44" i="3" s="1"/>
  <c r="DN31" i="3" a="1"/>
  <c r="DN31" i="3" s="1"/>
  <c r="DN23" i="3" a="1"/>
  <c r="DN23" i="3" s="1"/>
  <c r="AU7" i="3"/>
  <c r="AU5" i="3" s="1"/>
  <c r="AV4" i="3" s="1"/>
  <c r="DN30" i="3" a="1"/>
  <c r="DN30" i="3" s="1"/>
  <c r="DN16" i="3" a="1"/>
  <c r="DN16" i="3" s="1"/>
  <c r="DN14" i="3" a="1"/>
  <c r="DN14" i="3" s="1"/>
  <c r="AU22" i="3"/>
  <c r="AU21" i="3" s="1"/>
  <c r="AV20" i="3" s="1"/>
  <c r="DN27" i="3" a="1"/>
  <c r="DN27" i="3" s="1"/>
  <c r="DM40" i="3"/>
  <c r="DN34" i="3" a="1"/>
  <c r="DN34" i="3" s="1"/>
  <c r="DN22" i="3" a="1"/>
  <c r="DN22" i="3" s="1"/>
  <c r="DN21" i="3" a="1"/>
  <c r="DN21" i="3" s="1"/>
  <c r="DM7" i="3"/>
  <c r="DN40" i="3" a="1"/>
  <c r="DN40" i="3" s="1"/>
  <c r="DM6" i="3"/>
  <c r="DN25" i="3" a="1"/>
  <c r="DN25" i="3" s="1"/>
  <c r="AU53" i="3"/>
  <c r="AV52" i="3" s="1"/>
  <c r="DN37" i="3" a="1"/>
  <c r="DN37" i="3" s="1"/>
  <c r="DM34" i="3"/>
  <c r="DN6" i="3" a="1"/>
  <c r="DN6" i="3" s="1"/>
  <c r="DM43" i="3"/>
  <c r="DM30" i="3"/>
  <c r="DM31" i="3"/>
  <c r="DM37" i="3"/>
  <c r="DM32" i="3"/>
  <c r="DN42" i="3" a="1"/>
  <c r="DN42" i="3" s="1"/>
  <c r="DN11" i="3" a="1"/>
  <c r="DN11" i="3" s="1"/>
  <c r="AU15" i="3"/>
  <c r="AU13" i="3" s="1"/>
  <c r="AV12" i="3" s="1"/>
  <c r="DM42" i="3"/>
  <c r="DM22" i="3"/>
  <c r="AU46" i="3"/>
  <c r="DN39" i="3" a="1"/>
  <c r="DN39" i="3" s="1"/>
  <c r="DN33" i="3" a="1"/>
  <c r="DN33" i="3" s="1"/>
  <c r="DM21" i="3"/>
  <c r="DN32" i="3" a="1"/>
  <c r="DN32" i="3" s="1"/>
  <c r="DM36" i="3"/>
  <c r="AU61" i="3"/>
  <c r="AV60" i="3" s="1"/>
  <c r="DN35" i="3" a="1"/>
  <c r="DN35" i="3" s="1"/>
  <c r="DN10" i="3" a="1"/>
  <c r="DN10" i="3" s="1"/>
  <c r="DM33" i="3"/>
  <c r="DM38" i="3"/>
  <c r="AU69" i="3"/>
  <c r="AV68" i="3" s="1"/>
  <c r="DM15" i="3"/>
  <c r="DM39" i="3"/>
  <c r="DN18" i="3" a="1"/>
  <c r="DN18" i="3" s="1"/>
  <c r="DM13" i="3"/>
  <c r="DN36" i="3" a="1"/>
  <c r="DN36" i="3" s="1"/>
  <c r="DN15" i="3" a="1"/>
  <c r="DN15" i="3" s="1"/>
  <c r="DM26" i="3"/>
  <c r="DN38" i="3" a="1"/>
  <c r="DN38" i="3" s="1"/>
  <c r="DN43" i="3" a="1"/>
  <c r="DN43" i="3" s="1"/>
  <c r="DN13" i="3" a="1"/>
  <c r="DN13" i="3" s="1"/>
  <c r="DM10" i="3"/>
  <c r="DM18" i="3"/>
  <c r="AU32" i="3"/>
  <c r="AU29" i="3" s="1"/>
  <c r="AV28" i="3" s="1"/>
  <c r="DN9" i="3" a="1"/>
  <c r="DN9" i="3" s="1"/>
  <c r="DM17" i="3"/>
  <c r="AU81" i="3"/>
  <c r="AU77" i="3" s="1"/>
  <c r="AV76" i="3" s="1"/>
  <c r="DM8" i="3"/>
  <c r="DN24" i="3" a="1"/>
  <c r="DN24" i="3" s="1"/>
  <c r="DN12" i="3" a="1"/>
  <c r="DN12" i="3" s="1"/>
  <c r="DM24" i="3"/>
  <c r="DM28" i="3"/>
  <c r="DM12" i="3"/>
  <c r="DM9" i="3"/>
  <c r="DM16" i="3"/>
  <c r="DM20" i="3"/>
  <c r="DM19" i="3"/>
  <c r="AU49" i="3"/>
  <c r="DN28" i="3" a="1"/>
  <c r="DN28" i="3" s="1"/>
  <c r="DN17" i="3" a="1"/>
  <c r="DN17" i="3" s="1"/>
  <c r="DM25" i="3"/>
  <c r="DM29" i="3"/>
  <c r="DN19" i="3" a="1"/>
  <c r="DN19" i="3" s="1"/>
  <c r="DM35" i="3"/>
  <c r="DM45" i="3"/>
  <c r="DN8" i="3" a="1"/>
  <c r="DN8" i="3" s="1"/>
  <c r="DF9" i="3"/>
  <c r="AU45" i="3" l="1"/>
  <c r="AV44" i="3" s="1"/>
  <c r="DF37" i="3" s="1"/>
  <c r="DF23" i="3"/>
  <c r="DF19" i="3"/>
  <c r="DF16" i="3"/>
  <c r="DF14" i="3"/>
  <c r="DF21" i="3"/>
  <c r="DF12" i="3"/>
  <c r="DF10" i="3"/>
  <c r="DF22" i="3"/>
  <c r="DF24" i="3"/>
  <c r="DF25" i="3"/>
  <c r="DF18" i="3"/>
  <c r="DF20" i="3"/>
  <c r="DF15" i="3"/>
  <c r="DF11" i="3"/>
  <c r="DF6" i="3"/>
  <c r="DF17" i="3"/>
  <c r="DF13" i="3"/>
  <c r="DF52" i="3"/>
  <c r="DF33" i="3" l="1"/>
  <c r="DF45" i="3"/>
  <c r="DF36" i="3"/>
  <c r="DF30" i="3"/>
  <c r="DF39" i="3"/>
  <c r="DF51" i="3"/>
  <c r="DF40" i="3"/>
  <c r="DF44" i="3"/>
  <c r="DF41" i="3"/>
  <c r="DF46" i="3"/>
  <c r="DF26" i="3"/>
  <c r="DF28" i="3"/>
  <c r="DF53" i="3"/>
  <c r="DF32" i="3"/>
  <c r="DF47" i="3"/>
  <c r="DF34" i="3"/>
  <c r="DF43" i="3"/>
  <c r="DF27" i="3"/>
  <c r="DF38" i="3"/>
  <c r="DF35" i="3"/>
  <c r="DF29" i="3"/>
  <c r="DF49" i="3"/>
  <c r="DF48" i="3"/>
  <c r="DF31" i="3"/>
  <c r="DF42" i="3"/>
  <c r="DF50"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D102" i="3"/>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2" i="3" l="1"/>
  <c r="AG122" i="3" s="1"/>
  <c r="D124" i="3"/>
  <c r="M132" i="3" s="1"/>
  <c r="AA132" i="3" s="1"/>
  <c r="D132" i="3" s="1"/>
  <c r="D121" i="3"/>
  <c r="M131" i="3" s="1"/>
  <c r="AA131" i="3" s="1"/>
  <c r="D13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M133" i="3"/>
  <c r="AA133" i="3" s="1"/>
  <c r="AG121" i="3"/>
  <c r="D120" i="3"/>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C220" i="31" l="1"/>
  <c r="B220" i="31"/>
  <c r="C214" i="31"/>
  <c r="AI8" i="45"/>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M127" i="3" l="1"/>
  <c r="AA127" i="3" s="1"/>
  <c r="AG113" i="3"/>
  <c r="AG110" i="3"/>
  <c r="M125" i="3"/>
  <c r="AA125" i="3" s="1"/>
  <c r="AG107" i="3"/>
  <c r="M123" i="3"/>
  <c r="AA123" i="3" s="1"/>
  <c r="D127" i="3" l="1"/>
  <c r="C207" i="31"/>
  <c r="B207" i="31"/>
  <c r="C189" i="31"/>
  <c r="AE46" i="45"/>
  <c r="D125" i="3"/>
  <c r="C187" i="31"/>
  <c r="B205" i="31"/>
  <c r="C205" i="31"/>
  <c r="AE22" i="45"/>
  <c r="D123" i="3"/>
  <c r="C185" i="31"/>
  <c r="AE34" i="45"/>
  <c r="C203" i="31"/>
  <c r="B203" i="31"/>
  <c r="AG127" i="3" l="1"/>
  <c r="N134" i="3"/>
  <c r="AF134" i="3" s="1"/>
  <c r="D134" i="3" s="1"/>
  <c r="N132" i="3"/>
  <c r="AF132" i="3" s="1"/>
  <c r="AG125" i="3"/>
  <c r="N133" i="3"/>
  <c r="AF133" i="3" s="1"/>
  <c r="D133" i="3" s="1"/>
  <c r="AG123" i="3"/>
  <c r="AG134" i="3" l="1"/>
  <c r="N139" i="3"/>
  <c r="AF139" i="3" s="1"/>
  <c r="AG133" i="3"/>
  <c r="M139" i="3"/>
  <c r="AA139" i="3" s="1"/>
  <c r="B223" i="31"/>
  <c r="C223" i="31"/>
  <c r="AI44" i="45"/>
  <c r="C217" i="31"/>
  <c r="C221" i="31"/>
  <c r="C215" i="31"/>
  <c r="B221" i="31"/>
  <c r="AI20" i="45"/>
  <c r="B222" i="31"/>
  <c r="C222" i="31"/>
  <c r="AI32" i="45"/>
  <c r="C216" i="31"/>
  <c r="AF143" i="3" l="1"/>
  <c r="H139" i="3"/>
  <c r="AF147" i="3"/>
  <c r="D139" i="3"/>
  <c r="C229" i="31"/>
  <c r="AM38" i="45" a="1"/>
  <c r="AM38" i="45" s="1"/>
  <c r="C233" i="31"/>
  <c r="B233" i="31"/>
  <c r="C227" i="31"/>
  <c r="AM37" i="45"/>
  <c r="AA151" i="3" l="1"/>
  <c r="H147" i="3"/>
  <c r="C241" i="31"/>
  <c r="C247" i="31"/>
  <c r="AU26" i="45"/>
  <c r="B247" i="31"/>
  <c r="N147" i="3"/>
  <c r="AG139" i="3"/>
  <c r="N143" i="3"/>
  <c r="C237" i="31"/>
  <c r="B244" i="31"/>
  <c r="AQ32" i="45"/>
  <c r="C244" i="31"/>
  <c r="C251" i="31" l="1"/>
  <c r="BB23" i="45"/>
  <c r="AG151" i="3"/>
  <c r="AJ151" i="3"/>
  <c r="AJ155" i="3"/>
  <c r="BN42" i="45" l="1"/>
  <c r="BL42" i="45" s="1"/>
  <c r="BK42" i="45" s="1"/>
  <c r="BJ42" i="45" s="1"/>
  <c r="BI42" i="45" s="1"/>
  <c r="BH42" i="45" s="1"/>
  <c r="BN37" i="45"/>
  <c r="BL37" i="45" s="1"/>
  <c r="BK37" i="45" s="1"/>
  <c r="BJ37" i="45" s="1"/>
  <c r="BI37" i="45" s="1"/>
  <c r="BH37" i="45" s="1"/>
  <c r="BN28" i="45"/>
  <c r="BL28" i="45" s="1"/>
  <c r="BK28" i="45" s="1"/>
  <c r="BJ28" i="45" s="1"/>
  <c r="BI28" i="45" s="1"/>
  <c r="BH28" i="45" s="1"/>
  <c r="BN40" i="45"/>
  <c r="BL40" i="45" s="1"/>
  <c r="BK40" i="45" s="1"/>
  <c r="BJ40" i="45" s="1"/>
  <c r="BI40" i="45" s="1"/>
  <c r="BH40" i="45" s="1"/>
  <c r="BN21" i="45"/>
  <c r="BL21" i="45" s="1"/>
  <c r="BK21" i="45" s="1"/>
  <c r="BJ21" i="45" s="1"/>
  <c r="BI21" i="45" s="1"/>
  <c r="BH21" i="45" s="1"/>
  <c r="BN44" i="45"/>
  <c r="BL44" i="45" s="1"/>
  <c r="BK44" i="45" s="1"/>
  <c r="BJ44" i="45" s="1"/>
  <c r="BI44" i="45" s="1"/>
  <c r="BH44" i="45" s="1"/>
  <c r="BN32" i="45"/>
  <c r="BL32" i="45" s="1"/>
  <c r="BK32" i="45" s="1"/>
  <c r="BJ32" i="45" s="1"/>
  <c r="BI32" i="45" s="1"/>
  <c r="BH32" i="45" s="1"/>
  <c r="BN48" i="45"/>
  <c r="BL48" i="45" s="1"/>
  <c r="BK48" i="45" s="1"/>
  <c r="BJ48" i="45" s="1"/>
  <c r="BI48" i="45" s="1"/>
  <c r="BH48" i="45" s="1"/>
  <c r="BN6" i="45"/>
  <c r="BL6" i="45" s="1"/>
  <c r="BK6" i="45" s="1"/>
  <c r="BJ6" i="45" s="1"/>
  <c r="BI6" i="45" s="1"/>
  <c r="BH6" i="45" s="1"/>
  <c r="BN33" i="45"/>
  <c r="BL33" i="45" s="1"/>
  <c r="BK33" i="45" s="1"/>
  <c r="BJ33" i="45" s="1"/>
  <c r="BI33" i="45" s="1"/>
  <c r="BH33" i="45" s="1"/>
  <c r="BN39" i="45"/>
  <c r="BL39" i="45" s="1"/>
  <c r="BK39" i="45" s="1"/>
  <c r="BJ39" i="45" s="1"/>
  <c r="BI39" i="45" s="1"/>
  <c r="BH39" i="45" s="1"/>
  <c r="BN22" i="45"/>
  <c r="BL22" i="45" s="1"/>
  <c r="BK22" i="45" s="1"/>
  <c r="BJ22" i="45" s="1"/>
  <c r="BI22" i="45" s="1"/>
  <c r="BH22" i="45" s="1"/>
  <c r="BN26" i="45"/>
  <c r="BL26" i="45" s="1"/>
  <c r="BK26" i="45" s="1"/>
  <c r="BJ26" i="45" s="1"/>
  <c r="BI26" i="45" s="1"/>
  <c r="BH26" i="45" s="1"/>
  <c r="BN27" i="45"/>
  <c r="BL27" i="45" s="1"/>
  <c r="BK27" i="45" s="1"/>
  <c r="BJ27" i="45" s="1"/>
  <c r="BI27" i="45" s="1"/>
  <c r="BH27" i="45" s="1"/>
  <c r="BN23" i="45"/>
  <c r="BL23" i="45" s="1"/>
  <c r="BK23" i="45" s="1"/>
  <c r="BJ23" i="45" s="1"/>
  <c r="BI23" i="45" s="1"/>
  <c r="BH23" i="45" s="1"/>
  <c r="BN18" i="45"/>
  <c r="BL18" i="45" s="1"/>
  <c r="BK18" i="45" s="1"/>
  <c r="BJ18" i="45" s="1"/>
  <c r="BI18" i="45" s="1"/>
  <c r="BH18" i="45" s="1"/>
  <c r="BN35" i="45"/>
  <c r="BL35" i="45" s="1"/>
  <c r="BK35" i="45" s="1"/>
  <c r="BJ35" i="45" s="1"/>
  <c r="BI35" i="45" s="1"/>
  <c r="BH35" i="45" s="1"/>
  <c r="BN17" i="45"/>
  <c r="BL17" i="45" s="1"/>
  <c r="BK17" i="45" s="1"/>
  <c r="BJ17" i="45" s="1"/>
  <c r="BI17" i="45" s="1"/>
  <c r="BH17" i="45" s="1"/>
  <c r="BN12" i="45"/>
  <c r="BL12" i="45" s="1"/>
  <c r="BK12" i="45" s="1"/>
  <c r="BJ12" i="45" s="1"/>
  <c r="BI12" i="45" s="1"/>
  <c r="BH12" i="45" s="1"/>
  <c r="BN34" i="45"/>
  <c r="BL34" i="45" s="1"/>
  <c r="BK34" i="45" s="1"/>
  <c r="BJ34" i="45" s="1"/>
  <c r="BI34" i="45" s="1"/>
  <c r="BH34" i="45" s="1"/>
  <c r="BN51" i="45"/>
  <c r="BL51" i="45" s="1"/>
  <c r="BK51" i="45" s="1"/>
  <c r="BJ51" i="45" s="1"/>
  <c r="BI51" i="45" s="1"/>
  <c r="BH51" i="45" s="1"/>
  <c r="BN47" i="45"/>
  <c r="BL47" i="45" s="1"/>
  <c r="BK47" i="45" s="1"/>
  <c r="BJ47" i="45" s="1"/>
  <c r="BI47" i="45" s="1"/>
  <c r="BH47" i="45" s="1"/>
  <c r="BN20" i="45"/>
  <c r="BL20" i="45" s="1"/>
  <c r="BK20" i="45" s="1"/>
  <c r="BJ20" i="45" s="1"/>
  <c r="BI20" i="45" s="1"/>
  <c r="BH20" i="45" s="1"/>
  <c r="BN46" i="45"/>
  <c r="BL46" i="45" s="1"/>
  <c r="BK46" i="45" s="1"/>
  <c r="BJ46" i="45" s="1"/>
  <c r="BI46" i="45" s="1"/>
  <c r="BH46" i="45" s="1"/>
  <c r="BN10" i="45"/>
  <c r="BL10" i="45" s="1"/>
  <c r="BK10" i="45" s="1"/>
  <c r="BJ10" i="45" s="1"/>
  <c r="BI10" i="45" s="1"/>
  <c r="BH10" i="45" s="1"/>
  <c r="BN8" i="45"/>
  <c r="BL8" i="45" s="1"/>
  <c r="BK8" i="45" s="1"/>
  <c r="BJ8" i="45" s="1"/>
  <c r="BI8" i="45" s="1"/>
  <c r="BH8" i="45" s="1"/>
  <c r="BN5" i="45"/>
  <c r="BL5" i="45" s="1"/>
  <c r="BK5" i="45" s="1"/>
  <c r="BJ5" i="45" s="1"/>
  <c r="BI5" i="45" s="1"/>
  <c r="BH5" i="45" s="1"/>
  <c r="BN11" i="45"/>
  <c r="BL11" i="45" s="1"/>
  <c r="BK11" i="45" s="1"/>
  <c r="BJ11" i="45" s="1"/>
  <c r="BI11" i="45" s="1"/>
  <c r="BH11" i="45" s="1"/>
  <c r="BN30" i="45"/>
  <c r="BL30" i="45" s="1"/>
  <c r="BK30" i="45" s="1"/>
  <c r="BJ30" i="45" s="1"/>
  <c r="BI30" i="45" s="1"/>
  <c r="BH30" i="45" s="1"/>
  <c r="BN25" i="45"/>
  <c r="BL25" i="45" s="1"/>
  <c r="BK25" i="45" s="1"/>
  <c r="BJ25" i="45" s="1"/>
  <c r="BI25" i="45" s="1"/>
  <c r="BH25" i="45" s="1"/>
  <c r="BN31" i="45"/>
  <c r="BL31" i="45" s="1"/>
  <c r="BK31" i="45" s="1"/>
  <c r="BJ31" i="45" s="1"/>
  <c r="BI31" i="45" s="1"/>
  <c r="BH31" i="45" s="1"/>
  <c r="BN43" i="45"/>
  <c r="BL43" i="45" s="1"/>
  <c r="BK43" i="45" s="1"/>
  <c r="BJ43" i="45" s="1"/>
  <c r="BI43" i="45" s="1"/>
  <c r="BH43" i="45" s="1"/>
  <c r="BN15" i="45"/>
  <c r="BL15" i="45" s="1"/>
  <c r="BK15" i="45" s="1"/>
  <c r="BJ15" i="45" s="1"/>
  <c r="BI15" i="45" s="1"/>
  <c r="BH15" i="45" s="1"/>
  <c r="BN4" i="45"/>
  <c r="BL4" i="45" s="1"/>
  <c r="BK4" i="45" s="1"/>
  <c r="BJ4" i="45" s="1"/>
  <c r="BI4" i="45" s="1"/>
  <c r="BH4" i="45" s="1"/>
  <c r="BN14" i="45"/>
  <c r="BL14" i="45" s="1"/>
  <c r="BK14" i="45" s="1"/>
  <c r="BJ14" i="45" s="1"/>
  <c r="BI14" i="45" s="1"/>
  <c r="BH14" i="45" s="1"/>
  <c r="BN38" i="45"/>
  <c r="BL38" i="45" s="1"/>
  <c r="BK38" i="45" s="1"/>
  <c r="BJ38" i="45" s="1"/>
  <c r="BI38" i="45" s="1"/>
  <c r="BH38" i="45" s="1"/>
  <c r="BN45" i="45"/>
  <c r="BL45" i="45" s="1"/>
  <c r="BK45" i="45" s="1"/>
  <c r="BJ45" i="45" s="1"/>
  <c r="BI45" i="45" s="1"/>
  <c r="BH45" i="45" s="1"/>
  <c r="BN49" i="45"/>
  <c r="BL49" i="45" s="1"/>
  <c r="BK49" i="45" s="1"/>
  <c r="BJ49" i="45" s="1"/>
  <c r="BI49" i="45" s="1"/>
  <c r="BH49" i="45" s="1"/>
  <c r="BN19" i="45"/>
  <c r="BL19" i="45" s="1"/>
  <c r="BK19" i="45" s="1"/>
  <c r="BJ19" i="45" s="1"/>
  <c r="BI19" i="45" s="1"/>
  <c r="BH19" i="45" s="1"/>
  <c r="BN36" i="45"/>
  <c r="BL36" i="45" s="1"/>
  <c r="BK36" i="45" s="1"/>
  <c r="BJ36" i="45" s="1"/>
  <c r="BI36" i="45" s="1"/>
  <c r="BH36" i="45" s="1"/>
  <c r="BN9" i="45"/>
  <c r="BL9" i="45" s="1"/>
  <c r="BK9" i="45" s="1"/>
  <c r="BJ9" i="45" s="1"/>
  <c r="BI9" i="45" s="1"/>
  <c r="BH9" i="45" s="1"/>
  <c r="BN16" i="45"/>
  <c r="BL16" i="45" s="1"/>
  <c r="BK16" i="45" s="1"/>
  <c r="BJ16" i="45" s="1"/>
  <c r="BI16" i="45" s="1"/>
  <c r="BH16" i="45" s="1"/>
  <c r="BN13" i="45"/>
  <c r="BL13" i="45" s="1"/>
  <c r="BK13" i="45" s="1"/>
  <c r="BJ13" i="45" s="1"/>
  <c r="BI13" i="45" s="1"/>
  <c r="BH13" i="45" s="1"/>
  <c r="BN29" i="45"/>
  <c r="BL29" i="45" s="1"/>
  <c r="BK29" i="45" s="1"/>
  <c r="BJ29" i="45" s="1"/>
  <c r="BI29" i="45" s="1"/>
  <c r="BH29" i="45" s="1"/>
  <c r="BN24" i="45"/>
  <c r="BL24" i="45" s="1"/>
  <c r="BK24" i="45" s="1"/>
  <c r="BJ24" i="45" s="1"/>
  <c r="BI24" i="45" s="1"/>
  <c r="BH24" i="45" s="1"/>
  <c r="BN7" i="45"/>
  <c r="BL7" i="45" s="1"/>
  <c r="BK7" i="45" s="1"/>
  <c r="BJ7" i="45" s="1"/>
  <c r="BI7" i="45" s="1"/>
  <c r="BH7" i="45" s="1"/>
  <c r="BN50" i="45"/>
  <c r="BL50" i="45" s="1"/>
  <c r="BK50" i="45" s="1"/>
  <c r="BJ50" i="45" s="1"/>
  <c r="BI50" i="45" s="1"/>
  <c r="BH50" i="45" s="1"/>
  <c r="BN41" i="45"/>
  <c r="BL41" i="45" s="1"/>
  <c r="BK41" i="45" s="1"/>
  <c r="BJ41" i="45" s="1"/>
  <c r="BI41" i="45" s="1"/>
  <c r="BH41"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<sst xmlns="http://schemas.openxmlformats.org/spreadsheetml/2006/main" count="6777" uniqueCount="1529">
  <si>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</si>
  <si>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</si>
  <si>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</si>
  <si>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</si>
  <si>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</si>
  <si>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</si>
  <si>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</si>
  <si>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</si>
  <si>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</si>
  <si>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</si>
  <si>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</si>
  <si>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</si>
  <si>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</si>
  <si>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</si>
  <si>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</si>
  <si>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</si>
  <si>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</si>
  <si>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</si>
  <si>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</si>
  <si>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</si>
  <si>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</si>
  <si>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</si>
  <si>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</si>
  <si>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</si>
  <si>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</si>
  <si>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</si>
  <si>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</si>
  <si>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</si>
  <si>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</si>
  <si>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</si>
  <si>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</si>
  <si>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</si>
  <si>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</si>
  <si>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</si>
  <si>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</si>
  <si>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</si>
  <si>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</si>
  <si>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</si>
  <si>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</si>
  <si>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</si>
  <si>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</si>
  <si>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</si>
  <si>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</si>
  <si>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</si>
  <si>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</si>
  <si>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</si>
  <si>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</si>
  <si>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</si>
  <si>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</si>
  <si>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</si>
  <si>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</si>
  <si>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</si>
  <si>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</si>
  <si>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</si>
  <si>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</si>
  <si>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</si>
  <si>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</si>
  <si>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</si>
  <si>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</si>
  <si>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</si>
  <si>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</si>
  <si>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</si>
  <si>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</si>
  <si>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</si>
  <si>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</si>
  <si>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</si>
  <si>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</si>
  <si>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</si>
  <si>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</si>
  <si>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</si>
  <si>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</si>
  <si>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</si>
  <si>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</si>
  <si>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</si>
  <si>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</si>
  <si>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</si>
  <si>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</si>
  <si>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</si>
  <si>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</si>
  <si>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</si>
  <si>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</si>
  <si>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</si>
  <si>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</si>
  <si>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</si>
  <si>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</si>
  <si>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</si>
  <si>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</si>
  <si>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</si>
  <si>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</si>
  <si>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</si>
  <si>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</si>
  <si>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</si>
  <si>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</si>
  <si>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</si>
  <si>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</si>
  <si>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</si>
  <si>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</si>
  <si>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</si>
  <si>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</si>
  <si>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</si>
  <si>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</si>
  <si>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</si>
  <si>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</si>
  <si>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</si>
  <si>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</si>
  <si>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</si>
  <si>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</si>
  <si>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</si>
  <si>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</si>
  <si>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</si>
  <si>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</si>
  <si>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</si>
  <si>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</si>
  <si>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</si>
  <si>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</si>
  <si>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</si>
  <si>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</si>
  <si>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</si>
  <si>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</si>
  <si>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</si>
  <si>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</si>
  <si>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</si>
  <si>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</si>
  <si>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</si>
  <si>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</si>
  <si>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</si>
  <si>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</si>
  <si>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</si>
  <si>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</si>
  <si>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</si>
  <si>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</si>
  <si>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</si>
  <si>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</si>
  <si>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</si>
  <si>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</si>
  <si>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</si>
  <si>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</si>
  <si>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</si>
  <si>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</si>
  <si>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</si>
  <si>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</si>
  <si>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</si>
  <si>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</si>
  <si>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</si>
  <si>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</si>
  <si>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</si>
  <si>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</si>
  <si>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</si>
  <si>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</si>
  <si>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</si>
  <si>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</si>
  <si>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</si>
  <si>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</si>
  <si>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</si>
  <si>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</si>
  <si>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</si>
  <si>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</si>
  <si>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</si>
  <si>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</si>
  <si>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</si>
  <si>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</si>
  <si>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</si>
  <si>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</si>
  <si>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</si>
  <si>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</si>
  <si>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</si>
  <si>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</si>
  <si>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</si>
  <si>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</si>
  <si>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</si>
  <si>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</si>
  <si>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</si>
  <si>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</si>
  <si>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</si>
  <si>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</si>
  <si>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</si>
  <si>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</si>
  <si>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</si>
  <si>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</si>
  <si>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</si>
  <si>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</si>
  <si>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</si>
  <si>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</si>
  <si>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</si>
  <si>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</si>
  <si>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</si>
  <si>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</si>
  <si>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</si>
  <si>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</si>
  <si>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</si>
  <si>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</si>
  <si>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</si>
  <si>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</si>
  <si>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</si>
  <si>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</si>
  <si>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</si>
  <si>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</si>
  <si>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</si>
  <si>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</si>
  <si>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</si>
  <si>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</si>
  <si>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</si>
  <si>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</si>
  <si>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</si>
  <si>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</si>
  <si>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</si>
  <si>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</si>
  <si>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</si>
  <si>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</si>
  <si>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</si>
  <si>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</si>
  <si>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</si>
  <si>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</si>
  <si>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</si>
  <si>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</si>
  <si>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</si>
  <si>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</si>
  <si>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</si>
  <si>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</si>
  <si>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</si>
  <si>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</si>
  <si>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</si>
  <si>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</si>
  <si>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</si>
  <si>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</si>
  <si>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</si>
  <si>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</si>
  <si>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</si>
  <si>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</si>
  <si>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</si>
  <si>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</si>
  <si>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</si>
  <si>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</si>
  <si>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</si>
  <si>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</si>
  <si>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</si>
  <si>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</si>
  <si>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</si>
  <si>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</si>
  <si>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</si>
  <si>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</si>
  <si>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</si>
  <si>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</si>
  <si>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</si>
  <si>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</si>
  <si>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</si>
  <si>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</si>
  <si>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</si>
  <si>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</si>
  <si>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</si>
  <si>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</si>
  <si>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</si>
  <si>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</si>
  <si>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</si>
  <si>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</si>
  <si>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</si>
  <si>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</si>
  <si>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</si>
  <si>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</si>
  <si>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</si>
  <si>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</si>
  <si>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</si>
  <si>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</si>
  <si>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</si>
  <si>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</si>
  <si>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</si>
  <si>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</si>
  <si>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</si>
  <si>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</si>
  <si>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</si>
  <si>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</si>
  <si>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</si>
  <si>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</si>
  <si>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</si>
  <si>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</si>
  <si>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</si>
  <si>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</si>
  <si>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</si>
  <si>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</si>
  <si>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</si>
  <si>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</si>
  <si>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</si>
  <si>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</si>
  <si>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</si>
  <si>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</si>
  <si>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</si>
  <si>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</si>
  <si>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</si>
  <si>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</si>
  <si>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</si>
  <si>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</si>
  <si>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</si>
  <si>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</si>
  <si>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</si>
  <si>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</si>
  <si>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</si>
  <si>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</si>
  <si>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</si>
  <si>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</si>
  <si>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</si>
  <si>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</si>
  <si>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</si>
  <si>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</si>
  <si>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</si>
  <si>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</si>
  <si>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</si>
  <si>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</si>
  <si>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</si>
  <si>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</si>
  <si>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</si>
  <si>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</si>
  <si>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</si>
  <si>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</si>
  <si>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</si>
  <si>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</si>
  <si>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</si>
  <si>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</si>
  <si>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</si>
  <si>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</si>
  <si>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</si>
  <si>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</si>
  <si>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</si>
  <si>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</si>
  <si>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</si>
  <si>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</si>
  <si>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</si>
  <si>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</si>
  <si>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</si>
  <si>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</si>
  <si>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</si>
  <si>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</si>
  <si>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</si>
  <si>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</si>
  <si>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</si>
  <si>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</si>
  <si>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</si>
  <si>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</si>
  <si>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</si>
  <si>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</si>
  <si>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</si>
  <si>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</si>
  <si>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</si>
  <si>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</si>
  <si>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</si>
  <si>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</si>
  <si>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</si>
  <si>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</si>
  <si>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</si>
  <si>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</si>
  <si>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</si>
  <si>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</si>
  <si>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</si>
  <si>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</si>
  <si>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</si>
  <si>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</si>
  <si>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</si>
  <si>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</si>
  <si>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</si>
  <si>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</si>
  <si>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</si>
  <si>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</si>
  <si>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</si>
  <si>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</si>
  <si>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</si>
  <si>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</si>
  <si>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</si>
  <si>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</si>
  <si>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</si>
  <si>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</si>
  <si>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</si>
  <si>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</si>
  <si>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</si>
  <si>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</si>
  <si>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</si>
  <si>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</si>
  <si>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</si>
  <si>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</si>
  <si>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</si>
  <si>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</si>
  <si>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</si>
  <si>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</si>
  <si>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</si>
  <si>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</si>
  <si>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</si>
  <si>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</si>
  <si>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</si>
  <si>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</si>
  <si>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</si>
  <si>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</si>
  <si>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</si>
  <si>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</si>
  <si>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</si>
  <si>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</si>
  <si>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</si>
  <si>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</si>
  <si>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</si>
  <si>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</si>
  <si>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</si>
  <si>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</si>
  <si>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</si>
  <si>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</si>
  <si>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</si>
  <si>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</si>
  <si>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</si>
  <si>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</si>
  <si>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</si>
  <si>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</si>
  <si>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</si>
  <si>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</si>
  <si>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</si>
  <si>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</si>
  <si>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</si>
  <si>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</si>
  <si>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</si>
  <si>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</si>
  <si>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</si>
  <si>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</si>
  <si>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</si>
  <si>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</si>
  <si>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</si>
  <si>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</si>
  <si>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</si>
  <si>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</si>
  <si>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</si>
  <si>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</si>
  <si>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</si>
  <si>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</si>
  <si>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</si>
  <si>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</si>
  <si>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</si>
  <si>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</si>
  <si>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</si>
  <si>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</si>
  <si>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</si>
  <si>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</si>
  <si>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</si>
  <si>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</si>
  <si>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</si>
  <si>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</si>
  <si>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</si>
  <si>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</si>
  <si>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</si>
  <si>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</si>
  <si>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</si>
  <si>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</si>
  <si>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</si>
  <si>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</si>
  <si>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</si>
  <si>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</si>
  <si>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</si>
  <si>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</si>
  <si>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</si>
  <si>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</si>
  <si>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</si>
  <si>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</si>
  <si>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</si>
  <si>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</si>
  <si>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</si>
  <si>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</si>
  <si>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</si>
  <si>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</si>
  <si>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</si>
  <si>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</si>
  <si>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</si>
  <si>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</si>
  <si>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</si>
  <si>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</si>
  <si>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</si>
  <si>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</si>
  <si>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</si>
  <si>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</si>
  <si>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</si>
  <si>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</si>
  <si>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</si>
  <si>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</si>
  <si>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</si>
  <si>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</si>
  <si>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</si>
  <si>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</si>
  <si>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</si>
  <si>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</si>
  <si>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</si>
  <si>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</si>
  <si>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</si>
  <si>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</si>
  <si>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</si>
  <si>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</si>
  <si>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</si>
  <si>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</si>
  <si>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</si>
  <si>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</si>
  <si>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</si>
  <si>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</si>
  <si>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</si>
  <si>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</si>
  <si>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</si>
  <si>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</si>
  <si>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</si>
  <si>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</si>
  <si>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</si>
  <si>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</si>
  <si>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</si>
  <si>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</si>
  <si>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</si>
  <si>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</si>
  <si>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</si>
  <si>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</si>
  <si>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</si>
  <si>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</si>
  <si>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</si>
  <si>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</si>
  <si>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</si>
  <si>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</si>
  <si>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</si>
  <si>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</si>
  <si>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</si>
  <si>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</si>
  <si>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</si>
  <si>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</si>
  <si>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</si>
  <si>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</si>
  <si>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</si>
  <si>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</si>
  <si>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</si>
  <si>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</si>
  <si>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</si>
  <si>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</si>
  <si>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</si>
  <si>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</si>
  <si>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</si>
  <si>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</si>
  <si>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</si>
  <si>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</si>
  <si>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</si>
  <si>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</si>
  <si>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</si>
  <si>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</si>
  <si>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</si>
  <si>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</si>
  <si>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</si>
  <si>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</si>
  <si>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</si>
  <si>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</si>
  <si>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</si>
  <si>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</si>
  <si>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</si>
  <si>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</si>
  <si>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</si>
  <si>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</si>
  <si>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</si>
  <si>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</si>
  <si>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</si>
  <si>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</si>
  <si>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</si>
  <si>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</si>
  <si>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</si>
  <si>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</si>
  <si>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</si>
  <si>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</si>
  <si>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</si>
  <si>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</si>
  <si>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</si>
  <si>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</si>
  <si>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</si>
  <si>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</si>
  <si>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</si>
  <si>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</si>
  <si>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</si>
  <si>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</si>
  <si>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</si>
  <si>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</si>
  <si>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</si>
  <si>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</si>
  <si>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</si>
  <si>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</si>
  <si>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</si>
  <si>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</si>
  <si>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</si>
  <si>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</si>
  <si>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</si>
  <si>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</si>
  <si>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</si>
  <si>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</si>
  <si>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</si>
  <si>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</si>
  <si>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</si>
  <si>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</si>
  <si>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</si>
  <si>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</si>
  <si>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</si>
  <si>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</si>
  <si>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</si>
  <si>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</si>
  <si>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</si>
  <si>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</si>
  <si>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</si>
  <si>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</si>
  <si>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</si>
  <si>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</si>
  <si>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</si>
  <si>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</si>
  <si>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</si>
  <si>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</si>
  <si>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</si>
  <si>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</si>
  <si>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</si>
  <si>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</si>
  <si>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</si>
  <si>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</si>
  <si>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</si>
  <si>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</si>
  <si>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</si>
  <si>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</si>
  <si>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</si>
  <si>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</si>
  <si>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</si>
  <si>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</si>
  <si>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</si>
  <si>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</si>
  <si>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</si>
  <si>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</si>
  <si>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</si>
  <si>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</si>
  <si>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</si>
  <si>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</si>
  <si>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</si>
  <si>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</si>
  <si>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</si>
  <si>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</si>
  <si>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</si>
  <si>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</si>
  <si>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</si>
  <si>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</si>
  <si>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</si>
  <si>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</si>
  <si>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</si>
  <si>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</si>
  <si>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</si>
  <si>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</si>
  <si>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</si>
  <si>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</si>
  <si>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</si>
  <si>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</si>
  <si>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</si>
  <si>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</si>
  <si>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</si>
  <si>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</si>
  <si>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</si>
  <si>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</si>
  <si>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</si>
  <si>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</si>
  <si>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</si>
  <si>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</si>
  <si>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</si>
  <si>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</si>
  <si>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</si>
  <si>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</si>
  <si>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</si>
  <si>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</si>
  <si>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</si>
  <si>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</si>
  <si>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</si>
  <si>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</si>
  <si>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</si>
  <si>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</si>
  <si>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</si>
  <si>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</si>
  <si>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</si>
  <si>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</si>
  <si>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</si>
  <si>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</si>
  <si>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</si>
  <si>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</si>
  <si>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</si>
  <si>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</si>
  <si>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</si>
  <si>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</si>
  <si>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</si>
  <si>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</si>
  <si>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</si>
  <si>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</si>
  <si>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</si>
  <si>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</si>
  <si>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</si>
  <si>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</si>
  <si>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</si>
  <si>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</si>
  <si>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</si>
  <si>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</si>
  <si>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</si>
  <si>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</si>
  <si>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</si>
  <si>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</si>
  <si>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</si>
  <si>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</si>
  <si>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</si>
  <si>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</si>
  <si>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</si>
  <si>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</si>
  <si>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</si>
  <si>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</si>
  <si>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</si>
  <si>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</si>
  <si>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</si>
  <si>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</si>
  <si>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</si>
  <si>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</si>
  <si>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</si>
  <si>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</si>
  <si>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</si>
  <si>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</si>
  <si>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</si>
  <si>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</si>
  <si>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</si>
  <si>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</si>
  <si>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</si>
  <si>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</si>
  <si>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</si>
  <si>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</si>
  <si>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</si>
  <si>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</si>
  <si>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</si>
  <si>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</si>
  <si>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</si>
  <si>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</si>
  <si>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</si>
  <si>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</si>
  <si>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</si>
  <si>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</si>
  <si>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</si>
  <si>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</si>
  <si>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</si>
  <si>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</si>
  <si>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</si>
  <si>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</si>
  <si>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</si>
  <si>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</si>
  <si>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</si>
  <si>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</si>
  <si>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</si>
  <si>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</si>
  <si>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</si>
  <si>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</si>
  <si>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</si>
  <si>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</si>
  <si>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</si>
  <si>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</si>
  <si>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</si>
  <si>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</si>
  <si>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</si>
  <si>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</si>
  <si>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</si>
  <si>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</si>
  <si>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</si>
  <si>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</si>
  <si>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</si>
  <si>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</si>
  <si>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</si>
  <si>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</si>
  <si>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</si>
  <si>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</si>
  <si>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</si>
  <si>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</si>
  <si>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</si>
  <si>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</si>
  <si>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</si>
  <si>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</si>
  <si>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</si>
  <si>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</si>
  <si>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</si>
  <si>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</si>
  <si>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</si>
  <si>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</si>
  <si>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</si>
  <si>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</si>
  <si>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</si>
  <si>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</si>
  <si>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</si>
  <si>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</si>
  <si>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</si>
  <si>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</si>
  <si>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</si>
  <si>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</si>
  <si>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</si>
  <si>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</si>
  <si>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</si>
  <si>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</si>
  <si>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</si>
  <si>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</si>
  <si>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</si>
  <si>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</si>
  <si>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</si>
  <si>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</si>
  <si>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</si>
  <si>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</si>
  <si>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</si>
  <si>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</si>
  <si>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</si>
  <si>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</si>
  <si>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</si>
  <si>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</si>
  <si>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</si>
  <si>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</si>
  <si>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</si>
  <si>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</si>
  <si>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</si>
  <si>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</si>
  <si>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</si>
  <si>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</si>
  <si>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</si>
  <si>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</si>
  <si>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</si>
  <si>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</si>
  <si>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</si>
  <si>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</si>
  <si>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</si>
  <si>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</si>
  <si>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</si>
  <si>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</si>
  <si>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</si>
  <si>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</si>
  <si>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</si>
  <si>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</si>
  <si>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</si>
  <si>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</si>
  <si>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</si>
  <si>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</si>
  <si>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</si>
  <si>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</si>
  <si>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</si>
  <si>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</si>
  <si>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</si>
  <si>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</si>
  <si>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</si>
  <si>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</si>
  <si>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</si>
  <si>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</si>
  <si>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</si>
  <si>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</si>
  <si>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</si>
  <si>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</si>
  <si>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</si>
  <si>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</si>
  <si>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</si>
  <si>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</si>
  <si>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</si>
  <si>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</si>
  <si>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</si>
  <si>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</si>
  <si>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</si>
  <si>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</si>
  <si>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</si>
  <si>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</si>
  <si>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</si>
  <si>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</si>
  <si>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</si>
  <si>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</si>
  <si>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</si>
  <si>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</si>
  <si>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</si>
  <si>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</si>
  <si>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</si>
  <si>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</si>
  <si>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</si>
  <si>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</si>
  <si>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</si>
  <si>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</si>
  <si>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</si>
  <si>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</si>
  <si>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</si>
  <si>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</si>
  <si>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</si>
  <si>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</si>
  <si>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</si>
  <si>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</si>
  <si>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</si>
  <si>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</si>
  <si>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</si>
  <si>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</si>
  <si>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</si>
  <si>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</si>
  <si>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</si>
  <si>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</si>
  <si>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</si>
  <si>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</si>
  <si>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</si>
  <si>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</si>
  <si>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</si>
  <si>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</si>
  <si>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</si>
  <si>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</si>
  <si>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</si>
  <si>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</si>
  <si>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</si>
  <si>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</si>
  <si>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</si>
  <si>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</si>
  <si>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</si>
  <si>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</si>
  <si>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</si>
  <si>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</si>
  <si>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</si>
  <si>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</si>
  <si>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</si>
  <si>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</si>
  <si>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</si>
  <si>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</si>
  <si>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</si>
  <si>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</si>
  <si>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</si>
  <si>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</si>
  <si>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</si>
  <si>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</si>
  <si>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</si>
  <si>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</si>
  <si>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</si>
  <si>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</si>
  <si>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</si>
  <si>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</si>
  <si>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</si>
  <si>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</si>
  <si>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</si>
  <si>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</si>
  <si>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</si>
  <si>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</si>
  <si>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</si>
  <si>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</si>
  <si>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</si>
  <si>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</si>
  <si>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</si>
  <si>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</si>
  <si>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</si>
  <si>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</si>
  <si>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</si>
  <si>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</si>
  <si>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</si>
  <si>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</si>
  <si>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</si>
  <si>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</si>
  <si>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</si>
  <si>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</si>
  <si>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</si>
  <si>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</si>
  <si>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</si>
  <si>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</si>
  <si>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</si>
  <si>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</si>
  <si>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</si>
  <si>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</si>
  <si>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</si>
  <si>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</si>
  <si>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</si>
  <si>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</si>
  <si>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</si>
  <si>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</si>
  <si>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</si>
  <si>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</si>
  <si>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</si>
  <si>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</si>
  <si>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</si>
  <si>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</si>
  <si>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</si>
  <si>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</si>
  <si>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</si>
  <si>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</si>
  <si>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</si>
  <si>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</si>
  <si>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</si>
  <si>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</si>
  <si>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</si>
  <si>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</si>
  <si>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</si>
  <si>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</si>
  <si>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</si>
  <si>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</si>
  <si>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</si>
  <si>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</si>
  <si>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</si>
  <si>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</si>
  <si>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</si>
  <si>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</si>
  <si>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</si>
  <si>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</si>
  <si>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</si>
  <si>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</si>
  <si>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</si>
  <si>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</si>
  <si>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</si>
  <si>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</si>
  <si>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</si>
  <si>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</si>
  <si>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</si>
  <si>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</si>
  <si>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</si>
  <si>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</si>
  <si>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</si>
  <si>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</si>
  <si>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</si>
  <si>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</si>
  <si>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</si>
  <si>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</si>
  <si>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</si>
  <si>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</si>
  <si>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</si>
  <si>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</si>
  <si>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</si>
  <si>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</si>
  <si>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</si>
  <si>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</si>
  <si>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</si>
  <si>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</si>
  <si>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</si>
  <si>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</si>
  <si>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</si>
  <si>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</si>
  <si>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</si>
  <si>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</si>
  <si>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</si>
  <si>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</si>
  <si>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</si>
  <si>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</si>
  <si>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</si>
  <si>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</si>
  <si>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</si>
  <si>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</si>
  <si>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</si>
  <si>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</si>
  <si>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</si>
  <si>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</si>
  <si>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</si>
  <si>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</si>
  <si>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</si>
  <si>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</si>
  <si>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</si>
  <si>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</si>
  <si>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</si>
  <si>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</si>
  <si>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</si>
  <si>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</si>
  <si>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</si>
  <si>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</si>
  <si>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</si>
  <si>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</si>
  <si>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</si>
  <si>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</si>
  <si>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</si>
  <si>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</si>
  <si>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</si>
  <si>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</si>
  <si>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</si>
  <si>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</si>
  <si>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</si>
  <si>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</si>
  <si>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</si>
  <si>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</si>
  <si>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</si>
  <si>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</si>
  <si>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</si>
  <si>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</si>
  <si>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</si>
  <si>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</si>
  <si>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</si>
  <si>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</si>
  <si>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</si>
  <si>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</si>
  <si>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</si>
  <si>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</si>
  <si>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</si>
  <si>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</si>
  <si>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</si>
  <si>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</si>
  <si>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</si>
  <si>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</si>
  <si>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</si>
  <si>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</si>
  <si>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</si>
  <si>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</si>
  <si>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</si>
  <si>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</si>
  <si>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</si>
  <si>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</si>
  <si>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</si>
  <si>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</si>
  <si>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</si>
  <si>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</si>
  <si>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</si>
  <si>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</si>
  <si>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</si>
  <si>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</si>
  <si>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</si>
  <si>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</si>
  <si>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</si>
  <si>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</si>
  <si>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</si>
  <si>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</si>
  <si>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</si>
  <si>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</si>
  <si>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</si>
  <si>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</si>
  <si>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</si>
  <si>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</si>
  <si>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</si>
  <si>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</si>
  <si>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</si>
  <si>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</si>
  <si>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</si>
  <si>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</si>
  <si>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</si>
  <si>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</si>
  <si>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</si>
  <si>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</si>
  <si>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</si>
  <si>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</si>
  <si>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</si>
  <si>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</si>
  <si>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</si>
  <si>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</si>
  <si>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</si>
  <si>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</si>
  <si>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</si>
  <si>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</si>
  <si>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</si>
  <si>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</si>
  <si>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</si>
  <si>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</si>
  <si>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</si>
  <si>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</si>
  <si>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</si>
  <si>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</si>
  <si>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</si>
  <si>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</si>
  <si>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</si>
  <si>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</si>
  <si>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</si>
  <si>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</si>
  <si>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</si>
  <si>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</si>
  <si>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</si>
  <si>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</si>
  <si>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</si>
  <si>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</si>
  <si>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</si>
  <si>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</si>
  <si>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</si>
  <si>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</si>
  <si>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</si>
  <si>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</si>
  <si>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</si>
  <si>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</si>
  <si>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</si>
  <si>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</si>
  <si>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</si>
  <si>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</si>
  <si>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</si>
  <si>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</si>
  <si>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</si>
  <si>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</si>
  <si>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</si>
  <si>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</si>
  <si>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</si>
  <si>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</si>
  <si>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</si>
  <si>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</si>
  <si>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</si>
  <si>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</si>
  <si>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</si>
  <si>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</si>
  <si>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</si>
  <si>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</si>
  <si>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</si>
  <si>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</si>
  <si>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</si>
  <si>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</si>
  <si>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</si>
  <si>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</si>
  <si>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</si>
  <si>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</si>
  <si>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</si>
  <si>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</si>
  <si>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</si>
  <si>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</si>
  <si>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</si>
  <si>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</si>
  <si>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</si>
  <si>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</si>
  <si>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</si>
  <si>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</si>
  <si>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</si>
  <si>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</si>
  <si>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</si>
  <si>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</si>
  <si>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</si>
  <si>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</si>
  <si>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</si>
  <si>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</si>
  <si>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</si>
  <si>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</si>
  <si>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</si>
  <si>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</si>
  <si>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</si>
  <si>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</si>
  <si>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</si>
  <si>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</si>
  <si>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</si>
  <si>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</si>
  <si>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</si>
  <si>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</si>
  <si>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</si>
  <si>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</si>
  <si>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</si>
  <si>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</si>
  <si>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</si>
  <si>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</si>
  <si>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</si>
  <si>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</si>
  <si>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</si>
  <si>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</si>
  <si>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</si>
  <si>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</si>
  <si>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</si>
  <si>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</si>
  <si>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</si>
  <si>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</si>
  <si>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</si>
  <si>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</si>
  <si>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</si>
  <si>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</si>
  <si>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</si>
  <si>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</si>
  <si>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</si>
  <si>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</si>
  <si>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</si>
  <si>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</si>
  <si>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</si>
  <si>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</si>
  <si>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</si>
  <si>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</si>
  <si>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</si>
  <si>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</si>
  <si>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</si>
  <si>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</si>
  <si>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</si>
  <si>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</si>
  <si>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</si>
  <si>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</si>
  <si>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</si>
  <si>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</si>
  <si>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</si>
  <si>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</si>
  <si>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</si>
  <si>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</si>
  <si>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</si>
  <si>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</si>
  <si>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</si>
  <si>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</si>
  <si>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</si>
  <si>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</si>
  <si>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</si>
  <si>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</si>
  <si>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</si>
  <si>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</si>
  <si>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</si>
  <si>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</si>
  <si>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</si>
  <si>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</si>
  <si>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</si>
  <si>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</si>
  <si>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</si>
  <si>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</si>
  <si>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</si>
  <si>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</si>
  <si>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</si>
  <si>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</si>
  <si>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</si>
  <si>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</si>
  <si>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</si>
  <si>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</si>
  <si>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</si>
  <si>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</si>
  <si>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</si>
  <si>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</si>
  <si>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</si>
  <si>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</si>
  <si>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</si>
  <si>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</si>
  <si>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</si>
  <si>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</si>
  <si>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</si>
  <si>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</si>
  <si>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</si>
  <si>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</si>
  <si>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</si>
  <si>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</si>
  <si>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</si>
  <si>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</si>
  <si>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</si>
  <si>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</si>
  <si>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</si>
  <si>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</si>
  <si>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</si>
  <si>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</si>
  <si>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</si>
  <si>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</si>
  <si>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</si>
  <si>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</si>
  <si>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</si>
  <si>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</si>
  <si>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</si>
  <si>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</si>
  <si>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</si>
  <si>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</si>
  <si>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</si>
  <si>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</si>
  <si>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</si>
  <si>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</si>
  <si>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</si>
  <si>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</si>
  <si>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</si>
  <si>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</si>
  <si>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</si>
  <si>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</si>
  <si>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</si>
  <si>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</si>
  <si>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</si>
  <si>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</si>
  <si>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</si>
  <si>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</si>
  <si>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</si>
  <si>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</si>
  <si>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</si>
  <si>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</si>
  <si>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</si>
  <si>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</si>
  <si>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</si>
  <si>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</si>
  <si>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</si>
  <si>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</si>
  <si>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</si>
  <si>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</si>
  <si>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</si>
  <si>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</si>
  <si>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</si>
  <si>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</si>
  <si>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</si>
  <si>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</si>
  <si>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</si>
  <si>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</si>
  <si>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</si>
  <si>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</si>
  <si>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</si>
  <si>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</si>
  <si>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</si>
  <si>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</si>
  <si>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</si>
  <si>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</si>
  <si>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</si>
  <si>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</si>
  <si>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</si>
  <si>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</si>
  <si>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</si>
  <si>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</si>
  <si>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</si>
  <si>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</si>
  <si>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</si>
  <si>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</si>
  <si>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</si>
  <si>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</si>
  <si>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</si>
  <si>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</si>
  <si>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</si>
  <si>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</si>
  <si>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</si>
  <si>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</si>
  <si>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</si>
  <si>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</si>
  <si>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</si>
  <si>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</si>
  <si>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</si>
  <si>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</si>
  <si>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</si>
  <si>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</si>
  <si>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</si>
  <si>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</si>
  <si>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</si>
  <si>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</si>
  <si>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</si>
  <si>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</si>
  <si>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</si>
  <si>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</si>
  <si>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</si>
  <si>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</si>
  <si>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</si>
  <si>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</si>
  <si>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</si>
  <si>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</si>
  <si>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</si>
  <si>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</si>
  <si>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</si>
  <si>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</si>
  <si>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</si>
  <si>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</si>
  <si>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</si>
  <si>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</si>
  <si>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</si>
  <si>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</si>
  <si>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</si>
  <si>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</si>
  <si>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</si>
  <si>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</si>
  <si>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</si>
  <si>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</si>
  <si>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</si>
  <si>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</si>
  <si>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</si>
  <si>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</si>
  <si>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</si>
  <si>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</si>
  <si>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</si>
  <si>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</si>
  <si>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</si>
  <si>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</si>
  <si>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</si>
  <si>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</si>
  <si>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</si>
  <si>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</si>
  <si>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</si>
  <si>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</si>
  <si>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</si>
  <si>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</si>
  <si>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</si>
  <si>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</si>
  <si>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</si>
  <si>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</si>
  <si>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</si>
  <si>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</si>
  <si>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</si>
  <si>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</si>
  <si>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</si>
  <si>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</si>
  <si>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</si>
  <si>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</si>
  <si>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</si>
  <si>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</si>
  <si>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</si>
  <si>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</si>
  <si>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</si>
  <si>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</si>
  <si>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</si>
  <si>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</si>
  <si>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</si>
  <si>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</si>
  <si>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</si>
  <si>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</si>
  <si>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</si>
  <si>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</si>
  <si>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</si>
  <si>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</si>
  <si>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</si>
  <si>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</si>
  <si>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</si>
  <si>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</si>
  <si>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</si>
  <si>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</si>
  <si>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</si>
  <si>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</si>
  <si>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</si>
  <si>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</si>
  <si>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</si>
  <si>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</si>
  <si>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</si>
  <si>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</si>
  <si>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</si>
  <si>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</si>
  <si>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</si>
  <si>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</si>
  <si>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</si>
  <si>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</si>
  <si>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</si>
  <si>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</si>
  <si>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</si>
  <si>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</si>
  <si>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</si>
  <si>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</si>
  <si>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</si>
  <si>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</si>
  <si>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</si>
  <si>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</si>
  <si>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</si>
  <si>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</si>
  <si>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</si>
  <si>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</si>
  <si>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</si>
  <si>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</si>
  <si>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</si>
  <si>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</si>
  <si>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</si>
  <si>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</si>
  <si>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</si>
  <si>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</si>
  <si>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</si>
  <si>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</si>
  <si>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</si>
  <si>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</si>
  <si>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</si>
  <si>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</si>
  <si>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</si>
  <si>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</si>
  <si>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</si>
  <si>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</si>
  <si>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</si>
  <si>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</si>
  <si>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</si>
  <si>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</si>
  <si>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</si>
  <si>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</si>
  <si>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</si>
  <si>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</si>
  <si>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</si>
  <si>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</si>
  <si>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</si>
  <si>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</si>
  <si>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Humberto</t>
  </si>
  <si>
    <t>Kylian Mbappé</t>
  </si>
  <si>
    <t>Ferran Torres</t>
  </si>
  <si>
    <t>Julián Álvarez</t>
  </si>
  <si>
    <t>Vitinha</t>
  </si>
  <si>
    <t>David Raya</t>
  </si>
  <si>
    <t>Arda Guler</t>
  </si>
  <si>
    <t>Pedri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</si>
</sst>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3">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4" xfId="0" applyFont="1" applyBorder="1"/>
    <xf numFmtId="0" fontId="0" fillId="0" borderId="165" xfId="0" applyBorder="1"/>
    <xf numFmtId="0" fontId="88" fillId="3" borderId="164" xfId="0" applyFont="1" applyFill="1" applyBorder="1" applyAlignment="1" applyProtection="1">
      <alignment horizontal="left" vertical="center"/>
      <protection hidden="1"/>
    </xf>
    <xf numFmtId="0" fontId="65" fillId="0" borderId="167" xfId="0" applyFont="1" applyBorder="1"/>
    <xf numFmtId="0" fontId="0" fillId="0" borderId="166" xfId="0" applyBorder="1"/>
    <xf numFmtId="0" fontId="49" fillId="0" borderId="169" xfId="0" applyFont="1" applyBorder="1" applyProtection="1">
      <protection locked="0" hidden="1"/>
    </xf>
    <xf numFmtId="0" fontId="49" fillId="0" borderId="168" xfId="0" applyFont="1" applyBorder="1" applyProtection="1">
      <protection locked="0" hidden="1"/>
    </xf>
    <xf numFmtId="0" fontId="65" fillId="0" borderId="170" xfId="0" applyFont="1" applyBorder="1"/>
    <xf numFmtId="0" fontId="65" fillId="0" borderId="171" xfId="0" applyFont="1" applyBorder="1"/>
    <xf numFmtId="0" fontId="0" fillId="42" borderId="172"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topLeftCell="A2"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7" customWidth="1"/>
    <col min="2" max="2" width="15.77734375" style="287" customWidth="1"/>
    <col min="3" max="3" width="26.77734375" style="287" customWidth="1"/>
    <col min="4" max="4" width="5.77734375" style="287" customWidth="1"/>
    <col min="5" max="9" width="11.33203125" style="307" customWidth="1"/>
    <col min="10" max="10" width="5.77734375" style="307" customWidth="1"/>
    <col min="11" max="11" width="26.77734375" style="307" customWidth="1"/>
    <col min="12" max="12" width="15.77734375" style="287" customWidth="1"/>
    <col min="13" max="13" width="10.44140625" style="287" customWidth="1"/>
    <col min="14" max="15" width="10.77734375" style="287" customWidth="1"/>
    <col min="16" max="16" width="12.109375" style="287" customWidth="1"/>
    <col min="17" max="17" width="6.109375" style="287" customWidth="1"/>
    <col min="18" max="31" width="10.77734375" style="287" customWidth="1"/>
    <col min="32" max="16384" width="10.77734375" hidden="1"/>
  </cols>
  <sheetData>
    <row r="1" spans="1:3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row>
    <row r="2" spans="1:31">
      <c r="A2" s="286"/>
      <c r="B2" s="286"/>
      <c r="C2" s="288"/>
      <c r="D2" s="286"/>
      <c r="E2" s="289"/>
      <c r="F2" s="289"/>
      <c r="G2" s="289"/>
      <c r="H2" s="289"/>
      <c r="I2" s="289"/>
      <c r="J2" s="289"/>
      <c r="K2" s="289"/>
      <c r="L2" s="286"/>
      <c r="M2" s="286"/>
      <c r="N2" s="286"/>
      <c r="O2" s="286"/>
      <c r="P2" s="286"/>
      <c r="Q2" s="286"/>
      <c r="R2" s="286"/>
      <c r="S2" s="286"/>
      <c r="T2" s="286"/>
      <c r="U2" s="286"/>
      <c r="V2" s="286"/>
      <c r="W2" s="286"/>
      <c r="X2" s="286"/>
      <c r="Y2" s="286"/>
      <c r="Z2" s="286"/>
      <c r="AA2" s="286"/>
      <c r="AB2" s="286"/>
      <c r="AC2" s="286"/>
      <c r="AD2" s="286"/>
      <c r="AE2" s="286"/>
    </row>
    <row r="3" spans="1:31" ht="34.950000000000003" customHeight="1">
      <c r="A3" s="286"/>
      <c r="B3" s="709" t="str">
        <f>Idiomas!D8</f>
        <v>XXIII Mundial USA/MEX/CAN 2026</v>
      </c>
      <c r="C3" s="709"/>
      <c r="D3" s="709"/>
      <c r="E3" s="709"/>
      <c r="F3" s="709"/>
      <c r="G3" s="709"/>
      <c r="H3" s="709"/>
      <c r="I3" s="709"/>
      <c r="J3" s="709"/>
      <c r="K3" s="709"/>
      <c r="L3" s="709"/>
      <c r="M3" s="286"/>
      <c r="N3" s="286"/>
      <c r="O3" s="286"/>
      <c r="P3" s="286"/>
      <c r="Q3" s="286"/>
      <c r="R3" s="286"/>
      <c r="S3" s="286"/>
      <c r="T3" s="286"/>
      <c r="U3" s="286"/>
      <c r="V3" s="286"/>
      <c r="W3" s="286"/>
      <c r="X3" s="286"/>
      <c r="Y3" s="286"/>
      <c r="Z3" s="286"/>
      <c r="AA3" s="286"/>
      <c r="AB3" s="286"/>
      <c r="AC3" s="286"/>
      <c r="AD3" s="286"/>
      <c r="AE3" s="286"/>
    </row>
    <row r="4" spans="1:31" ht="15" customHeight="1">
      <c r="A4" s="286"/>
      <c r="B4" s="286"/>
      <c r="C4" s="286"/>
      <c r="D4" s="286"/>
      <c r="E4" s="289"/>
      <c r="F4" s="289"/>
      <c r="G4" s="289"/>
      <c r="H4" s="289"/>
      <c r="I4" s="289"/>
      <c r="J4" s="289"/>
      <c r="K4" s="289"/>
      <c r="L4" s="290"/>
      <c r="M4" s="286"/>
      <c r="N4" s="286"/>
      <c r="O4" s="286"/>
      <c r="P4" s="286"/>
      <c r="Q4" s="286"/>
      <c r="R4" s="286"/>
      <c r="S4" s="286"/>
      <c r="T4" s="286"/>
      <c r="U4" s="286"/>
      <c r="V4" s="286"/>
      <c r="W4" s="286"/>
      <c r="X4" s="286"/>
      <c r="Y4" s="286"/>
      <c r="Z4" s="286"/>
      <c r="AA4" s="286"/>
      <c r="AB4" s="286"/>
      <c r="AC4" s="286"/>
      <c r="AD4" s="286"/>
      <c r="AE4" s="286"/>
    </row>
    <row r="5" spans="1:31" ht="19.95" customHeight="1" thickBot="1">
      <c r="A5" s="286"/>
      <c r="B5" s="286"/>
      <c r="C5" s="291" t="str">
        <f>"📋 "&amp;Idiomas!D7</f>
        <v>📋 Selecciona idioma</v>
      </c>
      <c r="D5" s="286"/>
      <c r="E5" s="292"/>
      <c r="F5" s="292"/>
      <c r="G5" s="292"/>
      <c r="H5" s="292"/>
      <c r="I5" s="292"/>
      <c r="J5" s="292"/>
      <c r="K5" s="292"/>
      <c r="L5" s="293"/>
      <c r="M5" s="294"/>
      <c r="N5" s="294"/>
      <c r="O5" s="294"/>
      <c r="P5" s="286"/>
      <c r="Q5" s="286"/>
      <c r="R5" s="286"/>
      <c r="S5" s="286"/>
      <c r="T5" s="286"/>
      <c r="U5" s="286"/>
      <c r="V5" s="286"/>
      <c r="W5" s="286"/>
      <c r="X5" s="286"/>
      <c r="Y5" s="286"/>
      <c r="Z5" s="286"/>
      <c r="AA5" s="286"/>
      <c r="AB5" s="286"/>
      <c r="AC5" s="286"/>
      <c r="AD5" s="286"/>
      <c r="AE5" s="286"/>
    </row>
    <row r="6" spans="1:31" ht="25.05" customHeight="1" thickBot="1">
      <c r="A6" s="286"/>
      <c r="B6" s="16"/>
      <c r="C6" s="277" t="s">
        <v>223</v>
      </c>
      <c r="D6" s="286"/>
      <c r="E6" s="289"/>
      <c r="F6" s="289"/>
      <c r="G6" s="289"/>
      <c r="H6" s="289"/>
      <c r="I6" s="289"/>
      <c r="J6" s="289"/>
      <c r="K6" s="295" t="str">
        <f>Idiomas!D4</f>
        <v>Introducir resultados</v>
      </c>
      <c r="L6" s="286"/>
      <c r="M6" s="286"/>
      <c r="N6" s="286"/>
      <c r="O6" s="286"/>
      <c r="P6" s="286"/>
      <c r="Q6" s="286"/>
      <c r="R6" s="286"/>
      <c r="S6" s="286"/>
      <c r="T6" s="286"/>
      <c r="U6" s="286"/>
      <c r="V6" s="286"/>
      <c r="W6" s="286"/>
      <c r="X6" s="286"/>
      <c r="Y6" s="286"/>
      <c r="Z6" s="286"/>
      <c r="AA6" s="286"/>
      <c r="AB6" s="286"/>
      <c r="AC6" s="286"/>
      <c r="AD6" s="286"/>
      <c r="AE6" s="286"/>
    </row>
    <row r="7" spans="1:31" ht="19.95" customHeight="1" thickBot="1">
      <c r="A7" s="286"/>
      <c r="B7" s="296"/>
      <c r="C7" s="291" t="str">
        <f>"🕒 "&amp;Idiomas!D15</f>
        <v>🕒 Selecciona horario</v>
      </c>
      <c r="D7" s="286"/>
      <c r="E7" s="289"/>
      <c r="F7" s="289"/>
      <c r="G7" s="289"/>
      <c r="H7" s="289"/>
      <c r="I7" s="289"/>
      <c r="J7" s="289"/>
      <c r="K7" s="289"/>
      <c r="L7" s="286"/>
      <c r="M7" s="286"/>
      <c r="N7" s="286"/>
      <c r="O7" s="286"/>
      <c r="P7" s="286"/>
      <c r="Q7" s="286"/>
      <c r="R7" s="286"/>
      <c r="S7" s="286"/>
      <c r="T7" s="286"/>
      <c r="U7" s="286"/>
      <c r="V7" s="286"/>
      <c r="W7" s="286"/>
      <c r="X7" s="286"/>
      <c r="Y7" s="286"/>
      <c r="Z7" s="286"/>
      <c r="AA7" s="286"/>
      <c r="AB7" s="286"/>
      <c r="AC7" s="286"/>
      <c r="AD7" s="286"/>
      <c r="AE7" s="286"/>
    </row>
    <row r="8" spans="1:31" ht="25.05" customHeight="1" thickBot="1">
      <c r="A8" s="286"/>
      <c r="B8" s="16"/>
      <c r="C8" s="277" t="s">
        <v>160</v>
      </c>
      <c r="D8" s="286"/>
      <c r="E8" s="289"/>
      <c r="F8" s="289"/>
      <c r="G8" s="289"/>
      <c r="H8" s="289"/>
      <c r="I8" s="289"/>
      <c r="J8" s="289"/>
      <c r="K8" s="295" t="s">
        <v>1313</v>
      </c>
      <c r="L8" s="286"/>
      <c r="M8" s="286"/>
      <c r="N8" s="286"/>
      <c r="O8" s="286"/>
      <c r="P8" s="286"/>
      <c r="Q8" s="286"/>
      <c r="R8" s="286"/>
      <c r="S8" s="286"/>
      <c r="T8" s="286"/>
      <c r="U8" s="286"/>
      <c r="V8" s="286"/>
      <c r="W8" s="286"/>
      <c r="X8" s="286"/>
      <c r="Y8" s="286"/>
      <c r="Z8" s="286"/>
      <c r="AA8" s="286"/>
      <c r="AB8" s="286"/>
      <c r="AC8" s="286"/>
      <c r="AD8" s="286"/>
      <c r="AE8" s="286"/>
    </row>
    <row r="9" spans="1:31" ht="19.95" customHeight="1" thickBot="1">
      <c r="A9" s="286"/>
      <c r="B9" s="296"/>
      <c r="C9" s="291" t="str">
        <f>"✍️ "&amp;Idiomas!D46</f>
        <v>✍️ Escribe tu nombre</v>
      </c>
      <c r="D9" s="286"/>
      <c r="E9" s="289"/>
      <c r="F9" s="289"/>
      <c r="G9" s="289"/>
      <c r="H9" s="289"/>
      <c r="I9" s="289"/>
      <c r="J9" s="289"/>
      <c r="K9" s="289"/>
      <c r="L9" s="286"/>
      <c r="M9" s="286"/>
      <c r="N9" s="286"/>
      <c r="O9" s="286"/>
      <c r="P9" s="286"/>
      <c r="Q9" s="286"/>
      <c r="R9" s="286"/>
      <c r="S9" s="286"/>
      <c r="T9" s="286"/>
      <c r="U9" s="286"/>
      <c r="V9" s="286"/>
      <c r="W9" s="286"/>
      <c r="X9" s="286"/>
      <c r="Y9" s="286"/>
      <c r="Z9" s="286"/>
      <c r="AA9" s="286"/>
      <c r="AB9" s="286"/>
      <c r="AC9" s="286"/>
      <c r="AD9" s="286"/>
      <c r="AE9" s="286"/>
    </row>
    <row r="10" spans="1:31" ht="25.05" customHeight="1" thickBot="1">
      <c r="A10" s="286"/>
      <c r="B10" s="16"/>
      <c r="C10" s="277" t="s">
        <v>1521</v>
      </c>
      <c r="D10" s="286"/>
      <c r="E10" s="289"/>
      <c r="F10" s="289"/>
      <c r="G10" s="289"/>
      <c r="H10" s="289"/>
      <c r="I10" s="289"/>
      <c r="J10" s="289"/>
      <c r="K10" s="295" t="s">
        <v>1324</v>
      </c>
      <c r="L10" s="286"/>
      <c r="M10" s="286"/>
      <c r="N10" s="286"/>
      <c r="O10" s="286"/>
      <c r="P10" s="286"/>
      <c r="Q10" s="286"/>
      <c r="R10" s="286"/>
      <c r="S10" s="286"/>
      <c r="T10" s="286"/>
      <c r="U10" s="286"/>
      <c r="V10" s="286"/>
      <c r="W10" s="286"/>
      <c r="X10" s="286"/>
      <c r="Y10" s="286"/>
      <c r="Z10" s="286"/>
      <c r="AA10" s="286"/>
      <c r="AB10" s="286"/>
      <c r="AC10" s="286"/>
      <c r="AD10" s="286"/>
      <c r="AE10" s="286"/>
    </row>
    <row r="11" spans="1:31" ht="19.95" customHeight="1">
      <c r="A11" s="286"/>
      <c r="B11" s="286"/>
      <c r="C11" s="286"/>
      <c r="D11" s="286"/>
      <c r="E11" s="289"/>
      <c r="F11" s="289"/>
      <c r="G11" s="289"/>
      <c r="H11" s="289"/>
      <c r="I11" s="289"/>
      <c r="J11" s="289"/>
      <c r="K11" s="289"/>
      <c r="L11" s="286"/>
      <c r="M11" s="286"/>
      <c r="N11" s="286"/>
      <c r="O11" s="286"/>
      <c r="P11" s="286"/>
      <c r="Q11" s="286"/>
      <c r="R11" s="286"/>
      <c r="S11" s="286"/>
      <c r="T11" s="286"/>
      <c r="U11" s="286"/>
      <c r="V11" s="286"/>
      <c r="W11" s="286"/>
      <c r="X11" s="286"/>
      <c r="Y11" s="286"/>
      <c r="Z11" s="286"/>
      <c r="AA11" s="286"/>
      <c r="AB11" s="286"/>
      <c r="AC11" s="286"/>
      <c r="AD11" s="286"/>
      <c r="AE11" s="286"/>
    </row>
    <row r="12" spans="1:31" ht="25.05" customHeight="1">
      <c r="A12" s="286"/>
      <c r="B12" s="286"/>
      <c r="C12" s="286"/>
      <c r="D12" s="286"/>
      <c r="E12" s="289"/>
      <c r="F12" s="289"/>
      <c r="G12" s="289"/>
      <c r="H12" s="289"/>
      <c r="I12" s="289"/>
      <c r="J12" s="289"/>
      <c r="K12" s="289"/>
      <c r="L12" s="297"/>
      <c r="M12" s="286"/>
      <c r="N12" s="286"/>
      <c r="O12" s="286"/>
      <c r="P12" s="286"/>
      <c r="Q12" s="286"/>
      <c r="R12" s="286"/>
      <c r="S12" s="286"/>
      <c r="T12" s="286"/>
      <c r="U12" s="286"/>
      <c r="V12" s="286"/>
      <c r="W12" s="286"/>
      <c r="X12" s="286"/>
      <c r="Y12" s="286"/>
      <c r="Z12" s="286"/>
      <c r="AA12" s="286"/>
      <c r="AB12" s="286"/>
      <c r="AC12" s="286"/>
      <c r="AD12" s="286"/>
      <c r="AE12" s="286"/>
    </row>
    <row r="13" spans="1:31" ht="16.05" customHeight="1">
      <c r="A13" s="286"/>
      <c r="B13" s="286"/>
      <c r="C13" s="266"/>
      <c r="D13" s="286"/>
      <c r="E13" s="289"/>
      <c r="F13" s="289"/>
      <c r="G13" s="289"/>
      <c r="H13" s="289"/>
      <c r="I13" s="289"/>
      <c r="J13" s="289"/>
      <c r="K13" s="289"/>
      <c r="L13" s="286"/>
      <c r="M13" s="286"/>
      <c r="N13" s="286"/>
      <c r="O13" s="286"/>
      <c r="P13" s="286"/>
      <c r="Q13" s="286"/>
      <c r="R13" s="286"/>
      <c r="S13" s="286"/>
      <c r="T13" s="286"/>
      <c r="U13" s="286"/>
      <c r="V13" s="286"/>
      <c r="W13" s="286"/>
      <c r="X13" s="286"/>
      <c r="Y13" s="286"/>
      <c r="Z13" s="286"/>
      <c r="AA13" s="286"/>
      <c r="AB13" s="286"/>
      <c r="AC13" s="286"/>
      <c r="AD13" s="286"/>
      <c r="AE13" s="286"/>
    </row>
    <row r="14" spans="1:31" ht="15" customHeight="1">
      <c r="A14" s="286"/>
      <c r="B14" s="15"/>
      <c r="C14" s="15"/>
      <c r="D14" s="286"/>
      <c r="E14" s="289"/>
      <c r="F14" s="289"/>
      <c r="G14" s="289"/>
      <c r="H14" s="289"/>
      <c r="I14" s="289"/>
      <c r="J14" s="289"/>
      <c r="K14" s="289"/>
      <c r="L14" s="298"/>
      <c r="M14" s="286"/>
      <c r="N14" s="286"/>
      <c r="O14" s="286"/>
      <c r="P14" s="286"/>
      <c r="Q14" s="286"/>
      <c r="R14" s="286"/>
      <c r="S14" s="286"/>
      <c r="T14" s="286"/>
      <c r="U14" s="286"/>
      <c r="V14" s="286"/>
      <c r="W14" s="286"/>
      <c r="X14" s="286"/>
      <c r="Y14" s="286"/>
      <c r="Z14" s="286"/>
      <c r="AA14" s="286"/>
      <c r="AB14" s="286"/>
      <c r="AC14" s="286"/>
      <c r="AD14" s="286"/>
      <c r="AE14" s="286"/>
    </row>
    <row r="15" spans="1:31" ht="15" customHeight="1">
      <c r="A15" s="286"/>
      <c r="B15" s="15"/>
      <c r="C15" s="15"/>
      <c r="D15" s="286"/>
      <c r="E15" s="289"/>
      <c r="F15" s="289"/>
      <c r="G15" s="289"/>
      <c r="H15" s="289"/>
      <c r="I15" s="289"/>
      <c r="J15" s="289"/>
      <c r="K15" s="289"/>
      <c r="L15" s="297"/>
      <c r="M15" s="286"/>
      <c r="N15" s="286"/>
      <c r="O15" s="286"/>
      <c r="P15" s="286"/>
      <c r="Q15" s="286"/>
      <c r="R15" s="286"/>
      <c r="S15" s="286"/>
      <c r="T15" s="286"/>
      <c r="U15" s="286"/>
      <c r="V15" s="286"/>
      <c r="W15" s="286"/>
      <c r="X15" s="286"/>
      <c r="Y15" s="286"/>
      <c r="Z15" s="286"/>
      <c r="AA15" s="286"/>
      <c r="AB15" s="286"/>
      <c r="AC15" s="286"/>
      <c r="AD15" s="286"/>
      <c r="AE15" s="286"/>
    </row>
    <row r="16" spans="1:31" ht="40.049999999999997" customHeight="1" thickBot="1">
      <c r="A16" s="286"/>
      <c r="B16" s="286"/>
      <c r="C16" s="286"/>
      <c r="D16" s="286"/>
      <c r="E16" s="707" t="str">
        <f>HYPERLINK(Idiomas!D10,Idiomas!D5)</f>
        <v>Si quieres organizar una porra (quiniela) con tu grupo puedes descargar el archivo de adminsitrador desde el enlace de abajo</v>
      </c>
      <c r="F16" s="708"/>
      <c r="G16" s="708"/>
      <c r="H16" s="708"/>
      <c r="I16" s="708"/>
      <c r="J16" s="289"/>
      <c r="K16" s="299"/>
      <c r="L16" s="286"/>
      <c r="M16" s="286"/>
      <c r="N16" s="286"/>
      <c r="O16" s="286"/>
      <c r="P16" s="286"/>
      <c r="Q16" s="286"/>
      <c r="R16" s="286"/>
      <c r="S16" s="286"/>
      <c r="T16" s="286"/>
      <c r="U16" s="286"/>
      <c r="V16" s="286"/>
      <c r="W16" s="286"/>
      <c r="X16" s="286"/>
      <c r="Y16" s="286"/>
      <c r="Z16" s="286"/>
      <c r="AA16" s="286"/>
      <c r="AB16" s="286"/>
      <c r="AC16" s="286"/>
      <c r="AD16" s="286"/>
      <c r="AE16" s="286"/>
    </row>
    <row r="17" spans="1:31" ht="40.049999999999997" customHeight="1" thickBot="1">
      <c r="A17" s="286"/>
      <c r="B17" s="286"/>
      <c r="C17" s="286"/>
      <c r="D17" s="286"/>
      <c r="E17" s="704" t="str">
        <f>HYPERLINK(Idiomas!D10,Idiomas!D9)</f>
        <v>▼ Descargar Excel Administrador Porra ▼</v>
      </c>
      <c r="F17" s="705"/>
      <c r="G17" s="705"/>
      <c r="H17" s="705"/>
      <c r="I17" s="706"/>
      <c r="J17" s="289"/>
      <c r="K17" s="300" t="s">
        <v>1351</v>
      </c>
      <c r="L17" s="301"/>
      <c r="M17" s="286"/>
      <c r="N17" s="302"/>
      <c r="O17" s="303"/>
      <c r="P17" s="286"/>
      <c r="Q17" s="286"/>
      <c r="R17" s="286"/>
      <c r="S17" s="286"/>
      <c r="T17" s="286"/>
      <c r="U17" s="286"/>
      <c r="V17" s="286"/>
      <c r="W17" s="286"/>
      <c r="X17" s="286"/>
      <c r="Y17" s="286"/>
      <c r="Z17" s="286"/>
      <c r="AA17" s="286"/>
      <c r="AB17" s="286"/>
      <c r="AC17" s="286"/>
      <c r="AD17" s="286"/>
      <c r="AE17" s="286"/>
    </row>
    <row r="18" spans="1:31" ht="15" customHeight="1">
      <c r="A18" s="286"/>
      <c r="B18" s="286"/>
      <c r="C18" s="286"/>
      <c r="D18" s="286"/>
      <c r="E18" s="289"/>
      <c r="F18" s="289"/>
      <c r="G18" s="289"/>
      <c r="H18" s="289"/>
      <c r="I18" s="289"/>
      <c r="J18" s="289"/>
      <c r="K18" s="289"/>
      <c r="L18" s="286"/>
      <c r="M18" s="286"/>
      <c r="N18" s="286"/>
      <c r="O18" s="286"/>
      <c r="P18" s="286"/>
      <c r="Q18" s="286"/>
      <c r="R18" s="286"/>
      <c r="S18" s="286"/>
      <c r="T18" s="286"/>
      <c r="U18" s="286"/>
      <c r="V18" s="286"/>
      <c r="W18" s="286"/>
      <c r="X18" s="286"/>
      <c r="Y18" s="286"/>
      <c r="Z18" s="286"/>
      <c r="AA18" s="286"/>
      <c r="AB18" s="286"/>
      <c r="AC18" s="286"/>
      <c r="AD18" s="286"/>
      <c r="AE18" s="286"/>
    </row>
    <row r="19" spans="1:31">
      <c r="A19" s="286"/>
      <c r="B19" s="286"/>
      <c r="C19" s="286"/>
      <c r="D19" s="286"/>
      <c r="E19" s="289"/>
      <c r="F19" s="289"/>
      <c r="G19" s="289"/>
      <c r="H19" s="289"/>
      <c r="I19" s="289"/>
      <c r="J19" s="289"/>
      <c r="K19" s="289"/>
      <c r="L19" s="286"/>
      <c r="M19" s="286"/>
      <c r="N19" s="286"/>
      <c r="O19" s="286"/>
      <c r="P19" s="286"/>
      <c r="Q19" s="286"/>
      <c r="R19" s="286"/>
      <c r="S19" s="286"/>
      <c r="T19" s="286"/>
      <c r="U19" s="286"/>
      <c r="V19" s="286"/>
      <c r="W19" s="286"/>
      <c r="X19" s="286"/>
      <c r="Y19" s="286"/>
      <c r="Z19" s="286"/>
      <c r="AA19" s="286"/>
      <c r="AB19" s="286"/>
      <c r="AC19" s="286"/>
      <c r="AD19" s="286"/>
      <c r="AE19" s="286"/>
    </row>
    <row r="20" spans="1:31">
      <c r="A20" s="286"/>
      <c r="B20" s="286" t="s">
        <v>1312</v>
      </c>
      <c r="C20" s="286"/>
      <c r="D20" s="286"/>
      <c r="E20" s="289"/>
      <c r="F20" s="289"/>
      <c r="G20" s="289"/>
      <c r="H20" s="289"/>
      <c r="I20" s="289"/>
      <c r="J20" s="289"/>
      <c r="K20" s="289"/>
      <c r="L20" s="286"/>
      <c r="M20" s="286"/>
      <c r="N20" s="286"/>
      <c r="O20" s="286"/>
      <c r="P20" s="286"/>
      <c r="Q20" s="286"/>
      <c r="R20" s="286"/>
      <c r="S20" s="286"/>
      <c r="T20" s="286"/>
      <c r="U20" s="286"/>
      <c r="V20" s="286"/>
      <c r="W20" s="286"/>
      <c r="X20" s="286"/>
      <c r="Y20" s="286"/>
      <c r="Z20" s="286"/>
      <c r="AA20" s="286"/>
      <c r="AB20" s="286"/>
      <c r="AC20" s="286"/>
      <c r="AD20" s="286"/>
      <c r="AE20" s="286"/>
    </row>
    <row r="21" spans="1:31" ht="15" customHeight="1" thickBot="1">
      <c r="A21" s="286"/>
      <c r="B21" s="286" t="s">
        <v>1312</v>
      </c>
      <c r="C21" s="286"/>
      <c r="D21" s="286"/>
      <c r="E21" s="304" t="s">
        <v>1348</v>
      </c>
      <c r="F21" s="289"/>
      <c r="G21" s="289"/>
      <c r="H21" s="289"/>
      <c r="I21" s="289"/>
      <c r="J21" s="289"/>
      <c r="K21" s="289"/>
      <c r="L21" s="286"/>
      <c r="M21" s="286"/>
      <c r="N21" s="286"/>
      <c r="O21" s="297"/>
      <c r="P21" s="286"/>
      <c r="Q21" s="286"/>
      <c r="R21" s="286"/>
      <c r="S21" s="286"/>
      <c r="T21" s="286"/>
      <c r="U21" s="286"/>
      <c r="V21" s="286"/>
      <c r="W21" s="286"/>
      <c r="X21" s="286"/>
      <c r="Y21" s="286"/>
      <c r="Z21" s="286"/>
      <c r="AA21" s="286"/>
      <c r="AB21" s="286"/>
      <c r="AC21" s="286"/>
      <c r="AD21" s="286"/>
      <c r="AE21" s="286"/>
    </row>
    <row r="22" spans="1:31" ht="31.05" customHeight="1" thickBot="1">
      <c r="A22" s="286"/>
      <c r="B22" s="286" t="s">
        <v>1312</v>
      </c>
      <c r="C22" s="286"/>
      <c r="D22" s="286"/>
      <c r="E22" s="17" t="s">
        <v>1308</v>
      </c>
      <c r="F22" s="18" t="s">
        <v>1309</v>
      </c>
      <c r="G22" s="19" t="s">
        <v>1310</v>
      </c>
      <c r="H22" s="20" t="s">
        <v>13</v>
      </c>
      <c r="I22" s="305" t="s">
        <v>1311</v>
      </c>
      <c r="J22" s="289"/>
      <c r="K22" s="289"/>
      <c r="L22" s="286"/>
      <c r="M22" s="286"/>
      <c r="N22" s="286"/>
      <c r="O22" s="297"/>
      <c r="P22" s="286"/>
      <c r="Q22" s="286"/>
      <c r="R22" s="286"/>
      <c r="S22" s="286"/>
      <c r="T22" s="286"/>
      <c r="U22" s="286"/>
      <c r="V22" s="286"/>
      <c r="W22" s="286"/>
      <c r="X22" s="286"/>
      <c r="Y22" s="286"/>
      <c r="Z22" s="286"/>
      <c r="AA22" s="286"/>
      <c r="AB22" s="286"/>
      <c r="AC22" s="286"/>
      <c r="AD22" s="286"/>
      <c r="AE22" s="286"/>
    </row>
    <row r="23" spans="1:31" ht="19.95" customHeight="1" thickBot="1">
      <c r="A23" s="286"/>
      <c r="B23" s="286" t="s">
        <v>1312</v>
      </c>
      <c r="C23" s="286"/>
      <c r="D23" s="286"/>
      <c r="E23" s="289"/>
      <c r="F23" s="289"/>
      <c r="G23" s="289"/>
      <c r="H23" s="289"/>
      <c r="I23" s="289"/>
      <c r="J23" s="289"/>
      <c r="K23" s="284" t="s">
        <v>1332</v>
      </c>
      <c r="L23" s="285" t="str">
        <f>+Idiomas!D12</f>
        <v>Donar</v>
      </c>
      <c r="M23" s="286"/>
      <c r="N23" s="297"/>
      <c r="O23" s="297"/>
      <c r="P23" s="286"/>
      <c r="Q23" s="286"/>
      <c r="R23" s="286"/>
      <c r="S23" s="286"/>
      <c r="T23" s="286"/>
      <c r="U23" s="286"/>
      <c r="V23" s="286"/>
      <c r="W23" s="286"/>
      <c r="X23" s="286"/>
      <c r="Y23" s="286"/>
      <c r="Z23" s="286"/>
      <c r="AA23" s="286"/>
      <c r="AB23" s="286"/>
      <c r="AC23" s="286"/>
      <c r="AD23" s="286"/>
      <c r="AE23" s="286"/>
    </row>
    <row r="24" spans="1:31" ht="30" customHeight="1">
      <c r="A24" s="286"/>
      <c r="B24" s="710"/>
      <c r="C24" s="711"/>
      <c r="D24" s="286"/>
      <c r="E24" s="289"/>
      <c r="F24" s="289"/>
      <c r="G24" s="289"/>
      <c r="H24" s="306"/>
      <c r="I24" s="306"/>
      <c r="J24" s="289"/>
      <c r="K24" s="306"/>
      <c r="L24" s="297"/>
      <c r="M24" s="297"/>
      <c r="N24" s="297"/>
      <c r="O24" s="297"/>
      <c r="P24" s="286"/>
      <c r="Q24" s="286"/>
      <c r="R24" s="286"/>
      <c r="S24" s="286"/>
      <c r="T24" s="286"/>
      <c r="U24" s="286"/>
      <c r="V24" s="286"/>
      <c r="W24" s="286"/>
      <c r="X24" s="286"/>
      <c r="Y24" s="286"/>
      <c r="Z24" s="286"/>
      <c r="AA24" s="286"/>
      <c r="AB24" s="286"/>
      <c r="AC24" s="286"/>
      <c r="AD24" s="286"/>
      <c r="AE24" s="286"/>
    </row>
    <row r="25" spans="1:31">
      <c r="A25" s="286"/>
      <c r="B25" s="286"/>
      <c r="C25" s="286"/>
      <c r="D25" s="286"/>
      <c r="E25" s="289"/>
      <c r="F25" s="289"/>
      <c r="G25" s="289"/>
      <c r="H25" s="306"/>
      <c r="I25" s="306"/>
      <c r="J25" s="289"/>
      <c r="K25" s="306"/>
      <c r="L25" s="297"/>
      <c r="M25" s="297"/>
      <c r="N25" s="297"/>
      <c r="O25" s="297"/>
      <c r="P25" s="286"/>
      <c r="Q25" s="286"/>
      <c r="R25" s="286"/>
      <c r="S25" s="286"/>
      <c r="T25" s="286"/>
      <c r="U25" s="286"/>
      <c r="V25" s="286"/>
      <c r="W25" s="286"/>
      <c r="X25" s="286"/>
      <c r="Y25" s="286"/>
      <c r="Z25" s="286"/>
      <c r="AA25" s="286"/>
      <c r="AB25" s="286"/>
      <c r="AC25" s="286"/>
      <c r="AD25" s="286"/>
      <c r="AE25" s="286"/>
    </row>
    <row r="26" spans="1:31">
      <c r="A26" s="286"/>
      <c r="B26" s="286"/>
      <c r="C26" s="286"/>
      <c r="D26" s="286"/>
      <c r="E26" s="286"/>
      <c r="F26" s="286"/>
      <c r="G26" s="286"/>
      <c r="H26" s="286"/>
      <c r="I26" s="286"/>
      <c r="J26" s="289"/>
      <c r="K26" s="286"/>
      <c r="L26" s="286"/>
      <c r="M26" s="286"/>
      <c r="N26" s="286"/>
      <c r="O26" s="286"/>
      <c r="P26" s="286"/>
      <c r="Q26" s="286"/>
      <c r="R26" s="286"/>
      <c r="S26" s="286"/>
      <c r="T26" s="286"/>
      <c r="U26" s="286"/>
      <c r="V26" s="286"/>
      <c r="W26" s="286"/>
      <c r="X26" s="286"/>
      <c r="Y26" s="286"/>
      <c r="Z26" s="286"/>
      <c r="AA26" s="286"/>
      <c r="AB26" s="286"/>
      <c r="AC26" s="286"/>
      <c r="AD26" s="286"/>
      <c r="AE26" s="286"/>
    </row>
    <row r="27" spans="1:31">
      <c r="A27" s="286"/>
      <c r="B27" s="286"/>
      <c r="C27" s="286"/>
      <c r="D27" s="286"/>
      <c r="E27" s="286"/>
      <c r="F27" s="286"/>
      <c r="G27" s="286"/>
      <c r="H27" s="286"/>
      <c r="I27" s="286"/>
      <c r="J27" s="289"/>
      <c r="K27" s="286"/>
      <c r="L27" s="286"/>
      <c r="M27" s="286"/>
      <c r="N27" s="286"/>
      <c r="O27" s="286"/>
      <c r="P27" s="286"/>
      <c r="Q27" s="286"/>
      <c r="R27" s="286"/>
      <c r="S27" s="286"/>
      <c r="T27" s="286"/>
      <c r="U27" s="286"/>
      <c r="V27" s="286"/>
      <c r="W27" s="286"/>
      <c r="X27" s="286"/>
      <c r="Y27" s="286"/>
      <c r="Z27" s="286"/>
      <c r="AA27" s="286"/>
      <c r="AB27" s="286"/>
      <c r="AC27" s="286"/>
      <c r="AD27" s="286"/>
      <c r="AE27" s="286"/>
    </row>
    <row r="28" spans="1:31">
      <c r="A28" s="286"/>
      <c r="B28" s="286"/>
      <c r="C28" s="286"/>
      <c r="D28" s="286"/>
      <c r="E28" s="286"/>
      <c r="F28" s="286"/>
      <c r="G28" s="286"/>
      <c r="H28" s="286"/>
      <c r="I28" s="286"/>
      <c r="J28" s="289"/>
      <c r="K28" s="286"/>
      <c r="L28" s="286"/>
      <c r="M28" s="286"/>
      <c r="N28" s="286"/>
      <c r="O28" s="286"/>
      <c r="P28" s="286"/>
      <c r="Q28" s="286"/>
      <c r="R28" s="286"/>
      <c r="S28" s="286"/>
      <c r="T28" s="286"/>
      <c r="U28" s="286"/>
      <c r="V28" s="286"/>
      <c r="W28" s="286"/>
      <c r="X28" s="286"/>
      <c r="Y28" s="286"/>
      <c r="Z28" s="286"/>
      <c r="AA28" s="286"/>
      <c r="AB28" s="286"/>
      <c r="AC28" s="286"/>
      <c r="AD28" s="286"/>
      <c r="AE28" s="286"/>
    </row>
    <row r="29" spans="1:31">
      <c r="A29" s="286"/>
      <c r="B29" s="286"/>
      <c r="C29" s="286"/>
      <c r="D29" s="286"/>
      <c r="E29" s="286"/>
      <c r="F29" s="286"/>
      <c r="G29" s="286"/>
      <c r="H29" s="286"/>
      <c r="I29" s="286"/>
      <c r="J29" s="286"/>
      <c r="K29" s="286"/>
      <c r="L29" s="286"/>
      <c r="M29" s="286"/>
      <c r="N29" s="286"/>
      <c r="O29" s="286"/>
      <c r="P29" s="286"/>
      <c r="Q29" s="286"/>
      <c r="R29" s="286"/>
      <c r="S29" s="286"/>
      <c r="T29" s="286"/>
      <c r="U29" s="286"/>
      <c r="V29" s="286"/>
      <c r="W29" s="286"/>
      <c r="X29" s="286"/>
      <c r="Y29" s="286"/>
      <c r="Z29" s="286"/>
      <c r="AA29" s="286"/>
      <c r="AB29" s="286"/>
      <c r="AC29" s="286"/>
      <c r="AD29" s="286"/>
      <c r="AE29" s="286"/>
    </row>
    <row r="30" spans="1:31">
      <c r="A30" s="286"/>
      <c r="B30" s="286"/>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row>
    <row r="31" spans="1:31">
      <c r="A31" s="286"/>
      <c r="B31" s="286"/>
      <c r="C31" s="286"/>
      <c r="D31" s="286"/>
      <c r="E31" s="286"/>
      <c r="F31" s="286"/>
      <c r="G31" s="286"/>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row>
    <row r="32" spans="1:31">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row>
    <row r="33" spans="1:31">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row>
    <row r="34" spans="1:31">
      <c r="A34" s="286"/>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row>
    <row r="35" spans="1:31">
      <c r="A35" s="286"/>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row>
    <row r="36" spans="1:31">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row>
    <row r="37" spans="1:31">
      <c r="A37" s="286"/>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row>
    <row r="38" spans="1:31">
      <c r="A38" s="286"/>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c r="AA38" s="286"/>
      <c r="AB38" s="286"/>
      <c r="AC38" s="286"/>
      <c r="AD38" s="286"/>
      <c r="AE38" s="286"/>
    </row>
    <row r="39" spans="1:31">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row>
    <row r="40" spans="1:31">
      <c r="A40" s="286"/>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row>
    <row r="41" spans="1:3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row>
    <row r="42" spans="1:3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row>
    <row r="43" spans="1:3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row>
    <row r="44" spans="1:3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row>
    <row r="45" spans="1:3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row>
    <row r="46" spans="1:3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row>
    <row r="47" spans="1:3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row>
    <row r="48" spans="1:3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row>
    <row r="49" spans="1:3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row>
    <row r="50" spans="1:3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 zoomScaleNormal="100" workbookViewId="0">
      <selection activeCell="AA162" sqref="AA162:AF162"/>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7" customWidth="1"/>
    <col min="48" max="48" width="18.44140625" style="321" customWidth="1"/>
    <col min="49" max="49" width="3.44140625" style="618" customWidth="1"/>
    <col min="50" max="50" width="3.44140625" style="483" customWidth="1"/>
    <col min="51" max="51" width="19.6640625" style="174" customWidth="1"/>
    <col min="52" max="52" width="15.77734375" style="618"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5"/>
      <c r="W1" s="678" t="str">
        <f>Idiomas!D8</f>
        <v>XXIII Mundial USA/MEX/CAN 2026</v>
      </c>
      <c r="X1" s="678"/>
      <c r="Y1" s="678"/>
      <c r="Z1" s="678"/>
      <c r="AA1" s="678"/>
      <c r="AB1" s="678"/>
      <c r="AC1" s="678"/>
      <c r="AD1" s="678"/>
      <c r="AE1" s="678"/>
      <c r="AF1" s="678"/>
      <c r="AG1" s="141"/>
      <c r="AH1" s="176"/>
      <c r="AI1" s="176"/>
      <c r="AJ1" s="141"/>
      <c r="AK1" s="141"/>
      <c r="AL1" s="282" t="str">
        <f>HYPERLINK(Idiomas!D10,Idiomas!D9)</f>
        <v>▼ Descargar Excel Administrador Porra ▼</v>
      </c>
      <c r="AM1" s="141"/>
      <c r="AN1" s="141"/>
      <c r="AO1" s="141"/>
      <c r="AP1" s="141"/>
      <c r="AQ1" s="141"/>
      <c r="AR1" s="141"/>
      <c r="AS1" s="141"/>
      <c r="AT1" s="141"/>
      <c r="AU1" s="319"/>
      <c r="AV1" s="283"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4" t="str">
        <f>Idiomas!D72</f>
        <v>¿Hay equipos penalizados?</v>
      </c>
      <c r="AZ3" s="383"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P.1 (2)</v>
      </c>
      <c r="F4" s="13" t="str">
        <f t="shared" ref="F4:F9" ca="1" si="2">IF(D4="Pendiente","-",INDEX($BT$6:$BT$53,MATCH($AF4,$BD$6:$BD$53,0)))</f>
        <v>-</v>
      </c>
      <c r="G4" s="13"/>
      <c r="H4" s="13" t="str">
        <f t="shared" ref="H4:H9" ca="1" si="3">IF(D4="Pendiente","-",INDEX($BZ$6:$BZ$53,MATCH($AA4,$BD$6:$BD$53,0)))</f>
        <v>P.1 (2)</v>
      </c>
      <c r="I4" s="13" t="str">
        <f t="shared" ref="I4:I9" ca="1" si="4">IF(D4="Pendiente","-",INDEX($BZ$6:$BZ$53,MATCH($AF4,$BD$6:$BD$53,0)))</f>
        <v>-</v>
      </c>
      <c r="J4" s="13"/>
      <c r="K4" s="13" t="str">
        <f t="shared" ref="K4:K9" ca="1" si="5">IF(D4="Pendiente","-",INDEX($CE$6:$CE$53,MATCH($AA4,$BD$6:$BD$53,0)))</f>
        <v>P.1 (2)</v>
      </c>
      <c r="L4" s="13" t="str">
        <f t="shared" ref="L4:L9" ca="1" si="6">IF(D4="Pendiente","-",INDEX($CE$6:$CE$53,MATCH($AF4,$BD$6:$BD$53,0)))</f>
        <v>-</v>
      </c>
      <c r="M4" s="13"/>
      <c r="N4" s="13" t="str">
        <f t="shared" ref="N4:N9" ca="1" si="7">IF(D4="Pendiente","-",INDEX($CH$6:$CH$53,MATCH($AA4,$BD$6:$BD$53,0)))</f>
        <v>P.1 (2)</v>
      </c>
      <c r="O4" s="13" t="str">
        <f t="shared" ref="O4:O9" ca="1" si="8">IF(D4="Pendiente","-",INDEX($CH$6:$CH$53,MATCH($AF4,$BD$6:$BD$53,0)))</f>
        <v>-</v>
      </c>
      <c r="P4" s="13"/>
      <c r="Q4" s="13" t="str">
        <f t="shared" ref="Q4:Q9" ca="1" si="9">IF(D4="Pendiente","-",INDEX($CN$6:$CN$53,MATCH($AA4,$BD$6:$BD$53,0)))</f>
        <v>P.1 (2)</v>
      </c>
      <c r="R4" s="13" t="str">
        <f t="shared" ref="R4:R9" ca="1" si="10">IF(D4="Pendiente","-",INDEX($CN$6:$CN$53,MATCH($AF4,$BD$6:$BD$53,0)))</f>
        <v>-</v>
      </c>
      <c r="S4" s="13"/>
      <c r="T4" s="13" t="str">
        <f t="shared" ref="T4:T9" ca="1" si="11">IF(D4="Pendiente","-",INDEX($CS$6:$CS$53,MATCH($AA4,$BD$6:$BD$53,0)))</f>
        <v>P.1 (2)</v>
      </c>
      <c r="U4" s="13" t="str">
        <f t="shared" ref="U4:U9" ca="1" si="12">IF(D4="Pendiente","-",INDEX($CS$6:$CS$53,MATCH($AF4,$BD$6:$BD$53,0)))</f>
        <v>-</v>
      </c>
      <c r="V4" s="14"/>
      <c r="W4" s="674" t="s">
        <v>0</v>
      </c>
      <c r="X4" s="21">
        <f ca="1">Horarios!C4</f>
        <v>46184.625</v>
      </c>
      <c r="Y4" s="22">
        <f ca="1">Horarios!C4</f>
        <v>46184.625</v>
      </c>
      <c r="Z4" s="23" t="str">
        <f>Idiomas!D61</f>
        <v>J1</v>
      </c>
      <c r="AA4" s="24" t="str">
        <f ca="1">+A5</f>
        <v>México</v>
      </c>
      <c r="AB4" s="46" t="e" cm="1" vm="1">
        <f t="array" aca="1" ref="AB4" ca="1">Ver_flag_local</f>
        <v>#VALUE!</v>
      </c>
      <c r="AC4" s="47">
        <v>2</v>
      </c>
      <c r="AD4" s="48">
        <v>1</v>
      </c>
      <c r="AE4" s="581" t="e" cm="1" vm="2">
        <f t="array" aca="1" ref="AE4" ca="1">Ver_flag_visit</f>
        <v>#VALUE!</v>
      </c>
      <c r="AF4" s="29" t="str">
        <f ca="1">A6</f>
        <v>Sudáfrica</v>
      </c>
      <c r="AG4" s="310">
        <f t="shared" ref="AG4:AG9" si="13">IF(NOT(OR(ISBLANK(AC4),ISBLANK(AD4))),1,0)</f>
        <v>1</v>
      </c>
      <c r="AH4" s="188">
        <v>1</v>
      </c>
      <c r="AI4" s="177"/>
      <c r="AJ4" s="56" t="str">
        <f>CONCATENATE(AJ3," ",B4)</f>
        <v>Grupo A</v>
      </c>
      <c r="AK4" s="57"/>
      <c r="AL4" s="57"/>
      <c r="AM4" s="57"/>
      <c r="AN4" s="57"/>
      <c r="AO4" s="57"/>
      <c r="AP4" s="57"/>
      <c r="AQ4" s="57"/>
      <c r="AR4" s="57"/>
      <c r="AS4" s="57"/>
      <c r="AT4" s="58"/>
      <c r="AU4" s="183"/>
      <c r="AV4" s="274" t="str">
        <f ca="1">IF(AU5&gt;0,$AV$3,"")</f>
        <v/>
      </c>
      <c r="AW4" s="164"/>
      <c r="AX4" s="164"/>
      <c r="AZ4" s="174"/>
      <c r="DC4" s="13" t="s">
        <v>1498</v>
      </c>
    </row>
    <row r="5" spans="1:121" ht="16.05" customHeight="1">
      <c r="A5" s="13" t="str">
        <f ca="1">+Equipos!B2</f>
        <v>México</v>
      </c>
      <c r="B5" s="13"/>
      <c r="C5" s="13"/>
      <c r="D5" s="13" t="str">
        <f t="shared" si="0"/>
        <v>Local</v>
      </c>
      <c r="E5" s="13" t="str">
        <f t="shared" ca="1" si="1"/>
        <v>P.1 (2)</v>
      </c>
      <c r="F5" s="13" t="str">
        <f t="shared" ca="1" si="2"/>
        <v>-</v>
      </c>
      <c r="G5" s="13"/>
      <c r="H5" s="13" t="str">
        <f t="shared" ca="1" si="3"/>
        <v>P.1 (2)</v>
      </c>
      <c r="I5" s="13" t="str">
        <f t="shared" ca="1" si="4"/>
        <v>-</v>
      </c>
      <c r="J5" s="13"/>
      <c r="K5" s="13" t="str">
        <f t="shared" ca="1" si="5"/>
        <v>P.1 (2)</v>
      </c>
      <c r="L5" s="13" t="str">
        <f t="shared" ca="1" si="6"/>
        <v>-</v>
      </c>
      <c r="M5" s="13"/>
      <c r="N5" s="13" t="str">
        <f t="shared" ca="1" si="7"/>
        <v>P.1 (2)</v>
      </c>
      <c r="O5" s="13" t="str">
        <f t="shared" ca="1" si="8"/>
        <v>-</v>
      </c>
      <c r="P5" s="13"/>
      <c r="Q5" s="13" t="str">
        <f t="shared" ca="1" si="9"/>
        <v>P.1 (2)</v>
      </c>
      <c r="R5" s="13" t="str">
        <f t="shared" ca="1" si="10"/>
        <v>-</v>
      </c>
      <c r="S5" s="13"/>
      <c r="T5" s="13" t="str">
        <f t="shared" ca="1" si="11"/>
        <v>P.1 (2)</v>
      </c>
      <c r="U5" s="13" t="str">
        <f t="shared" ca="1" si="12"/>
        <v>-</v>
      </c>
      <c r="V5" s="14"/>
      <c r="W5" s="674"/>
      <c r="X5" s="21">
        <f ca="1">Horarios!C5</f>
        <v>46184.916666666664</v>
      </c>
      <c r="Y5" s="22">
        <f ca="1">Horarios!C5</f>
        <v>46184.916666666664</v>
      </c>
      <c r="Z5" s="23" t="str">
        <f>$Z$4</f>
        <v>J1</v>
      </c>
      <c r="AA5" s="24" t="str">
        <f ca="1">A7</f>
        <v>Corea del Sur</v>
      </c>
      <c r="AB5" s="46" t="e" cm="1" vm="3">
        <f t="array" aca="1" ref="AB5" ca="1">Ver_flag_local</f>
        <v>#VALUE!</v>
      </c>
      <c r="AC5" s="47">
        <v>1</v>
      </c>
      <c r="AD5" s="48">
        <v>0</v>
      </c>
      <c r="AE5" s="581" t="e" cm="1" vm="4">
        <f t="array" aca="1" ref="AE5" ca="1">Ver_flag_visit</f>
        <v>#VALUE!</v>
      </c>
      <c r="AF5" s="29" t="str">
        <f ca="1">A8</f>
        <v>República Checa</v>
      </c>
      <c r="AG5" s="310">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4"/>
      <c r="X6" s="21">
        <f ca="1">Horarios!C6</f>
        <v>46191.5</v>
      </c>
      <c r="Y6" s="22">
        <f ca="1">Horarios!C6</f>
        <v>46191.5</v>
      </c>
      <c r="Z6" s="23" t="str">
        <f>Idiomas!D62</f>
        <v>J2</v>
      </c>
      <c r="AA6" s="24" t="str">
        <f ca="1">A8</f>
        <v>República Checa</v>
      </c>
      <c r="AB6" s="46" t="e" cm="1" vm="4">
        <f t="array" aca="1" ref="AB6" ca="1">Ver_flag_local</f>
        <v>#VALUE!</v>
      </c>
      <c r="AC6" s="47">
        <v>2</v>
      </c>
      <c r="AD6" s="48">
        <v>0</v>
      </c>
      <c r="AE6" s="581" t="e" cm="1" vm="2">
        <f t="array" aca="1" ref="AE6" ca="1">Ver_flag_visit</f>
        <v>#VALUE!</v>
      </c>
      <c r="AF6" s="29" t="str">
        <f ca="1">A6</f>
        <v>Sudáfrica</v>
      </c>
      <c r="AG6" s="310">
        <f t="shared" si="13"/>
        <v>1</v>
      </c>
      <c r="AH6" s="188">
        <v>25</v>
      </c>
      <c r="AI6" s="177" t="str">
        <f>AJ6&amp;$B$4</f>
        <v>1A</v>
      </c>
      <c r="AJ6" s="37">
        <v>1</v>
      </c>
      <c r="AK6" s="583"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2</v>
      </c>
      <c r="AT6" s="38">
        <f t="shared" ca="1" si="15"/>
        <v>3</v>
      </c>
      <c r="AU6" s="317">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2</v>
      </c>
      <c r="BL6" s="13">
        <f ca="1">+BJ6-BK6</f>
        <v>3</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P.1 (2)</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1</v>
      </c>
      <c r="BW6" s="13">
        <f t="shared" ref="BW6:BW53" ca="1" si="26">IF($BT6="-","-",COUNTIFS(FGLocal,$BD6,Ganador,"Visitante",Part1Empate1V,$BT6)+COUNTIFS(FGVisitante,$BD6,Ganador,"Local",Part1Empate1L,$BT6))</f>
        <v>0</v>
      </c>
      <c r="BX6" s="13">
        <f ca="1">IF($BT6="-","-",BU6*3+BV6)</f>
        <v>1</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P.1 (2)</v>
      </c>
      <c r="CA6" s="13">
        <f t="shared" ref="CA6:CA53" ca="1" si="27">IF($BZ6="-","-",SUMIFS(FG_GolesLocal,FGLocal,$BD6,Part1Empate2V,$BZ6)+SUMIFS(FG_GolesVisitante,FGVisitante,$BD6,Part1Empate2L,$BZ6))</f>
        <v>1</v>
      </c>
      <c r="CB6" s="13">
        <f t="shared" ref="CB6:CB53" ca="1" si="28">IF($BZ6="-","-",SUMIFS(FG_GolesVisitante,FGLocal,$BD6,Part1Empate2V,$BZ6)+SUMIFS(FG_GolesLocal,FGVisitante,$BD6,Part1Empate2L,$BZ6))</f>
        <v>1</v>
      </c>
      <c r="CC6" s="13">
        <f ca="1">IF($BZ6="-","-",CA6-CB6)</f>
        <v>0</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P.1 (2)</v>
      </c>
      <c r="CF6" s="13">
        <f t="shared" ref="CF6:CF53" ca="1" si="29">IF($CE6="-","-",SUMIFS(FG_GolesLocal,FGLocal,$BD6,Part1Empate3V,$CE6)+SUMIFS(FG_GolesVisitante,FGVisitante,$BD6,Part1Empate3L,$CE6))</f>
        <v>1</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P.1 (2)</v>
      </c>
      <c r="CI6" s="13">
        <f t="shared" ref="CI6:CI53" ca="1" si="30">IF($CH6="-","-",COUNTIFS(FGLocal,$BD6,Ganador,"Local",Part2Empate4V,$CH6)+COUNTIFS(FGVisitante,$BD6,Ganador,"Visitante",Part2Empate4L,$CH6))</f>
        <v>0</v>
      </c>
      <c r="CJ6" s="13">
        <f t="shared" ref="CJ6:CJ53" ca="1" si="31">IF($CH6="-","-",COUNTIFS(FGLocal,$BD6,Ganador,"Empate",Part2Empate4V,$CH6)+COUNTIFS(FGVisitante,$BD6,Ganador,"Empate",Part2Empate4L,$CH6))</f>
        <v>1</v>
      </c>
      <c r="CK6" s="13">
        <f t="shared" ref="CK6:CK53" ca="1" si="32">IF($CH6="-","-",COUNTIFS(FGLocal,$BD6,Ganador,"Visitante",Part2Empate4V,$CH6)+COUNTIFS(FGVisitante,$BD6,Ganador,"Local",Part2Empate4L,$CH6))</f>
        <v>0</v>
      </c>
      <c r="CL6" s="13">
        <f ca="1">IF($CH6="-","-",CI6*3+CJ6)</f>
        <v>1</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P.1 (2)</v>
      </c>
      <c r="CO6" s="13">
        <f t="shared" ref="CO6:CO53" ca="1" si="33">IF($CN6="-","-",SUMIFS(FG_GolesLocal,FGLocal,$BD6,Part2Empate5V,$CN6)+SUMIFS(FG_GolesVisitante,FGVisitante,$BD6,Part2Empate5L,$CN6))</f>
        <v>1</v>
      </c>
      <c r="CP6" s="13">
        <f t="shared" ref="CP6:CP53" ca="1" si="34">IF($CN6="-","-",SUMIFS(FG_GolesVisitante,FGLocal,$BD6,Part2Empate5V,$CN6)+SUMIFS(FG_GolesLocal,FGVisitante,$BD6,Part2Empate5L,$CN6))</f>
        <v>1</v>
      </c>
      <c r="CQ6" s="13">
        <f ca="1">IF($CN6="-","-",CO6-CP6)</f>
        <v>0</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P.1 (2)</v>
      </c>
      <c r="CT6" s="13">
        <f t="shared" ref="CT6:CT53" ca="1" si="35">IF($CS6="-","-",SUMIFS(FG_GolesLocal,FGLocal,$BD6,Part2Empate6V,$CS6)+SUMIFS(FG_GolesVisitante,FGVisitante,$BD6,Part2Empate6L,$CS6))</f>
        <v>1</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P.1 (2)</v>
      </c>
      <c r="CW6" s="13">
        <f t="shared" ref="CW6:CW53" ca="1" si="36">IF(CV6="-","-",BL6)</f>
        <v>3</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Empate</v>
      </c>
      <c r="E7" s="13" t="str">
        <f t="shared" ca="1" si="1"/>
        <v>P.1 (2)</v>
      </c>
      <c r="F7" s="13" t="str">
        <f t="shared" ca="1" si="2"/>
        <v>P.1 (2)</v>
      </c>
      <c r="G7" s="13"/>
      <c r="H7" s="13" t="str">
        <f t="shared" ca="1" si="3"/>
        <v>P.1 (2)</v>
      </c>
      <c r="I7" s="13" t="str">
        <f t="shared" ca="1" si="4"/>
        <v>P.1 (2)</v>
      </c>
      <c r="J7" s="13"/>
      <c r="K7" s="13" t="str">
        <f t="shared" ca="1" si="5"/>
        <v>P.1 (2)</v>
      </c>
      <c r="L7" s="13" t="str">
        <f t="shared" ca="1" si="6"/>
        <v>P.1 (2)</v>
      </c>
      <c r="M7" s="13"/>
      <c r="N7" s="13" t="str">
        <f t="shared" ca="1" si="7"/>
        <v>P.1 (2)</v>
      </c>
      <c r="O7" s="13" t="str">
        <f t="shared" ca="1" si="8"/>
        <v>P.1 (2)</v>
      </c>
      <c r="P7" s="13"/>
      <c r="Q7" s="13" t="str">
        <f t="shared" ca="1" si="9"/>
        <v>P.1 (2)</v>
      </c>
      <c r="R7" s="13" t="str">
        <f t="shared" ca="1" si="10"/>
        <v>P.1 (2)</v>
      </c>
      <c r="S7" s="13"/>
      <c r="T7" s="13" t="str">
        <f t="shared" ca="1" si="11"/>
        <v>P.1 (2)</v>
      </c>
      <c r="U7" s="13" t="str">
        <f t="shared" ca="1" si="12"/>
        <v>P.1 (2)</v>
      </c>
      <c r="V7" s="14"/>
      <c r="W7" s="674"/>
      <c r="X7" s="21">
        <f ca="1">Horarios!C7</f>
        <v>46191.875</v>
      </c>
      <c r="Y7" s="22">
        <f ca="1">Horarios!C7</f>
        <v>46191.875</v>
      </c>
      <c r="Z7" s="23" t="str">
        <f>$Z$6</f>
        <v>J2</v>
      </c>
      <c r="AA7" s="24" t="str">
        <f ca="1">A5</f>
        <v>México</v>
      </c>
      <c r="AB7" s="46" t="e" cm="1" vm="1">
        <f t="array" aca="1" ref="AB7" ca="1">Ver_flag_local</f>
        <v>#VALUE!</v>
      </c>
      <c r="AC7" s="47">
        <v>1</v>
      </c>
      <c r="AD7" s="48">
        <v>1</v>
      </c>
      <c r="AE7" s="581" t="e" cm="1" vm="3">
        <f t="array" aca="1" ref="AE7" ca="1">Ver_flag_visit</f>
        <v>#VALUE!</v>
      </c>
      <c r="AF7" s="29" t="str">
        <f ca="1">A7</f>
        <v>Corea del Sur</v>
      </c>
      <c r="AG7" s="310">
        <f t="shared" si="13"/>
        <v>1</v>
      </c>
      <c r="AH7" s="188">
        <v>28</v>
      </c>
      <c r="AI7" s="177" t="str">
        <f>AJ7&amp;$B$4</f>
        <v>2A</v>
      </c>
      <c r="AJ7" s="39">
        <v>2</v>
      </c>
      <c r="AK7" s="584" t="e" cm="1" vm="3">
        <f t="array" aca="1" ref="AK7" ca="1">Ver_flag_visit</f>
        <v>#VALUE!</v>
      </c>
      <c r="AL7" s="34" t="str">
        <f ca="1">IFERROR(INDEX($BD$6:$BD$53,MATCH(AI7,$BN$6:$BN$53,0)),"")</f>
        <v>Corea del Sur</v>
      </c>
      <c r="AM7" s="35">
        <f t="shared" ca="1" si="15"/>
        <v>7</v>
      </c>
      <c r="AN7" s="36">
        <f t="shared" ca="1" si="15"/>
        <v>3</v>
      </c>
      <c r="AO7" s="36">
        <f t="shared" ca="1" si="15"/>
        <v>2</v>
      </c>
      <c r="AP7" s="36">
        <f t="shared" ca="1" si="15"/>
        <v>1</v>
      </c>
      <c r="AQ7" s="36">
        <f t="shared" ca="1" si="15"/>
        <v>0</v>
      </c>
      <c r="AR7" s="36">
        <f t="shared" ca="1" si="15"/>
        <v>3</v>
      </c>
      <c r="AS7" s="36">
        <f t="shared" ca="1" si="15"/>
        <v>1</v>
      </c>
      <c r="AT7" s="40">
        <f t="shared" ca="1" si="15"/>
        <v>2</v>
      </c>
      <c r="AU7" s="317">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1</v>
      </c>
      <c r="BK7" s="13">
        <f t="shared" ca="1" si="21"/>
        <v>5</v>
      </c>
      <c r="BL7" s="13">
        <f t="shared" ref="BL7:BL53" ca="1" si="42">+BJ7-BK7</f>
        <v>-4</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05" customHeight="1">
      <c r="A8" s="13" t="str">
        <f ca="1">+Equipos!B5</f>
        <v>República Checa</v>
      </c>
      <c r="B8" s="13"/>
      <c r="C8" s="13"/>
      <c r="D8" s="13" t="str">
        <f t="shared" si="0"/>
        <v>Visitante</v>
      </c>
      <c r="E8" s="13" t="str">
        <f t="shared" ca="1" si="1"/>
        <v>-</v>
      </c>
      <c r="F8" s="13" t="str">
        <f t="shared" ca="1" si="2"/>
        <v>P.1 (2)</v>
      </c>
      <c r="G8" s="13"/>
      <c r="H8" s="13" t="str">
        <f t="shared" ca="1" si="3"/>
        <v>-</v>
      </c>
      <c r="I8" s="13" t="str">
        <f t="shared" ca="1" si="4"/>
        <v>P.1 (2)</v>
      </c>
      <c r="J8" s="13"/>
      <c r="K8" s="13" t="str">
        <f t="shared" ca="1" si="5"/>
        <v>-</v>
      </c>
      <c r="L8" s="13" t="str">
        <f t="shared" ca="1" si="6"/>
        <v>P.1 (2)</v>
      </c>
      <c r="M8" s="13"/>
      <c r="N8" s="13" t="str">
        <f t="shared" ca="1" si="7"/>
        <v>-</v>
      </c>
      <c r="O8" s="13" t="str">
        <f t="shared" ca="1" si="8"/>
        <v>P.1 (2)</v>
      </c>
      <c r="P8" s="13"/>
      <c r="Q8" s="13" t="str">
        <f t="shared" ca="1" si="9"/>
        <v>-</v>
      </c>
      <c r="R8" s="13" t="str">
        <f t="shared" ca="1" si="10"/>
        <v>P.1 (2)</v>
      </c>
      <c r="S8" s="13"/>
      <c r="T8" s="13" t="str">
        <f t="shared" ca="1" si="11"/>
        <v>-</v>
      </c>
      <c r="U8" s="13" t="str">
        <f t="shared" ca="1" si="12"/>
        <v>P.1 (2)</v>
      </c>
      <c r="V8" s="14"/>
      <c r="W8" s="674"/>
      <c r="X8" s="21">
        <f ca="1">Horarios!C8</f>
        <v>46197.875</v>
      </c>
      <c r="Y8" s="22">
        <f ca="1">Horarios!C8</f>
        <v>46197.875</v>
      </c>
      <c r="Z8" s="23" t="str">
        <f>Idiomas!D63</f>
        <v>J3</v>
      </c>
      <c r="AA8" s="24" t="str">
        <f ca="1">A8</f>
        <v>República Checa</v>
      </c>
      <c r="AB8" s="46" t="e" cm="1" vm="4">
        <f t="array" aca="1" ref="AB8" ca="1">Ver_flag_local</f>
        <v>#VALUE!</v>
      </c>
      <c r="AC8" s="47">
        <v>0</v>
      </c>
      <c r="AD8" s="48">
        <v>2</v>
      </c>
      <c r="AE8" s="581" t="e" cm="1" vm="1">
        <f t="array" aca="1" ref="AE8" ca="1">Ver_flag_visit</f>
        <v>#VALUE!</v>
      </c>
      <c r="AF8" s="29" t="str">
        <f ca="1">A5</f>
        <v>México</v>
      </c>
      <c r="AG8" s="310">
        <f t="shared" si="13"/>
        <v>1</v>
      </c>
      <c r="AH8" s="188">
        <v>53</v>
      </c>
      <c r="AI8" s="177" t="str">
        <f>AJ8&amp;$B$4</f>
        <v>3A</v>
      </c>
      <c r="AJ8" s="39">
        <v>3</v>
      </c>
      <c r="AK8" s="584" t="e" cm="1" vm="4">
        <f t="array" aca="1" ref="AK8" ca="1">Ver_flag_visit</f>
        <v>#VALUE!</v>
      </c>
      <c r="AL8" s="34" t="str">
        <f ca="1">IFERROR(INDEX($BD$6:$BD$53,MATCH(AI8,$BN$6:$BN$53,0)),"")</f>
        <v>República Checa</v>
      </c>
      <c r="AM8" s="35">
        <f t="shared" ca="1" si="15"/>
        <v>3</v>
      </c>
      <c r="AN8" s="36">
        <f t="shared" ca="1" si="15"/>
        <v>3</v>
      </c>
      <c r="AO8" s="36">
        <f t="shared" ca="1" si="15"/>
        <v>1</v>
      </c>
      <c r="AP8" s="36">
        <f t="shared" ca="1" si="15"/>
        <v>0</v>
      </c>
      <c r="AQ8" s="36">
        <f t="shared" ca="1" si="15"/>
        <v>2</v>
      </c>
      <c r="AR8" s="36">
        <f t="shared" ca="1" si="15"/>
        <v>2</v>
      </c>
      <c r="AS8" s="36">
        <f t="shared" ca="1" si="15"/>
        <v>3</v>
      </c>
      <c r="AT8" s="40">
        <f t="shared" ca="1" si="15"/>
        <v>-1</v>
      </c>
      <c r="AU8" s="317">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3</v>
      </c>
      <c r="BK8" s="13">
        <f t="shared" ca="1" si="21"/>
        <v>1</v>
      </c>
      <c r="BL8" s="13">
        <f t="shared" ca="1" si="42"/>
        <v>2</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(2)</v>
      </c>
      <c r="BU8" s="13">
        <f t="shared" ca="1" si="24"/>
        <v>0</v>
      </c>
      <c r="BV8" s="13">
        <f t="shared" ca="1" si="25"/>
        <v>1</v>
      </c>
      <c r="BW8" s="13">
        <f t="shared" ca="1" si="26"/>
        <v>0</v>
      </c>
      <c r="BX8" s="13">
        <f ca="1">IF($BT8="-","-",BU8*3+BV8)</f>
        <v>1</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P.1 (2)</v>
      </c>
      <c r="CA8" s="13">
        <f t="shared" ca="1" si="27"/>
        <v>1</v>
      </c>
      <c r="CB8" s="13">
        <f t="shared" ca="1" si="28"/>
        <v>1</v>
      </c>
      <c r="CC8" s="13">
        <f ca="1">IF($BZ8="-","-",CA8-CB8)</f>
        <v>0</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P.1 (2)</v>
      </c>
      <c r="CF8" s="13">
        <f t="shared" ca="1" si="29"/>
        <v>1</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P.1 (2)</v>
      </c>
      <c r="CI8" s="13">
        <f t="shared" ca="1" si="30"/>
        <v>0</v>
      </c>
      <c r="CJ8" s="13">
        <f t="shared" ca="1" si="31"/>
        <v>1</v>
      </c>
      <c r="CK8" s="13">
        <f t="shared" ca="1" si="32"/>
        <v>0</v>
      </c>
      <c r="CL8" s="13">
        <f ca="1">IF($CH8="-","-",CI8*3+CJ8)</f>
        <v>1</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P.1 (2)</v>
      </c>
      <c r="CO8" s="13">
        <f t="shared" ca="1" si="33"/>
        <v>1</v>
      </c>
      <c r="CP8" s="13">
        <f t="shared" ca="1" si="34"/>
        <v>1</v>
      </c>
      <c r="CQ8" s="13">
        <f ca="1">IF($CN8="-","-",CO8-CP8)</f>
        <v>0</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P.1 (2)</v>
      </c>
      <c r="CT8" s="13">
        <f t="shared" ca="1" si="35"/>
        <v>1</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P.1 (2)</v>
      </c>
      <c r="CW8" s="13">
        <f t="shared" ca="1" si="36"/>
        <v>2</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P.1 (2)</v>
      </c>
      <c r="G9" s="13"/>
      <c r="H9" s="13" t="str">
        <f t="shared" ca="1" si="3"/>
        <v>-</v>
      </c>
      <c r="I9" s="13" t="str">
        <f t="shared" ca="1" si="4"/>
        <v>P.1 (2)</v>
      </c>
      <c r="J9" s="13"/>
      <c r="K9" s="13" t="str">
        <f t="shared" ca="1" si="5"/>
        <v>-</v>
      </c>
      <c r="L9" s="13" t="str">
        <f t="shared" ca="1" si="6"/>
        <v>P.1 (2)</v>
      </c>
      <c r="M9" s="13"/>
      <c r="N9" s="13" t="str">
        <f t="shared" ca="1" si="7"/>
        <v>-</v>
      </c>
      <c r="O9" s="13" t="str">
        <f t="shared" ca="1" si="8"/>
        <v>P.1 (2)</v>
      </c>
      <c r="P9" s="13"/>
      <c r="Q9" s="13" t="str">
        <f t="shared" ca="1" si="9"/>
        <v>-</v>
      </c>
      <c r="R9" s="13" t="str">
        <f t="shared" ca="1" si="10"/>
        <v>P.1 (2)</v>
      </c>
      <c r="S9" s="13"/>
      <c r="T9" s="13" t="str">
        <f t="shared" ca="1" si="11"/>
        <v>-</v>
      </c>
      <c r="U9" s="13" t="str">
        <f t="shared" ca="1" si="12"/>
        <v>P.1 (2)</v>
      </c>
      <c r="V9" s="14"/>
      <c r="W9" s="675"/>
      <c r="X9" s="25">
        <f ca="1">Horarios!C9</f>
        <v>46197.875</v>
      </c>
      <c r="Y9" s="26">
        <f ca="1">Horarios!C9</f>
        <v>46197.875</v>
      </c>
      <c r="Z9" s="27" t="str">
        <f>$Z$8</f>
        <v>J3</v>
      </c>
      <c r="AA9" s="28" t="str">
        <f ca="1">A6</f>
        <v>Sudáfrica</v>
      </c>
      <c r="AB9" s="49" t="e" cm="1" vm="2">
        <f t="array" aca="1" ref="AB9" ca="1">Ver_flag_local</f>
        <v>#VALUE!</v>
      </c>
      <c r="AC9" s="50">
        <v>0</v>
      </c>
      <c r="AD9" s="51">
        <v>1</v>
      </c>
      <c r="AE9" s="582" t="e" cm="1" vm="3">
        <f t="array" aca="1" ref="AE9" ca="1">Ver_flag_visit</f>
        <v>#VALUE!</v>
      </c>
      <c r="AF9" s="30" t="str">
        <f ca="1">A7</f>
        <v>Corea del Sur</v>
      </c>
      <c r="AG9" s="310">
        <f t="shared" si="13"/>
        <v>1</v>
      </c>
      <c r="AH9" s="188">
        <v>54</v>
      </c>
      <c r="AI9" s="177" t="str">
        <f>AJ9&amp;$B$4</f>
        <v>4A</v>
      </c>
      <c r="AJ9" s="41">
        <v>4</v>
      </c>
      <c r="AK9" s="585"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1</v>
      </c>
      <c r="AS9" s="44">
        <f t="shared" ca="1" si="15"/>
        <v>5</v>
      </c>
      <c r="AT9" s="45">
        <f t="shared" ca="1" si="15"/>
        <v>-4</v>
      </c>
      <c r="AU9" s="317">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2</v>
      </c>
      <c r="BK9" s="13">
        <f t="shared" ca="1" si="21"/>
        <v>3</v>
      </c>
      <c r="BL9" s="13">
        <f t="shared" ca="1" si="42"/>
        <v>-1</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0"/>
      <c r="AH10" s="188"/>
      <c r="AI10" s="177"/>
      <c r="AJ10" s="156"/>
      <c r="AK10" s="157"/>
      <c r="AL10" s="158"/>
      <c r="AM10" s="159"/>
      <c r="AN10" s="156"/>
      <c r="AO10" s="156"/>
      <c r="AP10" s="156"/>
      <c r="AQ10" s="156"/>
      <c r="AR10" s="156"/>
      <c r="AS10" s="156"/>
      <c r="AT10" s="156"/>
      <c r="AU10" s="317"/>
      <c r="AV10" s="184"/>
      <c r="AW10" s="203"/>
      <c r="AX10" s="167"/>
      <c r="AY10" s="150"/>
      <c r="AZ10" s="151"/>
      <c r="BC10" s="13" t="str">
        <f ca="1">+INDEX(T_Equipos[Grupo],MATCH(WORLDCUP!BD10,T_Equipos[NombreEquipo],0))</f>
        <v>B</v>
      </c>
      <c r="BD10" s="13" t="str">
        <f ca="1">+Equipos!B6</f>
        <v>Canadá</v>
      </c>
      <c r="BE10" s="13">
        <f t="shared" ca="1" si="16"/>
        <v>9</v>
      </c>
      <c r="BF10" s="13">
        <f t="shared" ca="1" si="41"/>
        <v>3</v>
      </c>
      <c r="BG10" s="13">
        <f t="shared" ca="1" si="17"/>
        <v>3</v>
      </c>
      <c r="BH10" s="13">
        <f t="shared" ca="1" si="18"/>
        <v>0</v>
      </c>
      <c r="BI10" s="13">
        <f t="shared" ca="1" si="19"/>
        <v>0</v>
      </c>
      <c r="BJ10" s="13">
        <f t="shared" ca="1" si="20"/>
        <v>6</v>
      </c>
      <c r="BK10" s="13">
        <f t="shared" ca="1" si="21"/>
        <v>2</v>
      </c>
      <c r="BL10" s="13">
        <f t="shared" ca="1" si="42"/>
        <v>4</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9</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1</v>
      </c>
      <c r="DE10" s="13"/>
      <c r="DF10" s="13">
        <f t="shared" ref="DF10:DF53" ca="1" si="52">IF(OR(INDEX($AW$6:$AW$97,MATCH($BD10,$AV$6:$AV$97,0))="",DB10="-"),DD10,INDEX($AW$6:$AW$97,MATCH($BD10,$AV$6:$AV$97,0))+DD10/1000)</f>
        <v>1</v>
      </c>
      <c r="DG10" s="13" t="str">
        <f ca="1">IF(DB10="-","-",COUNTIFS(DF$6:DF$53,"&lt;"&amp;DF10,$BC$6:$BC$53,INDEX(T_Equipos[Grupo],MATCH(BD10,T_Equipos[NombreEquipo],0))))</f>
        <v>-</v>
      </c>
      <c r="DH10" s="13">
        <f ca="1">DA10+COUNTIFS(DB$6:DB$53,DB10,DG$6:DG$53,"&lt;"&amp;DG10,$BC$6:$BC$53,INDEX(T_Equipos[Grupo],MATCH(BD10,T_Equipos[NombreEquipo],0)))</f>
        <v>1</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Canadá</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1"/>
      <c r="AH11" s="188"/>
      <c r="AI11" s="175"/>
      <c r="AJ11" s="158"/>
      <c r="AK11" s="586"/>
      <c r="AL11" s="158"/>
      <c r="AM11" s="158"/>
      <c r="AN11" s="158"/>
      <c r="AO11" s="158"/>
      <c r="AP11" s="158"/>
      <c r="AQ11" s="158"/>
      <c r="AR11" s="158"/>
      <c r="AS11" s="158"/>
      <c r="AT11" s="158"/>
      <c r="AU11" s="318"/>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3</v>
      </c>
      <c r="BK11" s="13">
        <f t="shared" ca="1" si="21"/>
        <v>5</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6" t="s">
        <v>1</v>
      </c>
      <c r="X12" s="21">
        <f ca="1">Horarios!C12</f>
        <v>46185.625</v>
      </c>
      <c r="Y12" s="22">
        <f ca="1">Horarios!C12</f>
        <v>46185.625</v>
      </c>
      <c r="Z12" s="23" t="str">
        <f>$Z$4</f>
        <v>J1</v>
      </c>
      <c r="AA12" s="24" t="str">
        <f ca="1">A13</f>
        <v>Canadá</v>
      </c>
      <c r="AB12" s="46" t="e" cm="1" vm="5">
        <f t="array" aca="1" ref="AB12" ca="1">Ver_flag_local</f>
        <v>#VALUE!</v>
      </c>
      <c r="AC12" s="47">
        <v>2</v>
      </c>
      <c r="AD12" s="48">
        <v>0</v>
      </c>
      <c r="AE12" s="581" t="e" cm="1" vm="6">
        <f t="array" aca="1" ref="AE12" ca="1">Ver_flag_visit</f>
        <v>#VALUE!</v>
      </c>
      <c r="AF12" s="29" t="str">
        <f ca="1">A14</f>
        <v>Bosnia y Herzegovina</v>
      </c>
      <c r="AG12" s="310">
        <f t="shared" ref="AG12:AG17" si="66">IF(NOT(OR(ISBLANK(AC12),ISBLANK(AD12))),1,0)</f>
        <v>1</v>
      </c>
      <c r="AH12" s="188">
        <v>3</v>
      </c>
      <c r="AI12" s="177"/>
      <c r="AJ12" s="56" t="str">
        <f>CONCATENATE(AJ3," ",B12)</f>
        <v>Grupo B</v>
      </c>
      <c r="AK12" s="57"/>
      <c r="AL12" s="57"/>
      <c r="AM12" s="57"/>
      <c r="AN12" s="57"/>
      <c r="AO12" s="57"/>
      <c r="AP12" s="57"/>
      <c r="AQ12" s="57"/>
      <c r="AR12" s="57"/>
      <c r="AS12" s="57"/>
      <c r="AT12" s="58"/>
      <c r="AU12" s="318"/>
      <c r="AV12" s="274"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0</v>
      </c>
      <c r="BK12" s="13">
        <f t="shared" ca="1" si="21"/>
        <v>5</v>
      </c>
      <c r="BL12" s="13">
        <f t="shared" ca="1" si="42"/>
        <v>-5</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6"/>
      <c r="X13" s="21">
        <f ca="1">Horarios!C13</f>
        <v>46186.625</v>
      </c>
      <c r="Y13" s="22">
        <f ca="1">Horarios!C13</f>
        <v>46186.625</v>
      </c>
      <c r="Z13" s="23" t="str">
        <f>$Z$4</f>
        <v>J1</v>
      </c>
      <c r="AA13" s="24" t="str">
        <f ca="1">A15</f>
        <v>Catar</v>
      </c>
      <c r="AB13" s="46" t="e" cm="1" vm="7">
        <f t="array" aca="1" ref="AB13" ca="1">Ver_flag_local</f>
        <v>#VALUE!</v>
      </c>
      <c r="AC13" s="47">
        <v>0</v>
      </c>
      <c r="AD13" s="48">
        <v>3</v>
      </c>
      <c r="AE13" s="581" t="e" cm="1" vm="8">
        <f t="array" aca="1" ref="AE13" ca="1">Ver_flag_visit</f>
        <v>#VALUE!</v>
      </c>
      <c r="AF13" s="29" t="str">
        <f ca="1">A16</f>
        <v>Suiza</v>
      </c>
      <c r="AG13" s="310">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8">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6</v>
      </c>
      <c r="BF13" s="13">
        <f t="shared" ca="1" si="41"/>
        <v>3</v>
      </c>
      <c r="BG13" s="13">
        <f t="shared" ca="1" si="17"/>
        <v>2</v>
      </c>
      <c r="BH13" s="13">
        <f t="shared" ca="1" si="18"/>
        <v>0</v>
      </c>
      <c r="BI13" s="13">
        <f t="shared" ca="1" si="19"/>
        <v>1</v>
      </c>
      <c r="BJ13" s="13">
        <f t="shared" ca="1" si="20"/>
        <v>8</v>
      </c>
      <c r="BK13" s="13">
        <f t="shared" ca="1" si="21"/>
        <v>5</v>
      </c>
      <c r="BL13" s="13">
        <f t="shared" ca="1" si="42"/>
        <v>3</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6</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6"/>
      <c r="X14" s="21">
        <f ca="1">Horarios!C14</f>
        <v>46191.625</v>
      </c>
      <c r="Y14" s="22">
        <f ca="1">Horarios!C14</f>
        <v>46191.625</v>
      </c>
      <c r="Z14" s="23" t="str">
        <f>$Z$6</f>
        <v>J2</v>
      </c>
      <c r="AA14" s="24" t="str">
        <f ca="1">A16</f>
        <v>Suiza</v>
      </c>
      <c r="AB14" s="46" t="e" cm="1" vm="8">
        <f t="array" aca="1" ref="AB14" ca="1">Ver_flag_local</f>
        <v>#VALUE!</v>
      </c>
      <c r="AC14" s="47">
        <v>3</v>
      </c>
      <c r="AD14" s="48">
        <v>2</v>
      </c>
      <c r="AE14" s="581" t="e" cm="1" vm="6">
        <f t="array" aca="1" ref="AE14" ca="1">Ver_flag_visit</f>
        <v>#VALUE!</v>
      </c>
      <c r="AF14" s="29" t="str">
        <f ca="1">A14</f>
        <v>Bosnia y Herzegovina</v>
      </c>
      <c r="AG14" s="310">
        <f t="shared" si="66"/>
        <v>1</v>
      </c>
      <c r="AH14" s="188">
        <v>26</v>
      </c>
      <c r="AI14" s="177" t="str">
        <f>AJ14&amp;$B$12</f>
        <v>1B</v>
      </c>
      <c r="AJ14" s="68">
        <v>1</v>
      </c>
      <c r="AK14" s="587" t="e" cm="1" vm="5">
        <f t="array" aca="1" ref="AK14" ca="1">Ver_flag_visit</f>
        <v>#VALUE!</v>
      </c>
      <c r="AL14" s="31" t="str">
        <f ca="1">IFERROR(INDEX($BD$6:$BD$53,MATCH(AI14,$BN$6:$BN$53,0)),"")</f>
        <v>Canadá</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2</v>
      </c>
      <c r="AT14" s="69">
        <f t="shared" ca="1" si="69"/>
        <v>4</v>
      </c>
      <c r="AU14" s="317">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6</v>
      </c>
      <c r="BF14" s="13">
        <f t="shared" ca="1" si="41"/>
        <v>3</v>
      </c>
      <c r="BG14" s="13">
        <f t="shared" ca="1" si="17"/>
        <v>2</v>
      </c>
      <c r="BH14" s="13">
        <f t="shared" ca="1" si="18"/>
        <v>0</v>
      </c>
      <c r="BI14" s="13">
        <f t="shared" ca="1" si="19"/>
        <v>1</v>
      </c>
      <c r="BJ14" s="13">
        <f t="shared" ca="1" si="20"/>
        <v>7</v>
      </c>
      <c r="BK14" s="13">
        <f t="shared" ca="1" si="21"/>
        <v>2</v>
      </c>
      <c r="BL14" s="13">
        <f t="shared" ca="1" si="42"/>
        <v>5</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6</v>
      </c>
      <c r="BS14" s="13">
        <f ca="1">BP14+COUNTIFS($BQ$6:$BQ$53,BQ14,$BR$6:BR$53,"&gt;"&amp;BR14,$BC$6:$BC$53,INDEX(T_Equipos[Grupo],MATCH(BD14,T_Equipos[NombreEquipo],0)))</f>
        <v>2</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2</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2</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2</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2</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2</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2</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6"/>
      <c r="X15" s="21">
        <f ca="1">Horarios!C15</f>
        <v>46191.75</v>
      </c>
      <c r="Y15" s="22">
        <f ca="1">Horarios!C15</f>
        <v>46191.75</v>
      </c>
      <c r="Z15" s="23" t="str">
        <f>$Z$6</f>
        <v>J2</v>
      </c>
      <c r="AA15" s="24" t="str">
        <f ca="1">A13</f>
        <v>Canadá</v>
      </c>
      <c r="AB15" s="46" t="e" cm="1" vm="5">
        <f t="array" aca="1" ref="AB15" ca="1">Ver_flag_local</f>
        <v>#VALUE!</v>
      </c>
      <c r="AC15" s="47">
        <v>1</v>
      </c>
      <c r="AD15" s="48">
        <v>0</v>
      </c>
      <c r="AE15" s="581" t="e" cm="1" vm="7">
        <f t="array" aca="1" ref="AE15" ca="1">Ver_flag_visit</f>
        <v>#VALUE!</v>
      </c>
      <c r="AF15" s="29" t="str">
        <f ca="1">A15</f>
        <v>Catar</v>
      </c>
      <c r="AG15" s="310">
        <f t="shared" si="66"/>
        <v>1</v>
      </c>
      <c r="AH15" s="188">
        <v>27</v>
      </c>
      <c r="AI15" s="177" t="str">
        <f t="shared" ref="AI15:AI17" si="70">AJ15&amp;$B$12</f>
        <v>2B</v>
      </c>
      <c r="AJ15" s="70">
        <v>2</v>
      </c>
      <c r="AK15" s="588" t="e" cm="1" vm="8">
        <f t="array" aca="1" ref="AK15" ca="1">Ver_flag_visit</f>
        <v>#VALUE!</v>
      </c>
      <c r="AL15" s="34" t="str">
        <f ca="1">IFERROR(INDEX($BD$6:$BD$53,MATCH(AI15,$BN$6:$BN$53,0)),"")</f>
        <v>Suiza</v>
      </c>
      <c r="AM15" s="35">
        <f t="shared" ca="1" si="69"/>
        <v>6</v>
      </c>
      <c r="AN15" s="36">
        <f t="shared" ca="1" si="69"/>
        <v>3</v>
      </c>
      <c r="AO15" s="36">
        <f t="shared" ca="1" si="69"/>
        <v>2</v>
      </c>
      <c r="AP15" s="36">
        <f t="shared" ca="1" si="69"/>
        <v>0</v>
      </c>
      <c r="AQ15" s="36">
        <f t="shared" ca="1" si="69"/>
        <v>1</v>
      </c>
      <c r="AR15" s="36">
        <f t="shared" ca="1" si="69"/>
        <v>8</v>
      </c>
      <c r="AS15" s="36">
        <f t="shared" ca="1" si="69"/>
        <v>5</v>
      </c>
      <c r="AT15" s="71">
        <f t="shared" ca="1" si="69"/>
        <v>3</v>
      </c>
      <c r="AU15" s="317">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9</v>
      </c>
      <c r="BF15" s="13">
        <f t="shared" ca="1" si="41"/>
        <v>3</v>
      </c>
      <c r="BG15" s="13">
        <f t="shared" ca="1" si="17"/>
        <v>3</v>
      </c>
      <c r="BH15" s="13">
        <f t="shared" ca="1" si="18"/>
        <v>0</v>
      </c>
      <c r="BI15" s="13">
        <f t="shared" ca="1" si="19"/>
        <v>0</v>
      </c>
      <c r="BJ15" s="13">
        <f t="shared" ca="1" si="20"/>
        <v>6</v>
      </c>
      <c r="BK15" s="13">
        <f t="shared" ca="1" si="21"/>
        <v>1</v>
      </c>
      <c r="BL15" s="13">
        <f t="shared" ca="1" si="42"/>
        <v>5</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9</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05" customHeight="1">
      <c r="A16" s="13" t="str">
        <f ca="1">+Equipos!B9</f>
        <v>Suiza</v>
      </c>
      <c r="B16" s="13"/>
      <c r="C16" s="13"/>
      <c r="D16" s="13" t="str">
        <f t="shared" si="53"/>
        <v>Visitante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6"/>
      <c r="X16" s="21">
        <f ca="1">Horarios!C16</f>
        <v>46197.625</v>
      </c>
      <c r="Y16" s="22">
        <f ca="1">Horarios!C16</f>
        <v>46197.625</v>
      </c>
      <c r="Z16" s="23" t="str">
        <f>$Z$8</f>
        <v>J3</v>
      </c>
      <c r="AA16" s="24" t="str">
        <f ca="1">A16</f>
        <v>Suiza</v>
      </c>
      <c r="AB16" s="46" t="e" cm="1" vm="8">
        <f t="array" aca="1" ref="AB16" ca="1">Ver_flag_local</f>
        <v>#VALUE!</v>
      </c>
      <c r="AC16" s="47">
        <v>2</v>
      </c>
      <c r="AD16" s="48">
        <v>3</v>
      </c>
      <c r="AE16" s="581" t="e" cm="1" vm="5">
        <f t="array" aca="1" ref="AE16" ca="1">Ver_flag_visit</f>
        <v>#VALUE!</v>
      </c>
      <c r="AF16" s="29" t="str">
        <f ca="1">A13</f>
        <v>Canadá</v>
      </c>
      <c r="AG16" s="310">
        <f t="shared" si="66"/>
        <v>1</v>
      </c>
      <c r="AH16" s="188">
        <v>51</v>
      </c>
      <c r="AI16" s="177" t="str">
        <f t="shared" si="70"/>
        <v>3B</v>
      </c>
      <c r="AJ16" s="70">
        <v>3</v>
      </c>
      <c r="AK16" s="588"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3</v>
      </c>
      <c r="AS16" s="36">
        <f t="shared" ca="1" si="69"/>
        <v>5</v>
      </c>
      <c r="AT16" s="71">
        <f t="shared" ca="1" si="69"/>
        <v>-2</v>
      </c>
      <c r="AU16" s="317">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7</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7"/>
      <c r="X17" s="25">
        <f ca="1">Horarios!C17</f>
        <v>46197.625</v>
      </c>
      <c r="Y17" s="26">
        <f ca="1">Horarios!C17</f>
        <v>46197.625</v>
      </c>
      <c r="Z17" s="27" t="str">
        <f>$Z$8</f>
        <v>J3</v>
      </c>
      <c r="AA17" s="28" t="str">
        <f ca="1">A14</f>
        <v>Bosnia y Herzegovina</v>
      </c>
      <c r="AB17" s="49" t="e" cm="1" vm="6">
        <f t="array" aca="1" ref="AB17" ca="1">Ver_flag_local</f>
        <v>#VALUE!</v>
      </c>
      <c r="AC17" s="50">
        <v>1</v>
      </c>
      <c r="AD17" s="51">
        <v>0</v>
      </c>
      <c r="AE17" s="582" t="e" cm="1" vm="7">
        <f t="array" aca="1" ref="AE17" ca="1">Ver_flag_visit</f>
        <v>#VALUE!</v>
      </c>
      <c r="AF17" s="30" t="str">
        <f ca="1">A15</f>
        <v>Catar</v>
      </c>
      <c r="AG17" s="310">
        <f t="shared" si="66"/>
        <v>1</v>
      </c>
      <c r="AH17" s="188">
        <v>52</v>
      </c>
      <c r="AI17" s="177" t="str">
        <f t="shared" si="70"/>
        <v>4B</v>
      </c>
      <c r="AJ17" s="72">
        <v>4</v>
      </c>
      <c r="AK17" s="589"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0</v>
      </c>
      <c r="AS17" s="75">
        <f t="shared" ca="1" si="69"/>
        <v>5</v>
      </c>
      <c r="AT17" s="76">
        <f t="shared" ca="1" si="69"/>
        <v>-5</v>
      </c>
      <c r="AU17" s="317">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2</v>
      </c>
      <c r="BK17" s="13">
        <f t="shared" ca="1" si="21"/>
        <v>5</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2"/>
      <c r="AH18" s="188"/>
      <c r="AI18" s="176"/>
      <c r="AJ18" s="156"/>
      <c r="AK18" s="157"/>
      <c r="AL18" s="158"/>
      <c r="AM18" s="159"/>
      <c r="AN18" s="156"/>
      <c r="AO18" s="156"/>
      <c r="AP18" s="156"/>
      <c r="AQ18" s="156"/>
      <c r="AR18" s="156"/>
      <c r="AS18" s="156"/>
      <c r="AT18" s="156"/>
      <c r="AU18" s="317"/>
      <c r="AV18" s="184"/>
      <c r="AW18" s="203"/>
      <c r="AX18" s="167"/>
      <c r="AY18" s="150"/>
      <c r="AZ18" s="151"/>
      <c r="BC18" s="13" t="str">
        <f ca="1">+INDEX(T_Equipos[Grupo],MATCH(WORLDCUP!BD18,T_Equipos[NombreEquipo],0))</f>
        <v>D</v>
      </c>
      <c r="BD18" s="13" t="str">
        <f ca="1">+Equipos!B14</f>
        <v>Estados Unidos</v>
      </c>
      <c r="BE18" s="13">
        <f t="shared" ca="1" si="16"/>
        <v>3</v>
      </c>
      <c r="BF18" s="13">
        <f t="shared" ca="1" si="41"/>
        <v>3</v>
      </c>
      <c r="BG18" s="13">
        <f t="shared" ca="1" si="17"/>
        <v>1</v>
      </c>
      <c r="BH18" s="13">
        <f t="shared" ca="1" si="18"/>
        <v>0</v>
      </c>
      <c r="BI18" s="13">
        <f t="shared" ca="1" si="19"/>
        <v>2</v>
      </c>
      <c r="BJ18" s="13">
        <f t="shared" ca="1" si="20"/>
        <v>1</v>
      </c>
      <c r="BK18" s="13">
        <f t="shared" ca="1" si="21"/>
        <v>4</v>
      </c>
      <c r="BL18" s="13">
        <f t="shared" ca="1" si="42"/>
        <v>-3</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3</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1"/>
      <c r="AH19" s="188"/>
      <c r="AI19" s="175"/>
      <c r="AJ19" s="158"/>
      <c r="AK19" s="586"/>
      <c r="AL19" s="158"/>
      <c r="AM19" s="158"/>
      <c r="AN19" s="158"/>
      <c r="AO19" s="158"/>
      <c r="AP19" s="158"/>
      <c r="AQ19" s="158"/>
      <c r="AR19" s="158"/>
      <c r="AS19" s="158"/>
      <c r="AT19" s="158"/>
      <c r="AU19" s="318"/>
      <c r="AV19" s="183"/>
      <c r="AW19" s="204"/>
      <c r="AX19" s="168"/>
      <c r="AY19" s="150"/>
      <c r="AZ19" s="151"/>
      <c r="BC19" s="13" t="str">
        <f ca="1">+INDEX(T_Equipos[Grupo],MATCH(WORLDCUP!BD19,T_Equipos[NombreEquipo],0))</f>
        <v>D</v>
      </c>
      <c r="BD19" s="13" t="str">
        <f ca="1">+Equipos!B15</f>
        <v>Paraguay</v>
      </c>
      <c r="BE19" s="13">
        <f t="shared" ca="1" si="16"/>
        <v>5</v>
      </c>
      <c r="BF19" s="13">
        <f t="shared" ca="1" si="41"/>
        <v>3</v>
      </c>
      <c r="BG19" s="13">
        <f t="shared" ca="1" si="17"/>
        <v>1</v>
      </c>
      <c r="BH19" s="13">
        <f t="shared" ca="1" si="18"/>
        <v>2</v>
      </c>
      <c r="BI19" s="13">
        <f t="shared" ca="1" si="19"/>
        <v>0</v>
      </c>
      <c r="BJ19" s="13">
        <f t="shared" ca="1" si="20"/>
        <v>3</v>
      </c>
      <c r="BK19" s="13">
        <f t="shared" ca="1" si="21"/>
        <v>1</v>
      </c>
      <c r="BL19" s="13">
        <f t="shared" ca="1" si="42"/>
        <v>2</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5</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1</v>
      </c>
      <c r="CB19" s="13">
        <f t="shared" ca="1" si="28"/>
        <v>1</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1</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1</v>
      </c>
      <c r="CP19" s="13">
        <f t="shared" ca="1" si="34"/>
        <v>1</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1</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2</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P.1 (2)</v>
      </c>
      <c r="CZ19" s="13">
        <f t="shared" ca="1" si="37"/>
        <v>3</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Visitante</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5" t="s">
        <v>2</v>
      </c>
      <c r="X20" s="21">
        <f ca="1">Horarios!C20</f>
        <v>46186.75</v>
      </c>
      <c r="Y20" s="22">
        <f ca="1">Horarios!C20</f>
        <v>46186.75</v>
      </c>
      <c r="Z20" s="23" t="str">
        <f>$Z$4</f>
        <v>J1</v>
      </c>
      <c r="AA20" s="24" t="str">
        <f ca="1">A21</f>
        <v>Brasil</v>
      </c>
      <c r="AB20" s="46" t="e" cm="1" vm="9">
        <f t="array" aca="1" ref="AB20" ca="1">Ver_flag_local</f>
        <v>#VALUE!</v>
      </c>
      <c r="AC20" s="47">
        <v>1</v>
      </c>
      <c r="AD20" s="48">
        <v>2</v>
      </c>
      <c r="AE20" s="581" t="e" cm="1" vm="10">
        <f t="array" aca="1" ref="AE20" ca="1">Ver_flag_visit</f>
        <v>#VALUE!</v>
      </c>
      <c r="AF20" s="29" t="str">
        <f ca="1">A22</f>
        <v>Marruecos</v>
      </c>
      <c r="AG20" s="310">
        <f t="shared" ref="AG20:AG25" si="84">IF(NOT(OR(ISBLANK(AC20),ISBLANK(AD20))),1,0)</f>
        <v>1</v>
      </c>
      <c r="AH20" s="188">
        <v>7</v>
      </c>
      <c r="AI20" s="177"/>
      <c r="AJ20" s="56" t="str">
        <f>CONCATENATE(AJ3," ",B20)</f>
        <v>Grupo C</v>
      </c>
      <c r="AK20" s="57"/>
      <c r="AL20" s="57"/>
      <c r="AM20" s="57"/>
      <c r="AN20" s="57"/>
      <c r="AO20" s="57"/>
      <c r="AP20" s="57"/>
      <c r="AQ20" s="57"/>
      <c r="AR20" s="57"/>
      <c r="AS20" s="57"/>
      <c r="AT20" s="58"/>
      <c r="AU20" s="318"/>
      <c r="AV20" s="274" t="str">
        <f ca="1">IF(AU21&gt;0,$AV$3,"")</f>
        <v/>
      </c>
      <c r="AW20" s="163"/>
      <c r="AX20" s="163"/>
      <c r="AY20" s="150"/>
      <c r="AZ20" s="151"/>
      <c r="BC20" s="13" t="str">
        <f ca="1">+INDEX(T_Equipos[Grupo],MATCH(WORLDCUP!BD20,T_Equipos[NombreEquipo],0))</f>
        <v>D</v>
      </c>
      <c r="BD20" s="13" t="str">
        <f ca="1">+Equipos!B16</f>
        <v>Australia</v>
      </c>
      <c r="BE20" s="13">
        <f t="shared" ca="1" si="16"/>
        <v>2</v>
      </c>
      <c r="BF20" s="13">
        <f t="shared" ca="1" si="41"/>
        <v>3</v>
      </c>
      <c r="BG20" s="13">
        <f t="shared" ca="1" si="17"/>
        <v>0</v>
      </c>
      <c r="BH20" s="13">
        <f t="shared" ca="1" si="18"/>
        <v>2</v>
      </c>
      <c r="BI20" s="13">
        <f t="shared" ca="1" si="19"/>
        <v>1</v>
      </c>
      <c r="BJ20" s="13">
        <f t="shared" ca="1" si="20"/>
        <v>2</v>
      </c>
      <c r="BK20" s="13">
        <f t="shared" ca="1" si="21"/>
        <v>3</v>
      </c>
      <c r="BL20" s="13">
        <f t="shared" ca="1" si="42"/>
        <v>-1</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2</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5"/>
      <c r="X21" s="21">
        <f ca="1">Horarios!C21</f>
        <v>46186.875</v>
      </c>
      <c r="Y21" s="22">
        <f ca="1">Horarios!C21</f>
        <v>46186.875</v>
      </c>
      <c r="Z21" s="23" t="str">
        <f>$Z$4</f>
        <v>J1</v>
      </c>
      <c r="AA21" s="24" t="str">
        <f ca="1">A23</f>
        <v>Haití</v>
      </c>
      <c r="AB21" s="46" t="e" cm="1" vm="11">
        <f t="array" aca="1" ref="AB21" ca="1">Ver_flag_local</f>
        <v>#VALUE!</v>
      </c>
      <c r="AC21" s="47">
        <v>0</v>
      </c>
      <c r="AD21" s="48">
        <v>2</v>
      </c>
      <c r="AE21" s="581" t="e" cm="1" vm="12">
        <f t="array" aca="1" ref="AE21" ca="1">Ver_flag_visit</f>
        <v>#VALUE!</v>
      </c>
      <c r="AF21" s="29" t="str">
        <f ca="1">A24</f>
        <v>Escocia</v>
      </c>
      <c r="AG21" s="310">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8">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5</v>
      </c>
      <c r="BF21" s="13">
        <f t="shared" ca="1" si="41"/>
        <v>3</v>
      </c>
      <c r="BG21" s="13">
        <f t="shared" ca="1" si="17"/>
        <v>1</v>
      </c>
      <c r="BH21" s="13">
        <f t="shared" ca="1" si="18"/>
        <v>2</v>
      </c>
      <c r="BI21" s="13">
        <f t="shared" ca="1" si="19"/>
        <v>0</v>
      </c>
      <c r="BJ21" s="13">
        <f t="shared" ca="1" si="20"/>
        <v>5</v>
      </c>
      <c r="BK21" s="13">
        <f t="shared" ca="1" si="21"/>
        <v>3</v>
      </c>
      <c r="BL21" s="13">
        <f t="shared" ca="1" si="42"/>
        <v>2</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5</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1</v>
      </c>
      <c r="CB21" s="13">
        <f t="shared" ca="1" si="28"/>
        <v>1</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1</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1</v>
      </c>
      <c r="CP21" s="13">
        <f t="shared" ca="1" si="34"/>
        <v>1</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1</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2</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P.1 (2)</v>
      </c>
      <c r="CZ21" s="13">
        <f t="shared" ca="1" si="37"/>
        <v>5</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5"/>
      <c r="X22" s="21">
        <f ca="1">Horarios!C22</f>
        <v>46192.75</v>
      </c>
      <c r="Y22" s="22">
        <f ca="1">Horarios!C22</f>
        <v>46192.75</v>
      </c>
      <c r="Z22" s="23" t="str">
        <f>$Z$6</f>
        <v>J2</v>
      </c>
      <c r="AA22" s="24" t="str">
        <f ca="1">A24</f>
        <v>Escocia</v>
      </c>
      <c r="AB22" s="46" t="e" cm="1" vm="12">
        <f t="array" aca="1" ref="AB22" ca="1">Ver_flag_local</f>
        <v>#VALUE!</v>
      </c>
      <c r="AC22" s="47">
        <v>0</v>
      </c>
      <c r="AD22" s="48">
        <v>2</v>
      </c>
      <c r="AE22" s="581" t="e" cm="1" vm="10">
        <f t="array" aca="1" ref="AE22" ca="1">Ver_flag_visit</f>
        <v>#VALUE!</v>
      </c>
      <c r="AF22" s="29" t="str">
        <f ca="1">A22</f>
        <v>Marruecos</v>
      </c>
      <c r="AG22" s="310">
        <f t="shared" si="84"/>
        <v>1</v>
      </c>
      <c r="AH22" s="188">
        <v>30</v>
      </c>
      <c r="AI22" s="177" t="str">
        <f>AJ22&amp;$B$20</f>
        <v>1C</v>
      </c>
      <c r="AJ22" s="37">
        <v>1</v>
      </c>
      <c r="AK22" s="587" t="e" cm="1" vm="10">
        <f t="array" aca="1" ref="AK22" ca="1">Ver_flag_visit</f>
        <v>#VALUE!</v>
      </c>
      <c r="AL22" s="31" t="str">
        <f ca="1">IFERROR(INDEX($BD$6:$BD$53,MATCH(AI22,$BN$6:$BN$53,0)),"")</f>
        <v>Marruecos</v>
      </c>
      <c r="AM22" s="32">
        <f t="shared" ref="AM22:AT25" ca="1" si="87">INDEX($BE$6:$BN$53,MATCH($AL22,$BD$6:$BD$53,0),MATCH(AM$5,$BE$5:$BN$5,0))</f>
        <v>9</v>
      </c>
      <c r="AN22" s="33">
        <f t="shared" ca="1" si="87"/>
        <v>3</v>
      </c>
      <c r="AO22" s="33">
        <f t="shared" ca="1" si="87"/>
        <v>3</v>
      </c>
      <c r="AP22" s="33">
        <f t="shared" ca="1" si="87"/>
        <v>0</v>
      </c>
      <c r="AQ22" s="33">
        <f t="shared" ca="1" si="87"/>
        <v>0</v>
      </c>
      <c r="AR22" s="33">
        <f t="shared" ca="1" si="87"/>
        <v>6</v>
      </c>
      <c r="AS22" s="33">
        <f t="shared" ca="1" si="87"/>
        <v>1</v>
      </c>
      <c r="AT22" s="38">
        <f t="shared" ca="1" si="87"/>
        <v>5</v>
      </c>
      <c r="AU22" s="317">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6</v>
      </c>
      <c r="BK22" s="13">
        <f t="shared" ca="1" si="21"/>
        <v>2</v>
      </c>
      <c r="BL22" s="13">
        <f t="shared" ca="1" si="42"/>
        <v>4</v>
      </c>
      <c r="BM22" s="13" t="str">
        <f t="shared" ca="1" si="22"/>
        <v>2E</v>
      </c>
      <c r="BN22" s="13" t="str">
        <f t="shared" ca="1" si="23"/>
        <v>2E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1</v>
      </c>
      <c r="CB22" s="13">
        <f t="shared" ca="1" si="28"/>
        <v>1</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1</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1</v>
      </c>
      <c r="CP22" s="13">
        <f t="shared" ca="1" si="34"/>
        <v>1</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1</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4</v>
      </c>
      <c r="CX22" s="13">
        <f ca="1">CU22+COUNTIFS($CV$6:$CV$53,CV22,$CW$6:CW$53,"&gt;"&amp;CW22,$BC$6:$BC$53,INDEX(T_Equipos[Grupo],MATCH(BD22,T_Equipos[NombreEquipo],0)))</f>
        <v>2</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2</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2</v>
      </c>
      <c r="DE22" s="13"/>
      <c r="DF22" s="13">
        <f t="shared" ca="1" si="52"/>
        <v>2</v>
      </c>
      <c r="DG22" s="13" t="str">
        <f ca="1">IF(DB22="-","-",COUNTIFS(DF$6:DF$53,"&lt;"&amp;DF22,$BC$6:$BC$53,INDEX(T_Equipos[Grupo],MATCH(BD22,T_Equipos[NombreEquipo],0))))</f>
        <v>-</v>
      </c>
      <c r="DH22" s="13">
        <f ca="1">DA22+COUNTIFS(DB$6:DB$53,DB22,DG$6:DG$53,"&lt;"&amp;DG22,$BC$6:$BC$53,INDEX(T_Equipos[Grupo],MATCH(BD22,T_Equipos[NombreEquipo],0)))</f>
        <v>2</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Ecuador</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5"/>
      <c r="X23" s="21">
        <f ca="1">Horarios!C23</f>
        <v>46192.854166666664</v>
      </c>
      <c r="Y23" s="22">
        <f ca="1">Horarios!C23</f>
        <v>46192.854166666664</v>
      </c>
      <c r="Z23" s="23" t="str">
        <f>$Z$6</f>
        <v>J2</v>
      </c>
      <c r="AA23" s="24" t="str">
        <f ca="1">A21</f>
        <v>Brasil</v>
      </c>
      <c r="AB23" s="46" t="e" cm="1" vm="9">
        <f t="array" aca="1" ref="AB23" ca="1">Ver_flag_local</f>
        <v>#VALUE!</v>
      </c>
      <c r="AC23" s="47">
        <v>3</v>
      </c>
      <c r="AD23" s="48">
        <v>0</v>
      </c>
      <c r="AE23" s="581" t="e" cm="1" vm="11">
        <f t="array" aca="1" ref="AE23" ca="1">Ver_flag_visit</f>
        <v>#VALUE!</v>
      </c>
      <c r="AF23" s="29" t="str">
        <f ca="1">A23</f>
        <v>Haití</v>
      </c>
      <c r="AG23" s="310">
        <f t="shared" si="84"/>
        <v>1</v>
      </c>
      <c r="AH23" s="188">
        <v>29</v>
      </c>
      <c r="AI23" s="177" t="str">
        <f t="shared" ref="AI23:AI25" si="88">AJ23&amp;$B$20</f>
        <v>2C</v>
      </c>
      <c r="AJ23" s="39">
        <v>2</v>
      </c>
      <c r="AK23" s="588" t="e" cm="1" vm="9">
        <f t="array" aca="1" ref="AK23" ca="1">Ver_flag_visit</f>
        <v>#VALUE!</v>
      </c>
      <c r="AL23" s="34" t="str">
        <f ca="1">IFERROR(INDEX($BD$6:$BD$53,MATCH(AI23,$BN$6:$BN$53,0)),"")</f>
        <v>Brasil</v>
      </c>
      <c r="AM23" s="35">
        <f t="shared" ca="1" si="87"/>
        <v>6</v>
      </c>
      <c r="AN23" s="36">
        <f t="shared" ca="1" si="87"/>
        <v>3</v>
      </c>
      <c r="AO23" s="36">
        <f t="shared" ca="1" si="87"/>
        <v>2</v>
      </c>
      <c r="AP23" s="36">
        <f t="shared" ca="1" si="87"/>
        <v>0</v>
      </c>
      <c r="AQ23" s="36">
        <f t="shared" ca="1" si="87"/>
        <v>1</v>
      </c>
      <c r="AR23" s="36">
        <f t="shared" ca="1" si="87"/>
        <v>7</v>
      </c>
      <c r="AS23" s="36">
        <f t="shared" ca="1" si="87"/>
        <v>2</v>
      </c>
      <c r="AT23" s="40">
        <f t="shared" ca="1" si="87"/>
        <v>5</v>
      </c>
      <c r="AU23" s="317">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10</v>
      </c>
      <c r="BL23" s="13">
        <f t="shared" ca="1" si="42"/>
        <v>-9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Alemania</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5"/>
      <c r="X24" s="21">
        <f ca="1">Horarios!C24</f>
        <v>46197.75</v>
      </c>
      <c r="Y24" s="22">
        <f ca="1">Horarios!C24</f>
        <v>46197.75</v>
      </c>
      <c r="Z24" s="23" t="str">
        <f>$Z$8</f>
        <v>J3</v>
      </c>
      <c r="AA24" s="24" t="str">
        <f ca="1">A24</f>
        <v>Escocia</v>
      </c>
      <c r="AB24" s="46" t="e" cm="1" vm="12">
        <f t="array" aca="1" ref="AB24" ca="1">Ver_flag_local</f>
        <v>#VALUE!</v>
      </c>
      <c r="AC24" s="47">
        <v>0</v>
      </c>
      <c r="AD24" s="48">
        <v>3</v>
      </c>
      <c r="AE24" s="581" t="e" cm="1" vm="9">
        <f t="array" aca="1" ref="AE24" ca="1">Ver_flag_visit</f>
        <v>#VALUE!</v>
      </c>
      <c r="AF24" s="29" t="str">
        <f ca="1">A21</f>
        <v>Brasil</v>
      </c>
      <c r="AG24" s="310">
        <f t="shared" si="84"/>
        <v>1</v>
      </c>
      <c r="AH24" s="188">
        <v>49</v>
      </c>
      <c r="AI24" s="177" t="str">
        <f t="shared" si="88"/>
        <v>3C</v>
      </c>
      <c r="AJ24" s="39">
        <v>3</v>
      </c>
      <c r="AK24" s="588"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2</v>
      </c>
      <c r="AS24" s="36">
        <f t="shared" ca="1" si="87"/>
        <v>5</v>
      </c>
      <c r="AT24" s="40">
        <f t="shared" ca="1" si="87"/>
        <v>-3</v>
      </c>
      <c r="AU24" s="317">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4</v>
      </c>
      <c r="BK24" s="13">
        <f t="shared" ca="1" si="21"/>
        <v>5</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6"/>
      <c r="X25" s="25">
        <f ca="1">Horarios!C25</f>
        <v>46197.75</v>
      </c>
      <c r="Y25" s="26">
        <f ca="1">Horarios!C25</f>
        <v>46197.75</v>
      </c>
      <c r="Z25" s="27" t="str">
        <f>$Z$8</f>
        <v>J3</v>
      </c>
      <c r="AA25" s="28" t="str">
        <f ca="1">A22</f>
        <v>Marruecos</v>
      </c>
      <c r="AB25" s="49" t="e" cm="1" vm="10">
        <f t="array" aca="1" ref="AB25" ca="1">Ver_flag_local</f>
        <v>#VALUE!</v>
      </c>
      <c r="AC25" s="50">
        <v>2</v>
      </c>
      <c r="AD25" s="51">
        <v>0</v>
      </c>
      <c r="AE25" s="582" t="e" cm="1" vm="11">
        <f t="array" aca="1" ref="AE25" ca="1">Ver_flag_visit</f>
        <v>#VALUE!</v>
      </c>
      <c r="AF25" s="30" t="str">
        <f ca="1">A23</f>
        <v>Haití</v>
      </c>
      <c r="AG25" s="310">
        <f t="shared" si="84"/>
        <v>1</v>
      </c>
      <c r="AH25" s="188">
        <v>50</v>
      </c>
      <c r="AI25" s="177" t="str">
        <f t="shared" si="88"/>
        <v>4C</v>
      </c>
      <c r="AJ25" s="41">
        <v>4</v>
      </c>
      <c r="AK25" s="590"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7</v>
      </c>
      <c r="AT25" s="45">
        <f t="shared" ca="1" si="87"/>
        <v>-7</v>
      </c>
      <c r="AU25" s="317">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7</v>
      </c>
      <c r="BK25" s="13">
        <f t="shared" ca="1" si="21"/>
        <v>1</v>
      </c>
      <c r="BL25" s="13">
        <f t="shared" ca="1" si="42"/>
        <v>6</v>
      </c>
      <c r="BM25" s="13" t="str">
        <f t="shared" ca="1" si="22"/>
        <v>1E</v>
      </c>
      <c r="BN25" s="13" t="str">
        <f t="shared" ca="1" si="23"/>
        <v>1E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1</v>
      </c>
      <c r="CB25" s="13">
        <f t="shared" ca="1" si="28"/>
        <v>1</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1</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1</v>
      </c>
      <c r="CP25" s="13">
        <f t="shared" ca="1" si="34"/>
        <v>1</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1</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6</v>
      </c>
      <c r="CX25" s="13">
        <f ca="1">CU25+COUNTIFS($CV$6:$CV$53,CV25,$CW$6:CW$53,"&gt;"&amp;CW25,$BC$6:$BC$53,INDEX(T_Equipos[Grupo],MATCH(BD25,T_Equipos[NombreEquipo],0)))</f>
        <v>1</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1</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1</v>
      </c>
      <c r="DE25" s="13"/>
      <c r="DF25" s="13">
        <f t="shared" ca="1" si="52"/>
        <v>1</v>
      </c>
      <c r="DG25" s="13" t="str">
        <f ca="1">IF(DB25="-","-",COUNTIFS(DF$6:DF$53,"&lt;"&amp;DF25,$BC$6:$BC$53,INDEX(T_Equipos[Grupo],MATCH(BD25,T_Equipos[NombreEquipo],0))))</f>
        <v>-</v>
      </c>
      <c r="DH25" s="13">
        <f ca="1">DA25+COUNTIFS(DB$6:DB$53,DB25,DG$6:DG$53,"&lt;"&amp;DG25,$BC$6:$BC$53,INDEX(T_Equipos[Grupo],MATCH(BD25,T_Equipos[NombreEquipo],0)))</f>
        <v>1</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2"/>
      <c r="AH26" s="188"/>
      <c r="AI26" s="176"/>
      <c r="AJ26" s="156"/>
      <c r="AK26" s="157"/>
      <c r="AL26" s="158"/>
      <c r="AM26" s="159"/>
      <c r="AN26" s="156"/>
      <c r="AO26" s="156"/>
      <c r="AP26" s="156"/>
      <c r="AQ26" s="156"/>
      <c r="AR26" s="156"/>
      <c r="AS26" s="156"/>
      <c r="AT26" s="156"/>
      <c r="AU26" s="317"/>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8</v>
      </c>
      <c r="BK26" s="13">
        <f t="shared" ca="1" si="21"/>
        <v>4</v>
      </c>
      <c r="BL26" s="13">
        <f t="shared" ca="1" si="42"/>
        <v>4</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2</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1"/>
      <c r="AH27" s="188"/>
      <c r="AI27" s="175"/>
      <c r="AJ27" s="158"/>
      <c r="AK27" s="586"/>
      <c r="AL27" s="158"/>
      <c r="AM27" s="158"/>
      <c r="AN27" s="158"/>
      <c r="AO27" s="158"/>
      <c r="AP27" s="158"/>
      <c r="AQ27" s="158"/>
      <c r="AR27" s="158"/>
      <c r="AS27" s="158"/>
      <c r="AT27" s="158"/>
      <c r="AU27" s="318"/>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9</v>
      </c>
      <c r="BK27" s="13">
        <f t="shared" ca="1" si="21"/>
        <v>4</v>
      </c>
      <c r="BL27" s="13">
        <f t="shared" ca="1" si="42"/>
        <v>5</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5</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v>
      </c>
      <c r="F28" s="13" t="str">
        <f t="shared" ref="F28:F33" ca="1" si="93">IF(D28="Pendiente","-",INDEX($BT$6:$BT$53,MATCH($AF28,$BD$6:$BD$53,0)))</f>
        <v>P.1 (2)</v>
      </c>
      <c r="G28" s="13"/>
      <c r="H28" s="13" t="str">
        <f t="shared" ref="H28:H33" ca="1" si="94">IF(D28="Pendiente","-",INDEX($BZ$6:$BZ$53,MATCH($AA28,$BD$6:$BD$53,0)))</f>
        <v>-</v>
      </c>
      <c r="I28" s="13" t="str">
        <f t="shared" ref="I28:I33" ca="1" si="95">IF(D28="Pendiente","-",INDEX($BZ$6:$BZ$53,MATCH($AF28,$BD$6:$BD$53,0)))</f>
        <v>P.1 (2)</v>
      </c>
      <c r="J28" s="13"/>
      <c r="K28" s="13" t="str">
        <f t="shared" ref="K28:K33" ca="1" si="96">IF(D28="Pendiente","-",INDEX($CE$6:$CE$53,MATCH($AA28,$BD$6:$BD$53,0)))</f>
        <v>-</v>
      </c>
      <c r="L28" s="13" t="str">
        <f t="shared" ref="L28:L33" ca="1" si="97">IF(D28="Pendiente","-",INDEX($CE$6:$CE$53,MATCH($AF28,$BD$6:$BD$53,0)))</f>
        <v>P.1 (2)</v>
      </c>
      <c r="M28" s="13"/>
      <c r="N28" s="13" t="str">
        <f t="shared" ref="N28:N33" ca="1" si="98">IF(D28="Pendiente","-",INDEX($CH$6:$CH$53,MATCH($AA28,$BD$6:$BD$53,0)))</f>
        <v>-</v>
      </c>
      <c r="O28" s="13" t="str">
        <f t="shared" ref="O28:O33" ca="1" si="99">IF(D28="Pendiente","-",INDEX($CH$6:$CH$53,MATCH($AF28,$BD$6:$BD$53,0)))</f>
        <v>P.1 (2)</v>
      </c>
      <c r="P28" s="13"/>
      <c r="Q28" s="13" t="str">
        <f t="shared" ref="Q28:Q33" ca="1" si="100">IF(D28="Pendiente","-",INDEX($CN$6:$CN$53,MATCH($AA28,$BD$6:$BD$53,0)))</f>
        <v>-</v>
      </c>
      <c r="R28" s="13" t="str">
        <f t="shared" ref="R28:R33" ca="1" si="101">IF(D28="Pendiente","-",INDEX($CN$6:$CN$53,MATCH($AF28,$BD$6:$BD$53,0)))</f>
        <v>P.1 (2)</v>
      </c>
      <c r="S28" s="13"/>
      <c r="T28" s="13" t="str">
        <f t="shared" ref="T28:T33" ca="1" si="102">IF(D28="Pendiente","-",INDEX($CS$6:$CS$53,MATCH($AA28,$BD$6:$BD$53,0)))</f>
        <v>-</v>
      </c>
      <c r="U28" s="13" t="str">
        <f t="shared" ref="U28:U33" ca="1" si="103">IF(D28="Pendiente","-",INDEX($CS$6:$CS$53,MATCH($AF28,$BD$6:$BD$53,0)))</f>
        <v>P.1 (2)</v>
      </c>
      <c r="V28" s="14"/>
      <c r="W28" s="687" t="s">
        <v>74</v>
      </c>
      <c r="X28" s="21">
        <f ca="1">Horarios!C28</f>
        <v>46185.875</v>
      </c>
      <c r="Y28" s="22">
        <f ca="1">Horarios!C28</f>
        <v>46185.875</v>
      </c>
      <c r="Z28" s="23" t="str">
        <f>$Z$4</f>
        <v>J1</v>
      </c>
      <c r="AA28" s="24" t="str">
        <f ca="1">A29</f>
        <v>Estados Unidos</v>
      </c>
      <c r="AB28" s="46" t="e" cm="1" vm="13">
        <f t="array" aca="1" ref="AB28" ca="1">Ver_flag_local</f>
        <v>#VALUE!</v>
      </c>
      <c r="AC28" s="47">
        <v>0</v>
      </c>
      <c r="AD28" s="48">
        <v>2</v>
      </c>
      <c r="AE28" s="581" t="e" cm="1" vm="14">
        <f t="array" aca="1" ref="AE28" ca="1">Ver_flag_visit</f>
        <v>#VALUE!</v>
      </c>
      <c r="AF28" s="29" t="str">
        <f ca="1">A30</f>
        <v>Paraguay</v>
      </c>
      <c r="AG28" s="310">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8"/>
      <c r="AV28" s="274" t="str">
        <f ca="1">IF(AU29&gt;0,$AV$3,"")</f>
        <v/>
      </c>
      <c r="AW28" s="163"/>
      <c r="AX28" s="163"/>
      <c r="AY28" s="150"/>
      <c r="AZ28" s="151"/>
      <c r="BC28" s="13" t="str">
        <f ca="1">+INDEX(T_Equipos[Grupo],MATCH(WORLDCUP!BD28,T_Equipos[NombreEquipo],0))</f>
        <v>F</v>
      </c>
      <c r="BD28" s="13" t="str">
        <f ca="1">+Equipos!B24</f>
        <v>Suecia</v>
      </c>
      <c r="BE28" s="13">
        <f t="shared" ca="1" si="16"/>
        <v>1</v>
      </c>
      <c r="BF28" s="13">
        <f t="shared" ca="1" si="41"/>
        <v>3</v>
      </c>
      <c r="BG28" s="13">
        <f t="shared" ca="1" si="17"/>
        <v>0</v>
      </c>
      <c r="BH28" s="13">
        <f t="shared" ca="1" si="18"/>
        <v>1</v>
      </c>
      <c r="BI28" s="13">
        <f t="shared" ca="1" si="19"/>
        <v>2</v>
      </c>
      <c r="BJ28" s="13">
        <f t="shared" ca="1" si="20"/>
        <v>4</v>
      </c>
      <c r="BK28" s="13">
        <f t="shared" ca="1" si="21"/>
        <v>8</v>
      </c>
      <c r="BL28" s="13">
        <f t="shared" ca="1" si="42"/>
        <v>-4</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1</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P.3 (2)</v>
      </c>
      <c r="BU28" s="13">
        <f t="shared" ca="1" si="24"/>
        <v>0</v>
      </c>
      <c r="BV28" s="13">
        <f t="shared" ca="1" si="25"/>
        <v>1</v>
      </c>
      <c r="BW28" s="13">
        <f t="shared" ca="1" si="26"/>
        <v>0</v>
      </c>
      <c r="BX28" s="13">
        <f t="shared" ca="1" si="48"/>
        <v>1</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P.3 (2)</v>
      </c>
      <c r="CA28" s="13">
        <f t="shared" ca="1" si="27"/>
        <v>1</v>
      </c>
      <c r="CB28" s="13">
        <f t="shared" ca="1" si="28"/>
        <v>1</v>
      </c>
      <c r="CC28" s="13">
        <f t="shared" ca="1" si="49"/>
        <v>0</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P.3 (2)</v>
      </c>
      <c r="CF28" s="13">
        <f t="shared" ca="1" si="29"/>
        <v>1</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P.3 (2)</v>
      </c>
      <c r="CI28" s="13">
        <f t="shared" ca="1" si="30"/>
        <v>0</v>
      </c>
      <c r="CJ28" s="13">
        <f t="shared" ca="1" si="31"/>
        <v>1</v>
      </c>
      <c r="CK28" s="13">
        <f t="shared" ca="1" si="32"/>
        <v>0</v>
      </c>
      <c r="CL28" s="13">
        <f t="shared" ca="1" si="50"/>
        <v>1</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P.3 (2)</v>
      </c>
      <c r="CO28" s="13">
        <f t="shared" ca="1" si="33"/>
        <v>1</v>
      </c>
      <c r="CP28" s="13">
        <f t="shared" ca="1" si="34"/>
        <v>1</v>
      </c>
      <c r="CQ28" s="13">
        <f t="shared" ca="1" si="51"/>
        <v>0</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P.3 (2)</v>
      </c>
      <c r="CT28" s="13">
        <f t="shared" ca="1" si="35"/>
        <v>1</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P.3 (2)</v>
      </c>
      <c r="CW28" s="13">
        <f t="shared" ca="1" si="36"/>
        <v>-4</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Empate</v>
      </c>
      <c r="E29" s="13" t="str">
        <f t="shared" ca="1" si="92"/>
        <v>-</v>
      </c>
      <c r="F29" s="13" t="str">
        <f t="shared" ca="1" si="93"/>
        <v>P.1 (2)</v>
      </c>
      <c r="G29" s="13"/>
      <c r="H29" s="13" t="str">
        <f t="shared" ca="1" si="94"/>
        <v>-</v>
      </c>
      <c r="I29" s="13" t="str">
        <f t="shared" ca="1" si="95"/>
        <v>P.1 (2)</v>
      </c>
      <c r="J29" s="13"/>
      <c r="K29" s="13" t="str">
        <f t="shared" ca="1" si="96"/>
        <v>-</v>
      </c>
      <c r="L29" s="13" t="str">
        <f t="shared" ca="1" si="97"/>
        <v>P.1 (2)</v>
      </c>
      <c r="M29" s="13"/>
      <c r="N29" s="13" t="str">
        <f t="shared" ca="1" si="98"/>
        <v>-</v>
      </c>
      <c r="O29" s="13" t="str">
        <f t="shared" ca="1" si="99"/>
        <v>P.1 (2)</v>
      </c>
      <c r="P29" s="13"/>
      <c r="Q29" s="13" t="str">
        <f t="shared" ca="1" si="100"/>
        <v>-</v>
      </c>
      <c r="R29" s="13" t="str">
        <f t="shared" ca="1" si="101"/>
        <v>P.1 (2)</v>
      </c>
      <c r="S29" s="13"/>
      <c r="T29" s="13" t="str">
        <f t="shared" ca="1" si="102"/>
        <v>-</v>
      </c>
      <c r="U29" s="13" t="str">
        <f t="shared" ca="1" si="103"/>
        <v>P.1 (2)</v>
      </c>
      <c r="V29" s="14"/>
      <c r="W29" s="687"/>
      <c r="X29" s="21">
        <f ca="1">Horarios!C29</f>
        <v>46187</v>
      </c>
      <c r="Y29" s="22">
        <f ca="1">Horarios!C29</f>
        <v>46187</v>
      </c>
      <c r="Z29" s="23" t="str">
        <f>$Z$4</f>
        <v>J1</v>
      </c>
      <c r="AA29" s="24" t="str">
        <f ca="1">A31</f>
        <v>Australia</v>
      </c>
      <c r="AB29" s="46" t="e" cm="1" vm="15">
        <f t="array" aca="1" ref="AB29" ca="1">Ver_flag_local</f>
        <v>#VALUE!</v>
      </c>
      <c r="AC29" s="47">
        <v>2</v>
      </c>
      <c r="AD29" s="48">
        <v>2</v>
      </c>
      <c r="AE29" s="581" t="e" cm="1" vm="16">
        <f t="array" aca="1" ref="AE29" ca="1">Ver_flag_visit</f>
        <v>#VALUE!</v>
      </c>
      <c r="AF29" s="29" t="str">
        <f ca="1">A32</f>
        <v>Turquía</v>
      </c>
      <c r="AG29" s="310">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8">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2</v>
      </c>
      <c r="BK29" s="13">
        <f t="shared" ca="1" si="21"/>
        <v>7</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3</v>
      </c>
      <c r="BT29" s="13" t="str">
        <f ca="1">IF(COUNTIFS($BS$6:$BS$53,BS29,$BC$6:$BC$53,INDEX(T_Equipos[Grupo],MATCH(BD29,T_Equipos[NombreEquipo],0)))=1,"-","P."&amp;BS29&amp;" ("&amp;COUNTIFS($BS$6:$BS$53,BS29,$BC$6:$BC$53,INDEX(T_Equipos[Grupo],MATCH(BD29,T_Equipos[NombreEquipo],0)))&amp;")")</f>
        <v>P.3 (2)</v>
      </c>
      <c r="BU29" s="13">
        <f t="shared" ca="1" si="24"/>
        <v>0</v>
      </c>
      <c r="BV29" s="13">
        <f t="shared" ca="1" si="25"/>
        <v>1</v>
      </c>
      <c r="BW29" s="13">
        <f t="shared" ca="1" si="26"/>
        <v>0</v>
      </c>
      <c r="BX29" s="13">
        <f t="shared" ca="1" si="48"/>
        <v>1</v>
      </c>
      <c r="BY29" s="13">
        <f ca="1">BS29+COUNTIFS($BT$6:$BT$53,BT29,$BX$6:BX$53,"&gt;"&amp;BX29,$BC$6:$BC$53,INDEX(T_Equipos[Grupo],MATCH(BD29,T_Equipos[NombreEquipo],0)))</f>
        <v>3</v>
      </c>
      <c r="BZ29" s="13" t="str">
        <f ca="1">IF(COUNTIFS($BY$6:$BY$53,BY29,$BC$6:$BC$53,INDEX(T_Equipos[Grupo],MATCH(BD29,T_Equipos[NombreEquipo],0)))=1,"-","P."&amp;BY29&amp;" ("&amp;COUNTIFS($BY$6:$BY$53,BY29,$BC$6:$BC$53,INDEX(T_Equipos[Grupo],MATCH(BD29,T_Equipos[NombreEquipo],0)))&amp;")")</f>
        <v>P.3 (2)</v>
      </c>
      <c r="CA29" s="13">
        <f t="shared" ca="1" si="27"/>
        <v>1</v>
      </c>
      <c r="CB29" s="13">
        <f t="shared" ca="1" si="28"/>
        <v>1</v>
      </c>
      <c r="CC29" s="13">
        <f t="shared" ca="1" si="49"/>
        <v>0</v>
      </c>
      <c r="CD29" s="13">
        <f ca="1">BY29+COUNTIFS($BZ$6:$BZ$53,BZ29,$CC$6:CC$53,"&gt;"&amp;CC29,$BC$6:$BC$53,INDEX(T_Equipos[Grupo],MATCH(BD29,T_Equipos[NombreEquipo],0)))</f>
        <v>3</v>
      </c>
      <c r="CE29" s="13" t="str">
        <f ca="1">IF(COUNTIFS($CD$6:$CD$53,CD29,$BC$6:$BC$53,INDEX(T_Equipos[Grupo],MATCH(BD29,T_Equipos[NombreEquipo],0)))=1,"-","P."&amp;CD29&amp;" ("&amp;COUNTIFS($CD$6:$CD$53,CD29,$BC$6:$BC$53,INDEX(T_Equipos[Grupo],MATCH(BD29,T_Equipos[NombreEquipo],0)))&amp;")")</f>
        <v>P.3 (2)</v>
      </c>
      <c r="CF29" s="13">
        <f t="shared" ca="1" si="29"/>
        <v>1</v>
      </c>
      <c r="CG29" s="13">
        <f ca="1">CD29+COUNTIFS($CE$6:$CE$53,CE29,$CF$6:CF$53,"&gt;"&amp;CF29,$BC$6:$BC$53,INDEX(T_Equipos[Grupo],MATCH(BD29,T_Equipos[NombreEquipo],0)))</f>
        <v>3</v>
      </c>
      <c r="CH29" s="13" t="str">
        <f ca="1">IF(COUNTIFS($CG$6:$CG$53,CG29,$BC$6:$BC$53,INDEX(T_Equipos[Grupo],MATCH(BD29,T_Equipos[NombreEquipo],0)))=1,"-","P."&amp;CG29&amp;" ("&amp;COUNTIFS($CG$6:$CG$53,CG29,$BC$6:$BC$53,INDEX(T_Equipos[Grupo],MATCH(BD29,T_Equipos[NombreEquipo],0)))&amp;")")</f>
        <v>P.3 (2)</v>
      </c>
      <c r="CI29" s="13">
        <f t="shared" ca="1" si="30"/>
        <v>0</v>
      </c>
      <c r="CJ29" s="13">
        <f t="shared" ca="1" si="31"/>
        <v>1</v>
      </c>
      <c r="CK29" s="13">
        <f t="shared" ca="1" si="32"/>
        <v>0</v>
      </c>
      <c r="CL29" s="13">
        <f t="shared" ca="1" si="50"/>
        <v>1</v>
      </c>
      <c r="CM29" s="13">
        <f ca="1">CG29+COUNTIFS($CH$6:$CH$53,CH29,$CL$6:CL$53,"&gt;"&amp;CL29,$BC$6:$BC$53,INDEX(T_Equipos[Grupo],MATCH(BD29,T_Equipos[NombreEquipo],0)))</f>
        <v>3</v>
      </c>
      <c r="CN29" s="13" t="str">
        <f ca="1">IF(COUNTIFS($CM$6:$CM$53,CM29,$BC$6:$BC$53,INDEX(T_Equipos[Grupo],MATCH(BD29,T_Equipos[NombreEquipo],0)))=1,"-","P."&amp;CM29&amp;" ("&amp;COUNTIFS($CM$6:$CM$53,CM29,$BC$6:$BC$53,INDEX(T_Equipos[Grupo],MATCH(BD29,T_Equipos[NombreEquipo],0)))&amp;")")</f>
        <v>P.3 (2)</v>
      </c>
      <c r="CO29" s="13">
        <f t="shared" ca="1" si="33"/>
        <v>1</v>
      </c>
      <c r="CP29" s="13">
        <f t="shared" ca="1" si="34"/>
        <v>1</v>
      </c>
      <c r="CQ29" s="13">
        <f t="shared" ca="1" si="51"/>
        <v>0</v>
      </c>
      <c r="CR29" s="13">
        <f ca="1">CM29+COUNTIFS($CN$6:$CN$53,CN29,$CQ$6:CQ$53,"&gt;"&amp;CQ29,$BC$6:$BC$53,INDEX(T_Equipos[Grupo],MATCH(BD29,T_Equipos[NombreEquipo],0)))</f>
        <v>3</v>
      </c>
      <c r="CS29" s="13" t="str">
        <f ca="1">IF(COUNTIFS($CR$6:$CR$53,CR29,$BC$6:$BC$53,INDEX(T_Equipos[Grupo],MATCH(BD29,T_Equipos[NombreEquipo],0)))=1,"-","P."&amp;CR29&amp;" ("&amp;COUNTIFS($CR$6:$CR$53,CR29,$BC$6:$BC$53,INDEX(T_Equipos[Grupo],MATCH(BD29,T_Equipos[NombreEquipo],0)))&amp;")")</f>
        <v>P.3 (2)</v>
      </c>
      <c r="CT29" s="13">
        <f t="shared" ca="1" si="35"/>
        <v>1</v>
      </c>
      <c r="CU29" s="13">
        <f ca="1">CR29+COUNTIFS($CS$6:$CS$53,CS29,$CT$6:CT$53,"&gt;"&amp;CT29,$BC$6:$BC$53,INDEX(T_Equipos[Grupo],MATCH(BD29,T_Equipos[NombreEquipo],0)))</f>
        <v>3</v>
      </c>
      <c r="CV29" s="13" t="str">
        <f ca="1">IF(COUNTIFS($CU$6:$CU$53,CU29,$BC$6:$BC$53,INDEX(T_Equipos[Grupo],MATCH(BD29,T_Equipos[NombreEquipo],0)))=1,"-","P."&amp;CU29&amp;" ("&amp;COUNTIFS($CU$6:$CU$53,CU29,$BC$6:$BC$53,INDEX(T_Equipos[Grupo],MATCH(BD29,T_Equipos[NombreEquipo],0)))&amp;")")</f>
        <v>P.3 (2)</v>
      </c>
      <c r="CW29" s="13">
        <f t="shared" ca="1" si="36"/>
        <v>-5</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7"/>
      <c r="X30" s="21">
        <f ca="1">Horarios!C30</f>
        <v>46192.625</v>
      </c>
      <c r="Y30" s="22">
        <f ca="1">Horarios!C30</f>
        <v>46192.625</v>
      </c>
      <c r="Z30" s="23" t="str">
        <f>$Z$6</f>
        <v>J2</v>
      </c>
      <c r="AA30" s="24" t="str">
        <f ca="1">A29</f>
        <v>Estados Unidos</v>
      </c>
      <c r="AB30" s="46" t="e" cm="1" vm="13">
        <f t="array" aca="1" ref="AB30" ca="1">Ver_flag_local</f>
        <v>#VALUE!</v>
      </c>
      <c r="AC30" s="47">
        <v>1</v>
      </c>
      <c r="AD30" s="48">
        <v>0</v>
      </c>
      <c r="AE30" s="581" t="e" cm="1" vm="15">
        <f t="array" aca="1" ref="AE30" ca="1">Ver_flag_visit</f>
        <v>#VALUE!</v>
      </c>
      <c r="AF30" s="29" t="str">
        <f ca="1">A31</f>
        <v>Australia</v>
      </c>
      <c r="AG30" s="310">
        <f t="shared" si="104"/>
        <v>1</v>
      </c>
      <c r="AH30" s="188">
        <v>32</v>
      </c>
      <c r="AI30" s="177" t="str">
        <f>AJ30&amp;$B$28</f>
        <v>1D</v>
      </c>
      <c r="AJ30" s="37">
        <v>1</v>
      </c>
      <c r="AK30" s="587" t="e" cm="1" vm="16">
        <f t="array" aca="1" ref="AK30" ca="1">Ver_flag_visit</f>
        <v>#VALUE!</v>
      </c>
      <c r="AL30" s="31" t="str">
        <f ca="1">IFERROR(INDEX($BD$6:$BD$53,MATCH(AI30,$BN$6:$BN$53,0)),"")</f>
        <v>Turquía</v>
      </c>
      <c r="AM30" s="32">
        <f t="shared" ref="AM30:AT33" ca="1" si="107">INDEX($BE$6:$BN$53,MATCH($AL30,$BD$6:$BD$53,0),MATCH(AM$5,$BE$5:$BN$5,0))</f>
        <v>5</v>
      </c>
      <c r="AN30" s="33">
        <f t="shared" ca="1" si="107"/>
        <v>3</v>
      </c>
      <c r="AO30" s="33">
        <f t="shared" ca="1" si="107"/>
        <v>1</v>
      </c>
      <c r="AP30" s="33">
        <f t="shared" ca="1" si="107"/>
        <v>2</v>
      </c>
      <c r="AQ30" s="33">
        <f t="shared" ca="1" si="107"/>
        <v>0</v>
      </c>
      <c r="AR30" s="33">
        <f t="shared" ca="1" si="107"/>
        <v>5</v>
      </c>
      <c r="AS30" s="33">
        <f t="shared" ca="1" si="107"/>
        <v>3</v>
      </c>
      <c r="AT30" s="38">
        <f t="shared" ca="1" si="107"/>
        <v>2</v>
      </c>
      <c r="AU30" s="317">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5</v>
      </c>
      <c r="BF30" s="13">
        <f t="shared" ca="1" si="41"/>
        <v>3</v>
      </c>
      <c r="BG30" s="13">
        <f t="shared" ca="1" si="17"/>
        <v>1</v>
      </c>
      <c r="BH30" s="13">
        <f t="shared" ca="1" si="18"/>
        <v>2</v>
      </c>
      <c r="BI30" s="13">
        <f t="shared" ca="1" si="19"/>
        <v>0</v>
      </c>
      <c r="BJ30" s="13">
        <f t="shared" ca="1" si="20"/>
        <v>7</v>
      </c>
      <c r="BK30" s="13">
        <f t="shared" ca="1" si="21"/>
        <v>3</v>
      </c>
      <c r="BL30" s="13">
        <f t="shared" ca="1" si="42"/>
        <v>4</v>
      </c>
      <c r="BM30" s="13" t="str">
        <f t="shared" ca="1" si="22"/>
        <v>2G</v>
      </c>
      <c r="BN30" s="13" t="str">
        <f t="shared" ca="1" si="23"/>
        <v>2G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5</v>
      </c>
      <c r="BS30" s="13">
        <f ca="1">BP30+COUNTIFS($BQ$6:$BQ$53,BQ30,$BR$6:BR$53,"&gt;"&amp;BR30,$BC$6:$BC$53,INDEX(T_Equipos[Grupo],MATCH(BD30,T_Equipos[NombreEquipo],0)))</f>
        <v>2</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2</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2</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2</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2</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2</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2</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2</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2</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2</v>
      </c>
      <c r="DE30" s="13"/>
      <c r="DF30" s="13">
        <f t="shared" ca="1" si="52"/>
        <v>2</v>
      </c>
      <c r="DG30" s="13" t="str">
        <f ca="1">IF(DB30="-","-",COUNTIFS(DF$6:DF$53,"&lt;"&amp;DF30,$BC$6:$BC$53,INDEX(T_Equipos[Grupo],MATCH(BD30,T_Equipos[NombreEquipo],0))))</f>
        <v>-</v>
      </c>
      <c r="DH30" s="13">
        <f ca="1">DA30+COUNTIFS(DB$6:DB$53,DB30,DG$6:DG$53,"&lt;"&amp;DG30,$BC$6:$BC$53,INDEX(T_Equipos[Grupo],MATCH(BD30,T_Equipos[NombreEquipo],0)))</f>
        <v>2</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Egipto</v>
      </c>
    </row>
    <row r="31" spans="1:121" ht="16.05" customHeight="1">
      <c r="A31" s="13" t="str">
        <f ca="1">+Equipos!B16</f>
        <v>Australia</v>
      </c>
      <c r="B31" s="13"/>
      <c r="C31" s="13"/>
      <c r="D31" s="13" t="str">
        <f t="shared" si="91"/>
        <v>Empate</v>
      </c>
      <c r="E31" s="13" t="str">
        <f t="shared" ca="1" si="92"/>
        <v>P.1 (2)</v>
      </c>
      <c r="F31" s="13" t="str">
        <f t="shared" ca="1" si="93"/>
        <v>P.1 (2)</v>
      </c>
      <c r="G31" s="13"/>
      <c r="H31" s="13" t="str">
        <f t="shared" ca="1" si="94"/>
        <v>P.1 (2)</v>
      </c>
      <c r="I31" s="13" t="str">
        <f t="shared" ca="1" si="95"/>
        <v>P.1 (2)</v>
      </c>
      <c r="J31" s="13"/>
      <c r="K31" s="13" t="str">
        <f t="shared" ca="1" si="96"/>
        <v>P.1 (2)</v>
      </c>
      <c r="L31" s="13" t="str">
        <f t="shared" ca="1" si="97"/>
        <v>P.1 (2)</v>
      </c>
      <c r="M31" s="13"/>
      <c r="N31" s="13" t="str">
        <f t="shared" ca="1" si="98"/>
        <v>P.1 (2)</v>
      </c>
      <c r="O31" s="13" t="str">
        <f t="shared" ca="1" si="99"/>
        <v>P.1 (2)</v>
      </c>
      <c r="P31" s="13"/>
      <c r="Q31" s="13" t="str">
        <f t="shared" ca="1" si="100"/>
        <v>P.1 (2)</v>
      </c>
      <c r="R31" s="13" t="str">
        <f t="shared" ca="1" si="101"/>
        <v>P.1 (2)</v>
      </c>
      <c r="S31" s="13"/>
      <c r="T31" s="13" t="str">
        <f t="shared" ca="1" si="102"/>
        <v>P.1 (2)</v>
      </c>
      <c r="U31" s="13" t="str">
        <f t="shared" ca="1" si="103"/>
        <v>P.1 (2)</v>
      </c>
      <c r="V31" s="14"/>
      <c r="W31" s="687"/>
      <c r="X31" s="21">
        <f ca="1">Horarios!C31</f>
        <v>46192.958333333336</v>
      </c>
      <c r="Y31" s="22">
        <f ca="1">Horarios!C31</f>
        <v>46192.958333333336</v>
      </c>
      <c r="Z31" s="23" t="str">
        <f>$Z$6</f>
        <v>J2</v>
      </c>
      <c r="AA31" s="24" t="str">
        <f ca="1">A32</f>
        <v>Turquía</v>
      </c>
      <c r="AB31" s="46" t="e" cm="1" vm="16">
        <f t="array" aca="1" ref="AB31" ca="1">Ver_flag_local</f>
        <v>#VALUE!</v>
      </c>
      <c r="AC31" s="47">
        <v>1</v>
      </c>
      <c r="AD31" s="48">
        <v>1</v>
      </c>
      <c r="AE31" s="581" t="e" cm="1" vm="14">
        <f t="array" aca="1" ref="AE31" ca="1">Ver_flag_visit</f>
        <v>#VALUE!</v>
      </c>
      <c r="AF31" s="29" t="str">
        <f ca="1">A30</f>
        <v>Paraguay</v>
      </c>
      <c r="AG31" s="310">
        <f t="shared" si="104"/>
        <v>1</v>
      </c>
      <c r="AH31" s="188">
        <v>31</v>
      </c>
      <c r="AI31" s="177" t="str">
        <f t="shared" ref="AI31:AI33" si="108">AJ31&amp;$B$28</f>
        <v>2D</v>
      </c>
      <c r="AJ31" s="39">
        <v>2</v>
      </c>
      <c r="AK31" s="588" t="e" cm="1" vm="14">
        <f t="array" aca="1" ref="AK31" ca="1">Ver_flag_visit</f>
        <v>#VALUE!</v>
      </c>
      <c r="AL31" s="34" t="str">
        <f ca="1">IFERROR(INDEX($BD$6:$BD$53,MATCH(AI31,$BN$6:$BN$53,0)),"")</f>
        <v>Paraguay</v>
      </c>
      <c r="AM31" s="35">
        <f t="shared" ca="1" si="107"/>
        <v>5</v>
      </c>
      <c r="AN31" s="36">
        <f t="shared" ca="1" si="107"/>
        <v>3</v>
      </c>
      <c r="AO31" s="36">
        <f t="shared" ca="1" si="107"/>
        <v>1</v>
      </c>
      <c r="AP31" s="36">
        <f t="shared" ca="1" si="107"/>
        <v>2</v>
      </c>
      <c r="AQ31" s="36">
        <f t="shared" ca="1" si="107"/>
        <v>0</v>
      </c>
      <c r="AR31" s="36">
        <f t="shared" ca="1" si="107"/>
        <v>3</v>
      </c>
      <c r="AS31" s="36">
        <f t="shared" ca="1" si="107"/>
        <v>1</v>
      </c>
      <c r="AT31" s="40">
        <f t="shared" ca="1" si="107"/>
        <v>2</v>
      </c>
      <c r="AU31" s="317">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7</v>
      </c>
      <c r="BF31" s="13">
        <f t="shared" ca="1" si="41"/>
        <v>3</v>
      </c>
      <c r="BG31" s="13">
        <f t="shared" ca="1" si="17"/>
        <v>2</v>
      </c>
      <c r="BH31" s="13">
        <f t="shared" ca="1" si="18"/>
        <v>1</v>
      </c>
      <c r="BI31" s="13">
        <f t="shared" ca="1" si="19"/>
        <v>0</v>
      </c>
      <c r="BJ31" s="13">
        <f t="shared" ca="1" si="20"/>
        <v>6</v>
      </c>
      <c r="BK31" s="13">
        <f t="shared" ca="1" si="21"/>
        <v>2</v>
      </c>
      <c r="BL31" s="13">
        <f t="shared" ca="1" si="42"/>
        <v>4</v>
      </c>
      <c r="BM31" s="13" t="str">
        <f t="shared" ca="1" si="22"/>
        <v>1G</v>
      </c>
      <c r="BN31" s="13" t="str">
        <f t="shared" ca="1" si="23"/>
        <v>1G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7</v>
      </c>
      <c r="BS31" s="13">
        <f ca="1">BP31+COUNTIFS($BQ$6:$BQ$53,BQ31,$BR$6:BR$53,"&gt;"&amp;BR31,$BC$6:$BC$53,INDEX(T_Equipos[Grupo],MATCH(BD31,T_Equipos[NombreEquipo],0)))</f>
        <v>1</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1</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1</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1</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1</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1</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1</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1</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1</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1</v>
      </c>
      <c r="DE31" s="13"/>
      <c r="DF31" s="13">
        <f t="shared" ca="1" si="52"/>
        <v>1</v>
      </c>
      <c r="DG31" s="13" t="str">
        <f ca="1">IF(DB31="-","-",COUNTIFS(DF$6:DF$53,"&lt;"&amp;DF31,$BC$6:$BC$53,INDEX(T_Equipos[Grupo],MATCH(BD31,T_Equipos[NombreEquipo],0))))</f>
        <v>-</v>
      </c>
      <c r="DH31" s="13">
        <f ca="1">DA31+COUNTIFS(DB$6:DB$53,DB31,DG$6:DG$53,"&lt;"&amp;DG31,$BC$6:$BC$53,INDEX(T_Equipos[Grupo],MATCH(BD31,T_Equipos[NombreEquipo],0)))</f>
        <v>1</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Bélgica</v>
      </c>
    </row>
    <row r="32" spans="1:121" ht="16.05" customHeight="1">
      <c r="A32" s="13" t="str">
        <f ca="1">+Equipos!B17</f>
        <v>Turquía</v>
      </c>
      <c r="B32" s="13"/>
      <c r="C32" s="13"/>
      <c r="D32" s="13" t="str">
        <f t="shared" si="91"/>
        <v>Local</v>
      </c>
      <c r="E32" s="13" t="str">
        <f t="shared" ca="1" si="92"/>
        <v>P.1 (2)</v>
      </c>
      <c r="F32" s="13" t="str">
        <f t="shared" ca="1" si="93"/>
        <v>-</v>
      </c>
      <c r="G32" s="13"/>
      <c r="H32" s="13" t="str">
        <f t="shared" ca="1" si="94"/>
        <v>P.1 (2)</v>
      </c>
      <c r="I32" s="13" t="str">
        <f t="shared" ca="1" si="95"/>
        <v>-</v>
      </c>
      <c r="J32" s="13"/>
      <c r="K32" s="13" t="str">
        <f t="shared" ca="1" si="96"/>
        <v>P.1 (2)</v>
      </c>
      <c r="L32" s="13" t="str">
        <f t="shared" ca="1" si="97"/>
        <v>-</v>
      </c>
      <c r="M32" s="13"/>
      <c r="N32" s="13" t="str">
        <f t="shared" ca="1" si="98"/>
        <v>P.1 (2)</v>
      </c>
      <c r="O32" s="13" t="str">
        <f t="shared" ca="1" si="99"/>
        <v>-</v>
      </c>
      <c r="P32" s="13"/>
      <c r="Q32" s="13" t="str">
        <f t="shared" ca="1" si="100"/>
        <v>P.1 (2)</v>
      </c>
      <c r="R32" s="13" t="str">
        <f t="shared" ca="1" si="101"/>
        <v>-</v>
      </c>
      <c r="S32" s="13"/>
      <c r="T32" s="13" t="str">
        <f t="shared" ca="1" si="102"/>
        <v>P.1 (2)</v>
      </c>
      <c r="U32" s="13" t="str">
        <f t="shared" ca="1" si="103"/>
        <v>-</v>
      </c>
      <c r="V32" s="14"/>
      <c r="W32" s="687"/>
      <c r="X32" s="21">
        <f ca="1">Horarios!C32</f>
        <v>46198.916666666664</v>
      </c>
      <c r="Y32" s="22">
        <f ca="1">Horarios!C32</f>
        <v>46198.916666666664</v>
      </c>
      <c r="Z32" s="23" t="str">
        <f>$Z$8</f>
        <v>J3</v>
      </c>
      <c r="AA32" s="24" t="str">
        <f ca="1">A32</f>
        <v>Turquía</v>
      </c>
      <c r="AB32" s="46" t="e" cm="1" vm="16">
        <f t="array" aca="1" ref="AB32" ca="1">Ver_flag_local</f>
        <v>#VALUE!</v>
      </c>
      <c r="AC32" s="47">
        <v>2</v>
      </c>
      <c r="AD32" s="48">
        <v>0</v>
      </c>
      <c r="AE32" s="581" t="e" cm="1" vm="13">
        <f t="array" aca="1" ref="AE32" ca="1">Ver_flag_visit</f>
        <v>#VALUE!</v>
      </c>
      <c r="AF32" s="29" t="str">
        <f ca="1">A29</f>
        <v>Estados Unidos</v>
      </c>
      <c r="AG32" s="310">
        <f t="shared" si="104"/>
        <v>1</v>
      </c>
      <c r="AH32" s="188">
        <v>59</v>
      </c>
      <c r="AI32" s="177" t="str">
        <f t="shared" si="108"/>
        <v>3D</v>
      </c>
      <c r="AJ32" s="39">
        <v>3</v>
      </c>
      <c r="AK32" s="588" t="e" cm="1" vm="13">
        <f t="array" aca="1" ref="AK32" ca="1">Ver_flag_visit</f>
        <v>#VALUE!</v>
      </c>
      <c r="AL32" s="34" t="str">
        <f ca="1">IFERROR(INDEX($BD$6:$BD$53,MATCH(AI32,$BN$6:$BN$53,0)),"")</f>
        <v>Estados Unidos</v>
      </c>
      <c r="AM32" s="35">
        <f t="shared" ca="1" si="107"/>
        <v>3</v>
      </c>
      <c r="AN32" s="36">
        <f t="shared" ca="1" si="107"/>
        <v>3</v>
      </c>
      <c r="AO32" s="36">
        <f t="shared" ca="1" si="107"/>
        <v>1</v>
      </c>
      <c r="AP32" s="36">
        <f t="shared" ca="1" si="107"/>
        <v>0</v>
      </c>
      <c r="AQ32" s="36">
        <f t="shared" ca="1" si="107"/>
        <v>2</v>
      </c>
      <c r="AR32" s="36">
        <f t="shared" ca="1" si="107"/>
        <v>1</v>
      </c>
      <c r="AS32" s="36">
        <f t="shared" ca="1" si="107"/>
        <v>4</v>
      </c>
      <c r="AT32" s="40">
        <f t="shared" ca="1" si="107"/>
        <v>-3</v>
      </c>
      <c r="AU32" s="317">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4</v>
      </c>
      <c r="BF32" s="13">
        <f t="shared" ca="1" si="41"/>
        <v>3</v>
      </c>
      <c r="BG32" s="13">
        <f t="shared" ca="1" si="17"/>
        <v>1</v>
      </c>
      <c r="BH32" s="13">
        <f t="shared" ca="1" si="18"/>
        <v>1</v>
      </c>
      <c r="BI32" s="13">
        <f t="shared" ca="1" si="19"/>
        <v>1</v>
      </c>
      <c r="BJ32" s="13">
        <f t="shared" ca="1" si="20"/>
        <v>5</v>
      </c>
      <c r="BK32" s="13">
        <f t="shared" ca="1" si="21"/>
        <v>4</v>
      </c>
      <c r="BL32" s="13">
        <f t="shared" ca="1" si="42"/>
        <v>1</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4</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05" customHeight="1" thickBot="1">
      <c r="A33" s="13"/>
      <c r="B33" s="13"/>
      <c r="C33" s="13"/>
      <c r="D33" s="13" t="str">
        <f t="shared" si="91"/>
        <v>Empate</v>
      </c>
      <c r="E33" s="13" t="str">
        <f t="shared" ca="1" si="92"/>
        <v>P.1 (2)</v>
      </c>
      <c r="F33" s="13" t="str">
        <f t="shared" ca="1" si="93"/>
        <v>-</v>
      </c>
      <c r="G33" s="13"/>
      <c r="H33" s="13" t="str">
        <f t="shared" ca="1" si="94"/>
        <v>P.1 (2)</v>
      </c>
      <c r="I33" s="13" t="str">
        <f t="shared" ca="1" si="95"/>
        <v>-</v>
      </c>
      <c r="J33" s="13"/>
      <c r="K33" s="13" t="str">
        <f t="shared" ca="1" si="96"/>
        <v>P.1 (2)</v>
      </c>
      <c r="L33" s="13" t="str">
        <f t="shared" ca="1" si="97"/>
        <v>-</v>
      </c>
      <c r="M33" s="13"/>
      <c r="N33" s="13" t="str">
        <f t="shared" ca="1" si="98"/>
        <v>P.1 (2)</v>
      </c>
      <c r="O33" s="13" t="str">
        <f t="shared" ca="1" si="99"/>
        <v>-</v>
      </c>
      <c r="P33" s="13"/>
      <c r="Q33" s="13" t="str">
        <f t="shared" ca="1" si="100"/>
        <v>P.1 (2)</v>
      </c>
      <c r="R33" s="13" t="str">
        <f t="shared" ca="1" si="101"/>
        <v>-</v>
      </c>
      <c r="S33" s="13"/>
      <c r="T33" s="13" t="str">
        <f t="shared" ca="1" si="102"/>
        <v>P.1 (2)</v>
      </c>
      <c r="U33" s="13" t="str">
        <f t="shared" ca="1" si="103"/>
        <v>-</v>
      </c>
      <c r="V33" s="14"/>
      <c r="W33" s="688"/>
      <c r="X33" s="25">
        <f ca="1">Horarios!C33</f>
        <v>46198.916666666664</v>
      </c>
      <c r="Y33" s="26">
        <f ca="1">Horarios!C33</f>
        <v>46198.916666666664</v>
      </c>
      <c r="Z33" s="27" t="str">
        <f>$Z$8</f>
        <v>J3</v>
      </c>
      <c r="AA33" s="28" t="str">
        <f ca="1">A30</f>
        <v>Paraguay</v>
      </c>
      <c r="AB33" s="49" t="e" cm="1" vm="14">
        <f t="array" aca="1" ref="AB33" ca="1">Ver_flag_local</f>
        <v>#VALUE!</v>
      </c>
      <c r="AC33" s="50">
        <v>0</v>
      </c>
      <c r="AD33" s="51">
        <v>0</v>
      </c>
      <c r="AE33" s="582" t="e" cm="1" vm="15">
        <f t="array" aca="1" ref="AE33" ca="1">Ver_flag_visit</f>
        <v>#VALUE!</v>
      </c>
      <c r="AF33" s="30" t="str">
        <f ca="1">A31</f>
        <v>Australia</v>
      </c>
      <c r="AG33" s="310">
        <f t="shared" si="104"/>
        <v>1</v>
      </c>
      <c r="AH33" s="188">
        <v>60</v>
      </c>
      <c r="AI33" s="177" t="str">
        <f t="shared" si="108"/>
        <v>4D</v>
      </c>
      <c r="AJ33" s="41">
        <v>4</v>
      </c>
      <c r="AK33" s="590" t="e" cm="1" vm="15">
        <f t="array" aca="1" ref="AK33" ca="1">Ver_flag_visit</f>
        <v>#VALUE!</v>
      </c>
      <c r="AL33" s="42" t="str">
        <f ca="1">IFERROR(INDEX($BD$6:$BD$53,MATCH(AI33,$BN$6:$BN$53,0)),"")</f>
        <v>Australia</v>
      </c>
      <c r="AM33" s="43">
        <f t="shared" ca="1" si="107"/>
        <v>2</v>
      </c>
      <c r="AN33" s="44">
        <f t="shared" ca="1" si="107"/>
        <v>3</v>
      </c>
      <c r="AO33" s="44">
        <f t="shared" ca="1" si="107"/>
        <v>0</v>
      </c>
      <c r="AP33" s="44">
        <f t="shared" ca="1" si="107"/>
        <v>2</v>
      </c>
      <c r="AQ33" s="44">
        <f t="shared" ca="1" si="107"/>
        <v>1</v>
      </c>
      <c r="AR33" s="44">
        <f t="shared" ca="1" si="107"/>
        <v>2</v>
      </c>
      <c r="AS33" s="44">
        <f t="shared" ca="1" si="107"/>
        <v>3</v>
      </c>
      <c r="AT33" s="45">
        <f t="shared" ca="1" si="107"/>
        <v>-1</v>
      </c>
      <c r="AU33" s="317">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0</v>
      </c>
      <c r="BK33" s="13">
        <f t="shared" ca="1" si="21"/>
        <v>9</v>
      </c>
      <c r="BL33" s="13">
        <f t="shared" ca="1" si="42"/>
        <v>-9</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2"/>
      <c r="AH34" s="188"/>
      <c r="AI34" s="176"/>
      <c r="AJ34" s="156"/>
      <c r="AK34" s="157"/>
      <c r="AL34" s="158"/>
      <c r="AM34" s="159"/>
      <c r="AN34" s="156"/>
      <c r="AO34" s="156"/>
      <c r="AP34" s="156"/>
      <c r="AQ34" s="156"/>
      <c r="AR34" s="156"/>
      <c r="AS34" s="156"/>
      <c r="AT34" s="156"/>
      <c r="AU34" s="317"/>
      <c r="AV34" s="184"/>
      <c r="AW34" s="203"/>
      <c r="AX34" s="167"/>
      <c r="AY34" s="150"/>
      <c r="AZ34" s="151"/>
      <c r="BC34" s="13" t="str">
        <f ca="1">+INDEX(T_Equipos[Grupo],MATCH(WORLDCUP!BD34,T_Equipos[NombreEquipo],0))</f>
        <v>H</v>
      </c>
      <c r="BD34" s="13" t="str">
        <f ca="1">+Equipos!B30</f>
        <v>España</v>
      </c>
      <c r="BE34" s="13">
        <f t="shared" ca="1" si="16"/>
        <v>7</v>
      </c>
      <c r="BF34" s="13">
        <f t="shared" ca="1" si="41"/>
        <v>3</v>
      </c>
      <c r="BG34" s="13">
        <f t="shared" ca="1" si="17"/>
        <v>2</v>
      </c>
      <c r="BH34" s="13">
        <f t="shared" ca="1" si="18"/>
        <v>1</v>
      </c>
      <c r="BI34" s="13">
        <f t="shared" ca="1" si="19"/>
        <v>0</v>
      </c>
      <c r="BJ34" s="13">
        <f t="shared" ca="1" si="20"/>
        <v>7</v>
      </c>
      <c r="BK34" s="13">
        <f t="shared" ca="1" si="21"/>
        <v>2</v>
      </c>
      <c r="BL34" s="13">
        <f t="shared" ca="1" si="42"/>
        <v>5</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7</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1"/>
      <c r="AH35" s="188"/>
      <c r="AI35" s="175"/>
      <c r="AJ35" s="158"/>
      <c r="AK35" s="586"/>
      <c r="AL35" s="158"/>
      <c r="AM35" s="158"/>
      <c r="AN35" s="158"/>
      <c r="AO35" s="158"/>
      <c r="AP35" s="158"/>
      <c r="AQ35" s="158"/>
      <c r="AR35" s="158"/>
      <c r="AS35" s="158"/>
      <c r="AT35" s="158"/>
      <c r="AU35" s="318"/>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8</v>
      </c>
      <c r="BL35" s="13">
        <f t="shared" ca="1" si="42"/>
        <v>-8</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89" t="s">
        <v>3</v>
      </c>
      <c r="X36" s="21">
        <f ca="1">Horarios!C36</f>
        <v>46187.541666666664</v>
      </c>
      <c r="Y36" s="22">
        <f ca="1">Horarios!C36</f>
        <v>46187.541666666664</v>
      </c>
      <c r="Z36" s="23" t="str">
        <f>$Z$4</f>
        <v>J1</v>
      </c>
      <c r="AA36" s="24" t="str">
        <f ca="1">A37</f>
        <v>Alemania</v>
      </c>
      <c r="AB36" s="46" t="e" cm="1" vm="17">
        <f t="array" aca="1" ref="AB36" ca="1">Ver_flag_local</f>
        <v>#VALUE!</v>
      </c>
      <c r="AC36" s="47">
        <v>3</v>
      </c>
      <c r="AD36" s="48">
        <v>0</v>
      </c>
      <c r="AE36" s="581" t="e" cm="1" vm="18">
        <f t="array" aca="1" ref="AE36" ca="1">Ver_flag_visit</f>
        <v>#VALUE!</v>
      </c>
      <c r="AF36" s="29" t="str">
        <f ca="1">A38</f>
        <v>Curazao</v>
      </c>
      <c r="AG36" s="310">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8"/>
      <c r="AV36" s="274" t="str">
        <f ca="1">IF(AU37&gt;0,$AV$3,"")</f>
        <v/>
      </c>
      <c r="AW36" s="163"/>
      <c r="AX36" s="163"/>
      <c r="AY36" s="150"/>
      <c r="AZ36" s="151"/>
      <c r="BC36" s="13" t="str">
        <f ca="1">+INDEX(T_Equipos[Grupo],MATCH(WORLDCUP!BD36,T_Equipos[NombreEquipo],0))</f>
        <v>H</v>
      </c>
      <c r="BD36" s="13" t="str">
        <f ca="1">+Equipos!B32</f>
        <v>Arabia Saudita</v>
      </c>
      <c r="BE36" s="13">
        <f t="shared" ca="1" si="16"/>
        <v>4</v>
      </c>
      <c r="BF36" s="13">
        <f t="shared" ca="1" si="41"/>
        <v>3</v>
      </c>
      <c r="BG36" s="13">
        <f t="shared" ca="1" si="17"/>
        <v>1</v>
      </c>
      <c r="BH36" s="13">
        <f t="shared" ca="1" si="18"/>
        <v>1</v>
      </c>
      <c r="BI36" s="13">
        <f t="shared" ca="1" si="19"/>
        <v>1</v>
      </c>
      <c r="BJ36" s="13">
        <f t="shared" ca="1" si="20"/>
        <v>3</v>
      </c>
      <c r="BK36" s="13">
        <f t="shared" ca="1" si="21"/>
        <v>3</v>
      </c>
      <c r="BL36" s="13">
        <f t="shared" ca="1" si="42"/>
        <v>0</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4</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89"/>
      <c r="X37" s="21">
        <f ca="1">Horarios!C37</f>
        <v>46187.791666666664</v>
      </c>
      <c r="Y37" s="22">
        <f ca="1">Horarios!C37</f>
        <v>46187.791666666664</v>
      </c>
      <c r="Z37" s="23" t="str">
        <f>$Z$4</f>
        <v>J1</v>
      </c>
      <c r="AA37" s="24" t="str">
        <f ca="1">A39</f>
        <v>Costa de Marfil</v>
      </c>
      <c r="AB37" s="46" t="e" cm="1" vm="19">
        <f t="array" aca="1" ref="AB37" ca="1">Ver_flag_local</f>
        <v>#VALUE!</v>
      </c>
      <c r="AC37" s="47">
        <v>0</v>
      </c>
      <c r="AD37" s="48">
        <v>2</v>
      </c>
      <c r="AE37" s="581" t="e" cm="1" vm="20">
        <f t="array" aca="1" ref="AE37" ca="1">Ver_flag_visit</f>
        <v>#VALUE!</v>
      </c>
      <c r="AF37" s="29" t="str">
        <f ca="1">A40</f>
        <v>Ecuador</v>
      </c>
      <c r="AG37" s="310">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8">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5</v>
      </c>
      <c r="BF37" s="13">
        <f t="shared" ca="1" si="41"/>
        <v>3</v>
      </c>
      <c r="BG37" s="13">
        <f t="shared" ca="1" si="17"/>
        <v>1</v>
      </c>
      <c r="BH37" s="13">
        <f t="shared" ca="1" si="18"/>
        <v>2</v>
      </c>
      <c r="BI37" s="13">
        <f t="shared" ca="1" si="19"/>
        <v>0</v>
      </c>
      <c r="BJ37" s="13">
        <f t="shared" ca="1" si="20"/>
        <v>5</v>
      </c>
      <c r="BK37" s="13">
        <f t="shared" ca="1" si="21"/>
        <v>2</v>
      </c>
      <c r="BL37" s="13">
        <f t="shared" ca="1" si="42"/>
        <v>3</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5</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89"/>
      <c r="X38" s="21">
        <f ca="1">Horarios!C38</f>
        <v>46193.666666666664</v>
      </c>
      <c r="Y38" s="22">
        <f ca="1">Horarios!C38</f>
        <v>46193.666666666664</v>
      </c>
      <c r="Z38" s="23" t="str">
        <f>$Z$6</f>
        <v>J2</v>
      </c>
      <c r="AA38" s="24" t="str">
        <f ca="1">A37</f>
        <v>Alemania</v>
      </c>
      <c r="AB38" s="46" t="e" cm="1" vm="17">
        <f t="array" aca="1" ref="AB38" ca="1">Ver_flag_local</f>
        <v>#VALUE!</v>
      </c>
      <c r="AC38" s="47">
        <v>2</v>
      </c>
      <c r="AD38" s="48">
        <v>1</v>
      </c>
      <c r="AE38" s="581" t="e" cm="1" vm="19">
        <f t="array" aca="1" ref="AE38" ca="1">Ver_flag_visit</f>
        <v>#VALUE!</v>
      </c>
      <c r="AF38" s="29" t="str">
        <f ca="1">A39</f>
        <v>Costa de Marfil</v>
      </c>
      <c r="AG38" s="310">
        <f t="shared" si="124"/>
        <v>1</v>
      </c>
      <c r="AH38" s="188">
        <v>33</v>
      </c>
      <c r="AI38" s="177" t="str">
        <f>AJ38&amp;$B$36</f>
        <v>1E</v>
      </c>
      <c r="AJ38" s="37">
        <v>1</v>
      </c>
      <c r="AK38" s="587" t="e" cm="1" vm="20">
        <f t="array" aca="1" ref="AK38" ca="1">Ver_flag_visit</f>
        <v>#VALUE!</v>
      </c>
      <c r="AL38" s="31" t="str">
        <f ca="1">IFERROR(INDEX($BD$6:$BD$53,MATCH(AI38,$BN$6:$BN$53,0)),"")</f>
        <v>Ecuador</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7</v>
      </c>
      <c r="AS38" s="33">
        <f t="shared" ca="1" si="127"/>
        <v>1</v>
      </c>
      <c r="AT38" s="38">
        <f t="shared" ca="1" si="127"/>
        <v>6</v>
      </c>
      <c r="AU38" s="317">
        <f ca="1">INDEX($DL$6:$DL$53,MATCH(AI38,$DP$6:$DP$53,0))</f>
        <v>1</v>
      </c>
      <c r="AV38" s="178" t="str">
        <f ca="1">INDEX($BD$6:$BD$53,MATCH(AI38,$BM$6:$BM$53,0))</f>
        <v>Ecuador</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3</v>
      </c>
      <c r="BL38" s="13">
        <f t="shared" ca="1" si="42"/>
        <v>5</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89"/>
      <c r="X39" s="21">
        <f ca="1">Horarios!C39</f>
        <v>46193.833333333336</v>
      </c>
      <c r="Y39" s="22">
        <f ca="1">Horarios!C39</f>
        <v>46193.833333333336</v>
      </c>
      <c r="Z39" s="23" t="str">
        <f>$Z$6</f>
        <v>J2</v>
      </c>
      <c r="AA39" s="24" t="str">
        <f ca="1">A40</f>
        <v>Ecuador</v>
      </c>
      <c r="AB39" s="46" t="e" cm="1" vm="20">
        <f t="array" aca="1" ref="AB39" ca="1">Ver_flag_local</f>
        <v>#VALUE!</v>
      </c>
      <c r="AC39" s="47">
        <v>4</v>
      </c>
      <c r="AD39" s="48">
        <v>0</v>
      </c>
      <c r="AE39" s="581" t="e" cm="1" vm="18">
        <f t="array" aca="1" ref="AE39" ca="1">Ver_flag_visit</f>
        <v>#VALUE!</v>
      </c>
      <c r="AF39" s="29" t="str">
        <f ca="1">A38</f>
        <v>Curazao</v>
      </c>
      <c r="AG39" s="310">
        <f t="shared" si="124"/>
        <v>1</v>
      </c>
      <c r="AH39" s="188">
        <v>34</v>
      </c>
      <c r="AI39" s="177" t="str">
        <f t="shared" ref="AI39:AI41" si="128">AJ39&amp;$B$36</f>
        <v>2E</v>
      </c>
      <c r="AJ39" s="39">
        <v>2</v>
      </c>
      <c r="AK39" s="588" t="e" cm="1" vm="17">
        <f t="array" aca="1" ref="AK39" ca="1">Ver_flag_visit</f>
        <v>#VALUE!</v>
      </c>
      <c r="AL39" s="34" t="str">
        <f ca="1">IFERROR(INDEX($BD$6:$BD$53,MATCH(AI39,$BN$6:$BN$53,0)),"")</f>
        <v>Alemania</v>
      </c>
      <c r="AM39" s="35">
        <f t="shared" ca="1" si="127"/>
        <v>7</v>
      </c>
      <c r="AN39" s="36">
        <f t="shared" ca="1" si="127"/>
        <v>3</v>
      </c>
      <c r="AO39" s="36">
        <f t="shared" ca="1" si="127"/>
        <v>2</v>
      </c>
      <c r="AP39" s="36">
        <f t="shared" ca="1" si="127"/>
        <v>1</v>
      </c>
      <c r="AQ39" s="36">
        <f t="shared" ca="1" si="127"/>
        <v>0</v>
      </c>
      <c r="AR39" s="36">
        <f t="shared" ca="1" si="127"/>
        <v>6</v>
      </c>
      <c r="AS39" s="36">
        <f t="shared" ca="1" si="127"/>
        <v>2</v>
      </c>
      <c r="AT39" s="40">
        <f t="shared" ca="1" si="127"/>
        <v>4</v>
      </c>
      <c r="AU39" s="317">
        <f ca="1">INDEX($DL$6:$DL$53,MATCH(AI39,$DP$6:$DP$53,0))</f>
        <v>1</v>
      </c>
      <c r="AV39" s="178" t="str">
        <f ca="1">INDEX($BD$6:$BD$53,MATCH(AI39,$BM$6:$BM$53,0))</f>
        <v>Alemania</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5</v>
      </c>
      <c r="BK39" s="13">
        <f t="shared" ca="1" si="21"/>
        <v>6</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9"/>
      <c r="X40" s="21">
        <f ca="1">Horarios!C40</f>
        <v>46198.666666666664</v>
      </c>
      <c r="Y40" s="22">
        <f ca="1">Horarios!C40</f>
        <v>46198.666666666664</v>
      </c>
      <c r="Z40" s="23" t="str">
        <f>$Z$8</f>
        <v>J3</v>
      </c>
      <c r="AA40" s="24" t="str">
        <f ca="1">A38</f>
        <v>Curazao</v>
      </c>
      <c r="AB40" s="46" t="e" cm="1" vm="18">
        <f t="array" aca="1" ref="AB40" ca="1">Ver_flag_local</f>
        <v>#VALUE!</v>
      </c>
      <c r="AC40" s="47">
        <v>1</v>
      </c>
      <c r="AD40" s="48">
        <v>3</v>
      </c>
      <c r="AE40" s="581" t="e" cm="1" vm="19">
        <f t="array" aca="1" ref="AE40" ca="1">Ver_flag_visit</f>
        <v>#VALUE!</v>
      </c>
      <c r="AF40" s="29" t="str">
        <f ca="1">A39</f>
        <v>Costa de Marfil</v>
      </c>
      <c r="AG40" s="310">
        <f t="shared" si="124"/>
        <v>1</v>
      </c>
      <c r="AH40" s="188">
        <v>55</v>
      </c>
      <c r="AI40" s="177" t="str">
        <f t="shared" si="128"/>
        <v>3E</v>
      </c>
      <c r="AJ40" s="39">
        <v>3</v>
      </c>
      <c r="AK40" s="588"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4</v>
      </c>
      <c r="AS40" s="36">
        <f t="shared" ca="1" si="127"/>
        <v>5</v>
      </c>
      <c r="AT40" s="40">
        <f t="shared" ca="1" si="127"/>
        <v>-1</v>
      </c>
      <c r="AU40" s="317">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3</v>
      </c>
      <c r="BK40" s="13">
        <f t="shared" ca="1" si="21"/>
        <v>10</v>
      </c>
      <c r="BL40" s="13">
        <f t="shared" ca="1" si="42"/>
        <v>-7</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690"/>
      <c r="X41" s="25">
        <f ca="1">Horarios!C41</f>
        <v>46198.666666666664</v>
      </c>
      <c r="Y41" s="26">
        <f ca="1">Horarios!C41</f>
        <v>46198.666666666664</v>
      </c>
      <c r="Z41" s="27" t="str">
        <f>$Z$8</f>
        <v>J3</v>
      </c>
      <c r="AA41" s="28" t="str">
        <f ca="1">A40</f>
        <v>Ecuador</v>
      </c>
      <c r="AB41" s="49" t="e" cm="1" vm="20">
        <f t="array" aca="1" ref="AB41" ca="1">Ver_flag_local</f>
        <v>#VALUE!</v>
      </c>
      <c r="AC41" s="50">
        <v>1</v>
      </c>
      <c r="AD41" s="51">
        <v>1</v>
      </c>
      <c r="AE41" s="582" t="e" cm="1" vm="17">
        <f t="array" aca="1" ref="AE41" ca="1">Ver_flag_visit</f>
        <v>#VALUE!</v>
      </c>
      <c r="AF41" s="30" t="str">
        <f ca="1">A37</f>
        <v>Alemania</v>
      </c>
      <c r="AG41" s="310">
        <f t="shared" si="124"/>
        <v>1</v>
      </c>
      <c r="AH41" s="188">
        <v>56</v>
      </c>
      <c r="AI41" s="177" t="str">
        <f t="shared" si="128"/>
        <v>4E</v>
      </c>
      <c r="AJ41" s="41">
        <v>4</v>
      </c>
      <c r="AK41" s="590"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10</v>
      </c>
      <c r="AT41" s="45">
        <f t="shared" ca="1" si="127"/>
        <v>-9</v>
      </c>
      <c r="AU41" s="317">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9</v>
      </c>
      <c r="BK41" s="13">
        <f t="shared" ca="1" si="21"/>
        <v>6</v>
      </c>
      <c r="BL41" s="13">
        <f t="shared" ca="1" si="42"/>
        <v>3</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2"/>
      <c r="AH42" s="188"/>
      <c r="AI42" s="176"/>
      <c r="AJ42" s="156"/>
      <c r="AK42" s="157"/>
      <c r="AL42" s="158"/>
      <c r="AM42" s="159"/>
      <c r="AN42" s="156"/>
      <c r="AO42" s="156"/>
      <c r="AP42" s="156"/>
      <c r="AQ42" s="156"/>
      <c r="AR42" s="156"/>
      <c r="AS42" s="156"/>
      <c r="AT42" s="156"/>
      <c r="AU42" s="317"/>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0</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1"/>
      <c r="AH43" s="188"/>
      <c r="AI43" s="175"/>
      <c r="AJ43" s="158"/>
      <c r="AK43" s="586"/>
      <c r="AL43" s="158"/>
      <c r="AM43" s="158"/>
      <c r="AN43" s="158"/>
      <c r="AO43" s="158"/>
      <c r="AP43" s="158"/>
      <c r="AQ43" s="158"/>
      <c r="AR43" s="158"/>
      <c r="AS43" s="158"/>
      <c r="AT43" s="158"/>
      <c r="AU43" s="318"/>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3</v>
      </c>
      <c r="BK43" s="13">
        <f t="shared" ca="1" si="21"/>
        <v>4</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1</v>
      </c>
      <c r="CB43" s="13">
        <f t="shared" ca="1" si="28"/>
        <v>1</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1</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1</v>
      </c>
      <c r="CP43" s="13">
        <f t="shared" ca="1" si="34"/>
        <v>1</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1</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P.2 (2)</v>
      </c>
      <c r="CZ43" s="13">
        <f t="shared" ca="1" si="37"/>
        <v>3</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52"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2</v>
      </c>
      <c r="AE44" s="581" t="e" cm="1" vm="22">
        <f t="array" aca="1" ref="AE44" ca="1">Ver_flag_visit</f>
        <v>#VALUE!</v>
      </c>
      <c r="AF44" s="29" t="str">
        <f ca="1">A46</f>
        <v>Japón</v>
      </c>
      <c r="AG44" s="310">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8"/>
      <c r="AV44" s="274"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2</v>
      </c>
      <c r="BK44" s="13">
        <f t="shared" ca="1" si="21"/>
        <v>3</v>
      </c>
      <c r="BL44" s="13">
        <f t="shared" ca="1" si="42"/>
        <v>-1</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1</v>
      </c>
      <c r="CB44" s="13">
        <f t="shared" ca="1" si="28"/>
        <v>1</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1</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1</v>
      </c>
      <c r="CP44" s="13">
        <f t="shared" ca="1" si="34"/>
        <v>1</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1</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-1</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P.2 (2)</v>
      </c>
      <c r="CZ44" s="13">
        <f t="shared" ca="1" si="37"/>
        <v>2</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05" customHeight="1">
      <c r="A45" s="13" t="str">
        <f ca="1">+Equipos!B22</f>
        <v>Países Bajos</v>
      </c>
      <c r="B45" s="13"/>
      <c r="C45" s="13"/>
      <c r="D45" s="13" t="str">
        <f t="shared" si="131"/>
        <v>Empate</v>
      </c>
      <c r="E45" s="13" t="str">
        <f t="shared" ca="1" si="132"/>
        <v>P.3 (2)</v>
      </c>
      <c r="F45" s="13" t="str">
        <f t="shared" ca="1" si="133"/>
        <v>P.3 (2)</v>
      </c>
      <c r="G45" s="13"/>
      <c r="H45" s="13" t="str">
        <f t="shared" ca="1" si="134"/>
        <v>P.3 (2)</v>
      </c>
      <c r="I45" s="13" t="str">
        <f t="shared" ca="1" si="135"/>
        <v>P.3 (2)</v>
      </c>
      <c r="J45" s="13"/>
      <c r="K45" s="13" t="str">
        <f t="shared" ca="1" si="136"/>
        <v>P.3 (2)</v>
      </c>
      <c r="L45" s="13" t="str">
        <f t="shared" ca="1" si="137"/>
        <v>P.3 (2)</v>
      </c>
      <c r="M45" s="13"/>
      <c r="N45" s="13" t="str">
        <f t="shared" ca="1" si="138"/>
        <v>P.3 (2)</v>
      </c>
      <c r="O45" s="13" t="str">
        <f t="shared" ca="1" si="139"/>
        <v>P.3 (2)</v>
      </c>
      <c r="P45" s="13"/>
      <c r="Q45" s="13" t="str">
        <f t="shared" ca="1" si="140"/>
        <v>P.3 (2)</v>
      </c>
      <c r="R45" s="13" t="str">
        <f t="shared" ca="1" si="141"/>
        <v>P.3 (2)</v>
      </c>
      <c r="S45" s="13"/>
      <c r="T45" s="13" t="str">
        <f t="shared" ca="1" si="142"/>
        <v>P.3 (2)</v>
      </c>
      <c r="U45" s="13" t="str">
        <f t="shared" ca="1" si="143"/>
        <v>P.3 (2)</v>
      </c>
      <c r="V45" s="14"/>
      <c r="W45" s="652"/>
      <c r="X45" s="21">
        <f ca="1">Horarios!C45</f>
        <v>46187.916666666664</v>
      </c>
      <c r="Y45" s="22">
        <f ca="1">Horarios!C45</f>
        <v>46187.916666666664</v>
      </c>
      <c r="Z45" s="23" t="str">
        <f>$Z$4</f>
        <v>J1</v>
      </c>
      <c r="AA45" s="24" t="str">
        <f ca="1">A47</f>
        <v>Suecia</v>
      </c>
      <c r="AB45" s="46" t="e" cm="1" vm="23">
        <f t="array" aca="1" ref="AB45" ca="1">Ver_flag_local</f>
        <v>#VALUE!</v>
      </c>
      <c r="AC45" s="47">
        <v>1</v>
      </c>
      <c r="AD45" s="48">
        <v>1</v>
      </c>
      <c r="AE45" s="581" t="e" cm="1" vm="24">
        <f t="array" aca="1" ref="AE45" ca="1">Ver_flag_visit</f>
        <v>#VALUE!</v>
      </c>
      <c r="AF45" s="29" t="str">
        <f ca="1">A48</f>
        <v>Túnez</v>
      </c>
      <c r="AG45" s="310">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8">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6</v>
      </c>
      <c r="BL45" s="13">
        <f t="shared" ca="1" si="42"/>
        <v>-6</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P.1 (2)</v>
      </c>
      <c r="F46" s="13" t="str">
        <f t="shared" ca="1" si="133"/>
        <v>P.3 (2)</v>
      </c>
      <c r="G46" s="13"/>
      <c r="H46" s="13" t="str">
        <f t="shared" ca="1" si="134"/>
        <v>P.1 (2)</v>
      </c>
      <c r="I46" s="13" t="str">
        <f t="shared" ca="1" si="135"/>
        <v>P.3 (2)</v>
      </c>
      <c r="J46" s="13"/>
      <c r="K46" s="13" t="str">
        <f t="shared" ca="1" si="136"/>
        <v>P.1 (2)</v>
      </c>
      <c r="L46" s="13" t="str">
        <f t="shared" ca="1" si="137"/>
        <v>P.3 (2)</v>
      </c>
      <c r="M46" s="13"/>
      <c r="N46" s="13" t="str">
        <f t="shared" ca="1" si="138"/>
        <v>P.1 (2)</v>
      </c>
      <c r="O46" s="13" t="str">
        <f t="shared" ca="1" si="139"/>
        <v>P.3 (2)</v>
      </c>
      <c r="P46" s="13"/>
      <c r="Q46" s="13" t="str">
        <f t="shared" ca="1" si="140"/>
        <v>P.1 (2)</v>
      </c>
      <c r="R46" s="13" t="str">
        <f t="shared" ca="1" si="141"/>
        <v>P.3 (2)</v>
      </c>
      <c r="S46" s="13"/>
      <c r="T46" s="13" t="str">
        <f t="shared" ca="1" si="142"/>
        <v>P.1 (2)</v>
      </c>
      <c r="U46" s="13" t="str">
        <f t="shared" ca="1" si="143"/>
        <v>P.3 (2)</v>
      </c>
      <c r="V46" s="14"/>
      <c r="W46" s="652"/>
      <c r="X46" s="21">
        <f ca="1">Horarios!C46</f>
        <v>46193.541666666664</v>
      </c>
      <c r="Y46" s="22">
        <f ca="1">Horarios!C46</f>
        <v>46193.541666666664</v>
      </c>
      <c r="Z46" s="23" t="str">
        <f>$Z$6</f>
        <v>J2</v>
      </c>
      <c r="AA46" s="24" t="str">
        <f ca="1">A45</f>
        <v>Países Bajos</v>
      </c>
      <c r="AB46" s="46" t="e" cm="1" vm="21">
        <f t="array" aca="1" ref="AB46" ca="1">Ver_flag_local</f>
        <v>#VALUE!</v>
      </c>
      <c r="AC46" s="47">
        <v>3</v>
      </c>
      <c r="AD46" s="48">
        <v>2</v>
      </c>
      <c r="AE46" s="581" t="e" cm="1" vm="23">
        <f t="array" aca="1" ref="AE46" ca="1">Ver_flag_visit</f>
        <v>#VALUE!</v>
      </c>
      <c r="AF46" s="29" t="str">
        <f ca="1">A47</f>
        <v>Suecia</v>
      </c>
      <c r="AG46" s="310">
        <f t="shared" si="144"/>
        <v>1</v>
      </c>
      <c r="AH46" s="188">
        <v>35</v>
      </c>
      <c r="AI46" s="177" t="str">
        <f>AJ46&amp;$B$44</f>
        <v>1F</v>
      </c>
      <c r="AJ46" s="37">
        <v>1</v>
      </c>
      <c r="AK46" s="587" t="e" cm="1" vm="22">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9</v>
      </c>
      <c r="AS46" s="33">
        <f t="shared" ca="1" si="147"/>
        <v>4</v>
      </c>
      <c r="AT46" s="38">
        <f t="shared" ca="1" si="147"/>
        <v>5</v>
      </c>
      <c r="AU46" s="317">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6</v>
      </c>
      <c r="BK46" s="13">
        <f t="shared" ca="1" si="21"/>
        <v>1</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1</v>
      </c>
      <c r="CB46" s="13">
        <f t="shared" ca="1" si="28"/>
        <v>1</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1</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1</v>
      </c>
      <c r="CP46" s="13">
        <f t="shared" ca="1" si="34"/>
        <v>1</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1</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5</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P.3 (2)</v>
      </c>
      <c r="F47" s="13" t="str">
        <f t="shared" ca="1" si="133"/>
        <v>P.1 (2)</v>
      </c>
      <c r="G47" s="13"/>
      <c r="H47" s="13" t="str">
        <f t="shared" ca="1" si="134"/>
        <v>P.3 (2)</v>
      </c>
      <c r="I47" s="13" t="str">
        <f t="shared" ca="1" si="135"/>
        <v>P.1 (2)</v>
      </c>
      <c r="J47" s="13"/>
      <c r="K47" s="13" t="str">
        <f t="shared" ca="1" si="136"/>
        <v>P.3 (2)</v>
      </c>
      <c r="L47" s="13" t="str">
        <f t="shared" ca="1" si="137"/>
        <v>P.1 (2)</v>
      </c>
      <c r="M47" s="13"/>
      <c r="N47" s="13" t="str">
        <f t="shared" ca="1" si="138"/>
        <v>P.3 (2)</v>
      </c>
      <c r="O47" s="13" t="str">
        <f t="shared" ca="1" si="139"/>
        <v>P.1 (2)</v>
      </c>
      <c r="P47" s="13"/>
      <c r="Q47" s="13" t="str">
        <f t="shared" ca="1" si="140"/>
        <v>P.3 (2)</v>
      </c>
      <c r="R47" s="13" t="str">
        <f t="shared" ca="1" si="141"/>
        <v>P.1 (2)</v>
      </c>
      <c r="S47" s="13"/>
      <c r="T47" s="13" t="str">
        <f t="shared" ca="1" si="142"/>
        <v>P.3 (2)</v>
      </c>
      <c r="U47" s="13" t="str">
        <f t="shared" ca="1" si="143"/>
        <v>P.1 (2)</v>
      </c>
      <c r="V47" s="14"/>
      <c r="W47" s="652"/>
      <c r="X47" s="21">
        <f ca="1">Horarios!C47</f>
        <v>46194</v>
      </c>
      <c r="Y47" s="22">
        <f ca="1">Horarios!C47</f>
        <v>46194</v>
      </c>
      <c r="Z47" s="23" t="str">
        <f>$Z$6</f>
        <v>J2</v>
      </c>
      <c r="AA47" s="24" t="str">
        <f ca="1">A48</f>
        <v>Túnez</v>
      </c>
      <c r="AB47" s="46" t="e" cm="1" vm="24">
        <f t="array" aca="1" ref="AB47" ca="1">Ver_flag_local</f>
        <v>#VALUE!</v>
      </c>
      <c r="AC47" s="47">
        <v>1</v>
      </c>
      <c r="AD47" s="48">
        <v>3</v>
      </c>
      <c r="AE47" s="581" t="e" cm="1" vm="22">
        <f t="array" aca="1" ref="AE47" ca="1">Ver_flag_visit</f>
        <v>#VALUE!</v>
      </c>
      <c r="AF47" s="29" t="str">
        <f ca="1">A46</f>
        <v>Japón</v>
      </c>
      <c r="AG47" s="310">
        <f t="shared" si="144"/>
        <v>1</v>
      </c>
      <c r="AH47" s="188">
        <v>36</v>
      </c>
      <c r="AI47" s="177" t="str">
        <f t="shared" ref="AI47:AI49" si="148">AJ47&amp;$B$44</f>
        <v>2F</v>
      </c>
      <c r="AJ47" s="39">
        <v>2</v>
      </c>
      <c r="AK47" s="588" t="e" cm="1" vm="21">
        <f t="array" aca="1" ref="AK47" ca="1">Ver_flag_visit</f>
        <v>#VALUE!</v>
      </c>
      <c r="AL47" s="34" t="str">
        <f ca="1">IFERROR(INDEX($BD$6:$BD$53,MATCH(AI47,$BN$6:$BN$53,0)),"")</f>
        <v>Países Bajos</v>
      </c>
      <c r="AM47" s="35">
        <f t="shared" ca="1" si="147"/>
        <v>7</v>
      </c>
      <c r="AN47" s="36">
        <f t="shared" ca="1" si="147"/>
        <v>3</v>
      </c>
      <c r="AO47" s="36">
        <f t="shared" ca="1" si="147"/>
        <v>2</v>
      </c>
      <c r="AP47" s="36">
        <f t="shared" ca="1" si="147"/>
        <v>1</v>
      </c>
      <c r="AQ47" s="36">
        <f t="shared" ca="1" si="147"/>
        <v>0</v>
      </c>
      <c r="AR47" s="36">
        <f t="shared" ca="1" si="147"/>
        <v>8</v>
      </c>
      <c r="AS47" s="36">
        <f t="shared" ca="1" si="147"/>
        <v>4</v>
      </c>
      <c r="AT47" s="40">
        <f t="shared" ca="1" si="147"/>
        <v>4</v>
      </c>
      <c r="AU47" s="317">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1</v>
      </c>
      <c r="BK47" s="13">
        <f t="shared" ca="1" si="21"/>
        <v>6</v>
      </c>
      <c r="BL47" s="13">
        <f t="shared" ca="1" si="42"/>
        <v>-5</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-5</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P.3 (2)</v>
      </c>
      <c r="G48" s="13"/>
      <c r="H48" s="13" t="str">
        <f t="shared" ca="1" si="134"/>
        <v>P.1 (2)</v>
      </c>
      <c r="I48" s="13" t="str">
        <f t="shared" ca="1" si="135"/>
        <v>P.3 (2)</v>
      </c>
      <c r="J48" s="13"/>
      <c r="K48" s="13" t="str">
        <f t="shared" ca="1" si="136"/>
        <v>P.1 (2)</v>
      </c>
      <c r="L48" s="13" t="str">
        <f t="shared" ca="1" si="137"/>
        <v>P.3 (2)</v>
      </c>
      <c r="M48" s="13"/>
      <c r="N48" s="13" t="str">
        <f t="shared" ca="1" si="138"/>
        <v>P.1 (2)</v>
      </c>
      <c r="O48" s="13" t="str">
        <f t="shared" ca="1" si="139"/>
        <v>P.3 (2)</v>
      </c>
      <c r="P48" s="13"/>
      <c r="Q48" s="13" t="str">
        <f t="shared" ca="1" si="140"/>
        <v>P.1 (2)</v>
      </c>
      <c r="R48" s="13" t="str">
        <f t="shared" ca="1" si="141"/>
        <v>P.3 (2)</v>
      </c>
      <c r="S48" s="13"/>
      <c r="T48" s="13" t="str">
        <f t="shared" ca="1" si="142"/>
        <v>P.1 (2)</v>
      </c>
      <c r="U48" s="13" t="str">
        <f t="shared" ca="1" si="143"/>
        <v>P.3 (2)</v>
      </c>
      <c r="V48" s="14"/>
      <c r="W48" s="652"/>
      <c r="X48" s="21">
        <f ca="1">Horarios!C48</f>
        <v>46198.791666666664</v>
      </c>
      <c r="Y48" s="22">
        <f ca="1">Horarios!C48</f>
        <v>46198.791666666664</v>
      </c>
      <c r="Z48" s="23" t="str">
        <f>$Z$8</f>
        <v>J3</v>
      </c>
      <c r="AA48" s="24" t="str">
        <f ca="1">A46</f>
        <v>Japón</v>
      </c>
      <c r="AB48" s="46" t="e" cm="1" vm="22">
        <f t="array" aca="1" ref="AB48" ca="1">Ver_flag_local</f>
        <v>#VALUE!</v>
      </c>
      <c r="AC48" s="47">
        <v>4</v>
      </c>
      <c r="AD48" s="48">
        <v>1</v>
      </c>
      <c r="AE48" s="581" t="e" cm="1" vm="23">
        <f t="array" aca="1" ref="AE48" ca="1">Ver_flag_visit</f>
        <v>#VALUE!</v>
      </c>
      <c r="AF48" s="29" t="str">
        <f ca="1">A47</f>
        <v>Suecia</v>
      </c>
      <c r="AG48" s="310">
        <f t="shared" si="144"/>
        <v>1</v>
      </c>
      <c r="AH48" s="188">
        <v>57</v>
      </c>
      <c r="AI48" s="177" t="str">
        <f t="shared" si="148"/>
        <v>3F</v>
      </c>
      <c r="AJ48" s="39">
        <v>3</v>
      </c>
      <c r="AK48" s="588" t="e" cm="1" vm="23">
        <f t="array" aca="1" ref="AK48" ca="1">Ver_flag_visit</f>
        <v>#VALUE!</v>
      </c>
      <c r="AL48" s="34" t="str">
        <f ca="1">IFERROR(INDEX($BD$6:$BD$53,MATCH(AI48,$BN$6:$BN$53,0)),"")</f>
        <v>Suecia</v>
      </c>
      <c r="AM48" s="35">
        <f t="shared" ca="1" si="147"/>
        <v>1</v>
      </c>
      <c r="AN48" s="36">
        <f t="shared" ca="1" si="147"/>
        <v>3</v>
      </c>
      <c r="AO48" s="36">
        <f t="shared" ca="1" si="147"/>
        <v>0</v>
      </c>
      <c r="AP48" s="36">
        <f t="shared" ca="1" si="147"/>
        <v>1</v>
      </c>
      <c r="AQ48" s="36">
        <f t="shared" ca="1" si="147"/>
        <v>2</v>
      </c>
      <c r="AR48" s="36">
        <f t="shared" ca="1" si="147"/>
        <v>4</v>
      </c>
      <c r="AS48" s="36">
        <f t="shared" ca="1" si="147"/>
        <v>8</v>
      </c>
      <c r="AT48" s="40">
        <f t="shared" ca="1" si="147"/>
        <v>-4</v>
      </c>
      <c r="AU48" s="317">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1</v>
      </c>
      <c r="BK48" s="13">
        <f t="shared" ca="1" si="21"/>
        <v>5</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P.3 (2)</v>
      </c>
      <c r="F49" s="13" t="str">
        <f t="shared" ca="1" si="133"/>
        <v>P.1 (2)</v>
      </c>
      <c r="G49" s="13"/>
      <c r="H49" s="13" t="str">
        <f t="shared" ca="1" si="134"/>
        <v>P.3 (2)</v>
      </c>
      <c r="I49" s="13" t="str">
        <f t="shared" ca="1" si="135"/>
        <v>P.1 (2)</v>
      </c>
      <c r="J49" s="13"/>
      <c r="K49" s="13" t="str">
        <f t="shared" ca="1" si="136"/>
        <v>P.3 (2)</v>
      </c>
      <c r="L49" s="13" t="str">
        <f t="shared" ca="1" si="137"/>
        <v>P.1 (2)</v>
      </c>
      <c r="M49" s="13"/>
      <c r="N49" s="13" t="str">
        <f t="shared" ca="1" si="138"/>
        <v>P.3 (2)</v>
      </c>
      <c r="O49" s="13" t="str">
        <f t="shared" ca="1" si="139"/>
        <v>P.1 (2)</v>
      </c>
      <c r="P49" s="13"/>
      <c r="Q49" s="13" t="str">
        <f t="shared" ca="1" si="140"/>
        <v>P.3 (2)</v>
      </c>
      <c r="R49" s="13" t="str">
        <f t="shared" ca="1" si="141"/>
        <v>P.1 (2)</v>
      </c>
      <c r="S49" s="13"/>
      <c r="T49" s="13" t="str">
        <f t="shared" ca="1" si="142"/>
        <v>P.3 (2)</v>
      </c>
      <c r="U49" s="13" t="str">
        <f t="shared" ca="1" si="143"/>
        <v>P.1 (2)</v>
      </c>
      <c r="V49" s="14"/>
      <c r="W49" s="653"/>
      <c r="X49" s="25">
        <f ca="1">Horarios!C49</f>
        <v>46198.791666666664</v>
      </c>
      <c r="Y49" s="26">
        <f ca="1">Horarios!C49</f>
        <v>46198.791666666664</v>
      </c>
      <c r="Z49" s="27" t="str">
        <f>$Z$8</f>
        <v>J3</v>
      </c>
      <c r="AA49" s="28" t="str">
        <f ca="1">A48</f>
        <v>Túnez</v>
      </c>
      <c r="AB49" s="49" t="e" cm="1" vm="24">
        <f t="array" aca="1" ref="AB49" ca="1">Ver_flag_local</f>
        <v>#VALUE!</v>
      </c>
      <c r="AC49" s="50">
        <v>0</v>
      </c>
      <c r="AD49" s="51">
        <v>3</v>
      </c>
      <c r="AE49" s="582" t="e" cm="1" vm="21">
        <f t="array" aca="1" ref="AE49" ca="1">Ver_flag_visit</f>
        <v>#VALUE!</v>
      </c>
      <c r="AF49" s="30" t="str">
        <f ca="1">A45</f>
        <v>Países Bajos</v>
      </c>
      <c r="AG49" s="310">
        <f t="shared" si="144"/>
        <v>1</v>
      </c>
      <c r="AH49" s="188">
        <v>58</v>
      </c>
      <c r="AI49" s="177" t="str">
        <f t="shared" si="148"/>
        <v>4F</v>
      </c>
      <c r="AJ49" s="41">
        <v>4</v>
      </c>
      <c r="AK49" s="590" t="e" cm="1" vm="24">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2</v>
      </c>
      <c r="AS49" s="44">
        <f t="shared" ca="1" si="147"/>
        <v>7</v>
      </c>
      <c r="AT49" s="45">
        <f t="shared" ca="1" si="147"/>
        <v>-5</v>
      </c>
      <c r="AU49" s="317">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5</v>
      </c>
      <c r="BK49" s="13">
        <f t="shared" ca="1" si="21"/>
        <v>1</v>
      </c>
      <c r="BL49" s="13">
        <f t="shared" ca="1" si="42"/>
        <v>4</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1</v>
      </c>
      <c r="CB49" s="13">
        <f t="shared" ca="1" si="28"/>
        <v>1</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1</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1</v>
      </c>
      <c r="CP49" s="13">
        <f t="shared" ca="1" si="34"/>
        <v>1</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1</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4</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2"/>
      <c r="AH50" s="188"/>
      <c r="AI50" s="176"/>
      <c r="AJ50" s="156"/>
      <c r="AK50" s="157"/>
      <c r="AL50" s="158"/>
      <c r="AM50" s="159"/>
      <c r="AN50" s="156"/>
      <c r="AO50" s="156"/>
      <c r="AP50" s="156"/>
      <c r="AQ50" s="156"/>
      <c r="AR50" s="156"/>
      <c r="AS50" s="156"/>
      <c r="AT50" s="156"/>
      <c r="AU50" s="317"/>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6</v>
      </c>
      <c r="BK50" s="13">
        <f t="shared" ca="1" si="21"/>
        <v>2</v>
      </c>
      <c r="BL50" s="13">
        <f t="shared" ca="1" si="42"/>
        <v>4</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(2)</v>
      </c>
      <c r="BU50" s="13">
        <f t="shared" ca="1" si="24"/>
        <v>0</v>
      </c>
      <c r="BV50" s="13">
        <f t="shared" ca="1" si="25"/>
        <v>1</v>
      </c>
      <c r="BW50" s="13">
        <f t="shared" ca="1" si="26"/>
        <v>0</v>
      </c>
      <c r="BX50" s="13">
        <f t="shared" ca="1" si="48"/>
        <v>1</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P.1 (2)</v>
      </c>
      <c r="CA50" s="13">
        <f t="shared" ca="1" si="27"/>
        <v>1</v>
      </c>
      <c r="CB50" s="13">
        <f t="shared" ca="1" si="28"/>
        <v>1</v>
      </c>
      <c r="CC50" s="13">
        <f t="shared" ca="1" si="49"/>
        <v>0</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P.1 (2)</v>
      </c>
      <c r="CF50" s="13">
        <f t="shared" ca="1" si="29"/>
        <v>1</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P.1 (2)</v>
      </c>
      <c r="CI50" s="13">
        <f t="shared" ca="1" si="30"/>
        <v>0</v>
      </c>
      <c r="CJ50" s="13">
        <f t="shared" ca="1" si="31"/>
        <v>1</v>
      </c>
      <c r="CK50" s="13">
        <f t="shared" ca="1" si="32"/>
        <v>0</v>
      </c>
      <c r="CL50" s="13">
        <f t="shared" ca="1" si="50"/>
        <v>1</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P.1 (2)</v>
      </c>
      <c r="CO50" s="13">
        <f t="shared" ca="1" si="33"/>
        <v>1</v>
      </c>
      <c r="CP50" s="13">
        <f t="shared" ca="1" si="34"/>
        <v>1</v>
      </c>
      <c r="CQ50" s="13">
        <f t="shared" ca="1" si="51"/>
        <v>0</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P.1 (2)</v>
      </c>
      <c r="CT50" s="13">
        <f t="shared" ca="1" si="35"/>
        <v>1</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P.1 (2)</v>
      </c>
      <c r="CW50" s="13">
        <f t="shared" ca="1" si="36"/>
        <v>4</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P.1 (2)</v>
      </c>
      <c r="CZ50" s="13">
        <f t="shared" ca="1" si="37"/>
        <v>6</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1"/>
      <c r="AH51" s="188"/>
      <c r="AI51" s="175"/>
      <c r="AJ51" s="158"/>
      <c r="AK51" s="586"/>
      <c r="AL51" s="158"/>
      <c r="AM51" s="158"/>
      <c r="AN51" s="158"/>
      <c r="AO51" s="158"/>
      <c r="AP51" s="158"/>
      <c r="AQ51" s="158"/>
      <c r="AR51" s="158"/>
      <c r="AS51" s="158"/>
      <c r="AT51" s="158"/>
      <c r="AU51" s="318"/>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5</v>
      </c>
      <c r="BK51" s="13">
        <f t="shared" ca="1" si="21"/>
        <v>1</v>
      </c>
      <c r="BL51" s="13">
        <f t="shared" ca="1" si="42"/>
        <v>4</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(2)</v>
      </c>
      <c r="BU51" s="13">
        <f t="shared" ca="1" si="24"/>
        <v>0</v>
      </c>
      <c r="BV51" s="13">
        <f t="shared" ca="1" si="25"/>
        <v>1</v>
      </c>
      <c r="BW51" s="13">
        <f t="shared" ca="1" si="26"/>
        <v>0</v>
      </c>
      <c r="BX51" s="13">
        <f t="shared" ca="1" si="48"/>
        <v>1</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P.1 (2)</v>
      </c>
      <c r="CA51" s="13">
        <f t="shared" ca="1" si="27"/>
        <v>1</v>
      </c>
      <c r="CB51" s="13">
        <f t="shared" ca="1" si="28"/>
        <v>1</v>
      </c>
      <c r="CC51" s="13">
        <f t="shared" ca="1" si="49"/>
        <v>0</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P.1 (2)</v>
      </c>
      <c r="CF51" s="13">
        <f t="shared" ca="1" si="29"/>
        <v>1</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P.1 (2)</v>
      </c>
      <c r="CI51" s="13">
        <f t="shared" ca="1" si="30"/>
        <v>0</v>
      </c>
      <c r="CJ51" s="13">
        <f t="shared" ca="1" si="31"/>
        <v>1</v>
      </c>
      <c r="CK51" s="13">
        <f t="shared" ca="1" si="32"/>
        <v>0</v>
      </c>
      <c r="CL51" s="13">
        <f t="shared" ca="1" si="50"/>
        <v>1</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P.1 (2)</v>
      </c>
      <c r="CO51" s="13">
        <f t="shared" ca="1" si="33"/>
        <v>1</v>
      </c>
      <c r="CP51" s="13">
        <f t="shared" ca="1" si="34"/>
        <v>1</v>
      </c>
      <c r="CQ51" s="13">
        <f t="shared" ca="1" si="51"/>
        <v>0</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P.1 (2)</v>
      </c>
      <c r="CT51" s="13">
        <f t="shared" ca="1" si="35"/>
        <v>1</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P.1 (2)</v>
      </c>
      <c r="CW51" s="13">
        <f t="shared" ca="1" si="36"/>
        <v>4</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P.1 (2)</v>
      </c>
      <c r="CZ51" s="13">
        <f t="shared" ca="1" si="37"/>
        <v>5</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2" t="s">
        <v>6</v>
      </c>
      <c r="X52" s="21">
        <f ca="1">Horarios!C52</f>
        <v>46188.625</v>
      </c>
      <c r="Y52" s="22">
        <f ca="1">Horarios!C52</f>
        <v>46188.625</v>
      </c>
      <c r="Z52" s="23" t="str">
        <f>$Z$4</f>
        <v>J1</v>
      </c>
      <c r="AA52" s="24" t="str">
        <f ca="1">A53</f>
        <v>Bélgica</v>
      </c>
      <c r="AB52" s="46" t="e" cm="1" vm="25">
        <f t="array" aca="1" ref="AB52" ca="1">Ver_flag_local</f>
        <v>#VALUE!</v>
      </c>
      <c r="AC52" s="47">
        <v>1</v>
      </c>
      <c r="AD52" s="48">
        <v>1</v>
      </c>
      <c r="AE52" s="581" t="e" cm="1" vm="26">
        <f t="array" aca="1" ref="AE52" ca="1">Ver_flag_visit</f>
        <v>#VALUE!</v>
      </c>
      <c r="AF52" s="29" t="str">
        <f ca="1">A54</f>
        <v>Egipto</v>
      </c>
      <c r="AG52" s="310">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8"/>
      <c r="AV52" s="274"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3</v>
      </c>
      <c r="BK52" s="13">
        <f t="shared" ca="1" si="21"/>
        <v>5</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2"/>
      <c r="X53" s="21">
        <f ca="1">Horarios!C53</f>
        <v>46188.875</v>
      </c>
      <c r="Y53" s="22">
        <f ca="1">Horarios!C53</f>
        <v>46188.875</v>
      </c>
      <c r="Z53" s="23" t="str">
        <f>$Z$4</f>
        <v>J1</v>
      </c>
      <c r="AA53" s="24" t="str">
        <f ca="1">A55</f>
        <v>Irán</v>
      </c>
      <c r="AB53" s="46" t="e" cm="1" vm="27">
        <f t="array" aca="1" ref="AB53" ca="1">Ver_flag_local</f>
        <v>#VALUE!</v>
      </c>
      <c r="AC53" s="47">
        <v>2</v>
      </c>
      <c r="AD53" s="48">
        <v>0</v>
      </c>
      <c r="AE53" s="581" t="e" cm="1" vm="28">
        <f t="array" aca="1" ref="AE53" ca="1">Ver_flag_visit</f>
        <v>#VALUE!</v>
      </c>
      <c r="AF53" s="29" t="str">
        <f ca="1">A56</f>
        <v>Nueva Zelanda</v>
      </c>
      <c r="AG53" s="310">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8">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7</v>
      </c>
      <c r="BL53" s="13">
        <f t="shared" ca="1" si="42"/>
        <v>-6</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Empate</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2"/>
      <c r="X54" s="21">
        <f ca="1">Horarios!C54</f>
        <v>46194.625</v>
      </c>
      <c r="Y54" s="22">
        <f ca="1">Horarios!C54</f>
        <v>46194.625</v>
      </c>
      <c r="Z54" s="23" t="str">
        <f>$Z$6</f>
        <v>J2</v>
      </c>
      <c r="AA54" s="24" t="str">
        <f ca="1">A53</f>
        <v>Bélgica</v>
      </c>
      <c r="AB54" s="46" t="e" cm="1" vm="25">
        <f t="array" aca="1" ref="AB54" ca="1">Ver_flag_local</f>
        <v>#VALUE!</v>
      </c>
      <c r="AC54" s="47">
        <v>2</v>
      </c>
      <c r="AD54" s="48">
        <v>2</v>
      </c>
      <c r="AE54" s="581" t="e" cm="1" vm="27">
        <f t="array" aca="1" ref="AE54" ca="1">Ver_flag_visit</f>
        <v>#VALUE!</v>
      </c>
      <c r="AF54" s="29" t="str">
        <f ca="1">A55</f>
        <v>Irán</v>
      </c>
      <c r="AG54" s="310">
        <f t="shared" si="162"/>
        <v>1</v>
      </c>
      <c r="AH54" s="188">
        <v>39</v>
      </c>
      <c r="AI54" s="177" t="str">
        <f>AJ54&amp;$B$52</f>
        <v>1G</v>
      </c>
      <c r="AJ54" s="37">
        <v>1</v>
      </c>
      <c r="AK54" s="587" t="e" cm="1" vm="26">
        <f t="array" aca="1" ref="AK54" ca="1">Ver_flag_visit</f>
        <v>#VALUE!</v>
      </c>
      <c r="AL54" s="31" t="str">
        <f ca="1">IFERROR(INDEX($BD$6:$BD$53,MATCH(AI54,$BN$6:$BN$53,0)),"")</f>
        <v>Egipto</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6</v>
      </c>
      <c r="AS54" s="33">
        <f t="shared" ca="1" si="165"/>
        <v>2</v>
      </c>
      <c r="AT54" s="38">
        <f t="shared" ca="1" si="165"/>
        <v>4</v>
      </c>
      <c r="AU54" s="317">
        <f ca="1">INDEX($DL$6:$DL$53,MATCH(AI54,$DP$6:$DP$53,0))</f>
        <v>1</v>
      </c>
      <c r="AV54" s="178" t="str">
        <f ca="1">INDEX($BD$6:$BD$53,MATCH(AI54,$BM$6:$BM$53,0))</f>
        <v>Egipto</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2"/>
      <c r="X55" s="21">
        <f ca="1">Horarios!C55</f>
        <v>46194.875</v>
      </c>
      <c r="Y55" s="22">
        <f ca="1">Horarios!C55</f>
        <v>46194.875</v>
      </c>
      <c r="Z55" s="23" t="str">
        <f>$Z$6</f>
        <v>J2</v>
      </c>
      <c r="AA55" s="24" t="str">
        <f ca="1">A56</f>
        <v>Nueva Zelanda</v>
      </c>
      <c r="AB55" s="46" t="e" cm="1" vm="28">
        <f t="array" aca="1" ref="AB55" ca="1">Ver_flag_local</f>
        <v>#VALUE!</v>
      </c>
      <c r="AC55" s="47">
        <v>0</v>
      </c>
      <c r="AD55" s="48">
        <v>3</v>
      </c>
      <c r="AE55" s="581" t="e" cm="1" vm="26">
        <f t="array" aca="1" ref="AE55" ca="1">Ver_flag_visit</f>
        <v>#VALUE!</v>
      </c>
      <c r="AF55" s="29" t="str">
        <f ca="1">A54</f>
        <v>Egipto</v>
      </c>
      <c r="AG55" s="310">
        <f t="shared" si="162"/>
        <v>1</v>
      </c>
      <c r="AH55" s="188">
        <v>40</v>
      </c>
      <c r="AI55" s="177" t="str">
        <f t="shared" ref="AI55:AI57" si="166">AJ55&amp;$B$52</f>
        <v>2G</v>
      </c>
      <c r="AJ55" s="39">
        <v>2</v>
      </c>
      <c r="AK55" s="588" t="e" cm="1" vm="25">
        <f t="array" aca="1" ref="AK55" ca="1">Ver_flag_visit</f>
        <v>#VALUE!</v>
      </c>
      <c r="AL55" s="34" t="str">
        <f ca="1">IFERROR(INDEX($BD$6:$BD$53,MATCH(AI55,$BN$6:$BN$53,0)),"")</f>
        <v>Bélgica</v>
      </c>
      <c r="AM55" s="35">
        <f t="shared" ca="1" si="165"/>
        <v>5</v>
      </c>
      <c r="AN55" s="36">
        <f t="shared" ca="1" si="165"/>
        <v>3</v>
      </c>
      <c r="AO55" s="36">
        <f t="shared" ca="1" si="165"/>
        <v>1</v>
      </c>
      <c r="AP55" s="36">
        <f t="shared" ca="1" si="165"/>
        <v>2</v>
      </c>
      <c r="AQ55" s="36">
        <f t="shared" ca="1" si="165"/>
        <v>0</v>
      </c>
      <c r="AR55" s="36">
        <f t="shared" ca="1" si="165"/>
        <v>7</v>
      </c>
      <c r="AS55" s="36">
        <f t="shared" ca="1" si="165"/>
        <v>3</v>
      </c>
      <c r="AT55" s="40">
        <f t="shared" ca="1" si="165"/>
        <v>4</v>
      </c>
      <c r="AU55" s="317">
        <f ca="1">INDEX($DL$6:$DL$53,MATCH(AI55,$DP$6:$DP$53,0))</f>
        <v>1</v>
      </c>
      <c r="AV55" s="178" t="str">
        <f ca="1">INDEX($BD$6:$BD$53,MATCH(AI55,$BM$6:$BM$53,0))</f>
        <v>Bélgica</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2"/>
      <c r="X56" s="21">
        <f ca="1">Horarios!C56</f>
        <v>46199.958333333336</v>
      </c>
      <c r="Y56" s="22">
        <f ca="1">Horarios!C56</f>
        <v>46199.958333333336</v>
      </c>
      <c r="Z56" s="23" t="str">
        <f>$Z$8</f>
        <v>J3</v>
      </c>
      <c r="AA56" s="24" t="str">
        <f ca="1">A54</f>
        <v>Egipto</v>
      </c>
      <c r="AB56" s="46" t="e" cm="1" vm="26">
        <f t="array" aca="1" ref="AB56" ca="1">Ver_flag_local</f>
        <v>#VALUE!</v>
      </c>
      <c r="AC56" s="47">
        <v>2</v>
      </c>
      <c r="AD56" s="48">
        <v>1</v>
      </c>
      <c r="AE56" s="581" t="e" cm="1" vm="27">
        <f t="array" aca="1" ref="AE56" ca="1">Ver_flag_visit</f>
        <v>#VALUE!</v>
      </c>
      <c r="AF56" s="29" t="str">
        <f ca="1">A55</f>
        <v>Irán</v>
      </c>
      <c r="AG56" s="310">
        <f t="shared" si="162"/>
        <v>1</v>
      </c>
      <c r="AH56" s="188">
        <v>63</v>
      </c>
      <c r="AI56" s="177" t="str">
        <f t="shared" si="166"/>
        <v>3G</v>
      </c>
      <c r="AJ56" s="39">
        <v>3</v>
      </c>
      <c r="AK56" s="588" t="e" cm="1" vm="27">
        <f t="array" aca="1" ref="AK56" ca="1">Ver_flag_visit</f>
        <v>#VALUE!</v>
      </c>
      <c r="AL56" s="34" t="str">
        <f ca="1">IFERROR(INDEX($BD$6:$BD$53,MATCH(AI56,$BN$6:$BN$53,0)),"")</f>
        <v>Irán</v>
      </c>
      <c r="AM56" s="35">
        <f t="shared" ca="1" si="165"/>
        <v>4</v>
      </c>
      <c r="AN56" s="36">
        <f t="shared" ca="1" si="165"/>
        <v>3</v>
      </c>
      <c r="AO56" s="36">
        <f t="shared" ca="1" si="165"/>
        <v>1</v>
      </c>
      <c r="AP56" s="36">
        <f t="shared" ca="1" si="165"/>
        <v>1</v>
      </c>
      <c r="AQ56" s="36">
        <f t="shared" ca="1" si="165"/>
        <v>1</v>
      </c>
      <c r="AR56" s="36">
        <f t="shared" ca="1" si="165"/>
        <v>5</v>
      </c>
      <c r="AS56" s="36">
        <f t="shared" ca="1" si="165"/>
        <v>4</v>
      </c>
      <c r="AT56" s="40">
        <f t="shared" ca="1" si="165"/>
        <v>1</v>
      </c>
      <c r="AU56" s="317">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3"/>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4</v>
      </c>
      <c r="AE57" s="582" t="e" cm="1" vm="25">
        <f t="array" aca="1" ref="AE57" ca="1">Ver_flag_visit</f>
        <v>#VALUE!</v>
      </c>
      <c r="AF57" s="30" t="str">
        <f ca="1">A53</f>
        <v>Bélgica</v>
      </c>
      <c r="AG57" s="310">
        <f t="shared" si="162"/>
        <v>1</v>
      </c>
      <c r="AH57" s="188">
        <v>64</v>
      </c>
      <c r="AI57" s="177" t="str">
        <f t="shared" si="166"/>
        <v>4G</v>
      </c>
      <c r="AJ57" s="41">
        <v>4</v>
      </c>
      <c r="AK57" s="590" t="e" cm="1" vm="28">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0</v>
      </c>
      <c r="AS57" s="44">
        <f t="shared" ca="1" si="165"/>
        <v>9</v>
      </c>
      <c r="AT57" s="45">
        <f t="shared" ca="1" si="165"/>
        <v>-9</v>
      </c>
      <c r="AU57" s="317">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2"/>
      <c r="AH58" s="188"/>
      <c r="AI58" s="177"/>
      <c r="AJ58" s="156"/>
      <c r="AK58" s="157"/>
      <c r="AL58" s="158"/>
      <c r="AM58" s="159"/>
      <c r="AN58" s="156"/>
      <c r="AO58" s="156"/>
      <c r="AP58" s="156"/>
      <c r="AQ58" s="156"/>
      <c r="AR58" s="156"/>
      <c r="AS58" s="156"/>
      <c r="AT58" s="156"/>
      <c r="AU58" s="317"/>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-1</v>
      </c>
      <c r="BM58" s="13">
        <f ca="1">CB58</f>
        <v>6</v>
      </c>
      <c r="BN58" s="13">
        <f ca="1">CF58</f>
        <v>6</v>
      </c>
      <c r="BO58" s="13" t="str">
        <f t="shared" ref="BO58:BO69" si="174">"4"&amp;BC58</f>
        <v>4A</v>
      </c>
      <c r="BP58" s="13"/>
      <c r="BQ58" s="13"/>
      <c r="BR58" s="13">
        <f t="shared" ref="BR58:BR69" ca="1" si="175">+BE58</f>
        <v>3</v>
      </c>
      <c r="BS58" s="13">
        <f ca="1">COUNTIFS(BR$58:BR$69,"&gt;"&amp;BR58)+1</f>
        <v>4</v>
      </c>
      <c r="BT58" s="13" t="str">
        <f ca="1">IF(COUNTIF(BS$58:BS$69,BS58)=1,"-","Pos. "&amp;BS58&amp;" ("&amp;COUNTIF(BS$58:BS$69,BS58)&amp;")")</f>
        <v>Pos. 4 (7)</v>
      </c>
      <c r="BU58" s="13">
        <f t="shared" ref="BU58:BU69" ca="1" si="176">IF(BT58="-","-",BL58)</f>
        <v>-1</v>
      </c>
      <c r="BV58" s="13">
        <f t="shared" ref="BV58:BV69" ca="1" si="177">BS58+COUNTIFS(BT$58:BT$69,BT58,BU$58:BU$69,"&gt;"&amp;BU58)</f>
        <v>4</v>
      </c>
      <c r="BW58" s="13" t="str">
        <f t="shared" ref="BW58:BW69" ca="1" si="178">IF(COUNTIF(BV$58:BV$69,BV58)=1,"-","Pos. "&amp;BV58&amp;" ("&amp;COUNTIF(BV$58:BV$69,BV58)&amp;")")</f>
        <v>Pos. 4 (3)</v>
      </c>
      <c r="BX58" s="13">
        <f t="shared" ref="BX58:BX69" ca="1" si="179">IF(BW58="-","-",BJ58)</f>
        <v>2</v>
      </c>
      <c r="BY58" s="13">
        <f t="shared" ref="BY58:BY69" ca="1" si="180">BV58+COUNTIFS(BW$58:BW$69,BW58,BX$58:BX$69,"&gt;"&amp;BX58)</f>
        <v>6</v>
      </c>
      <c r="BZ58" s="13" t="str">
        <f t="shared" ref="BZ58:BZ69" ca="1" si="181">IF(COUNTIF(BY$58:BY$69,BY58)=1,"-","Pos. "&amp;BY58&amp;" ("&amp;COUNTIF(BY$58:BY$69,BY58)&amp;")")</f>
        <v>-</v>
      </c>
      <c r="CA58" s="13" t="str">
        <f t="shared" ref="CA58:CA69" ca="1" si="182">IF(BZ58="-","-",COUNTIF($BD$58:$BD$69,"&gt;"&amp;BD58))</f>
        <v>-</v>
      </c>
      <c r="CB58" s="13">
        <f ca="1">BY58+COUNTIFS(BZ$58:BZ$69,BZ58,CA$58:CA$69,"&gt;"&amp;CA58)</f>
        <v>6</v>
      </c>
      <c r="CC58" s="13"/>
      <c r="CD58" s="13">
        <f t="shared" ref="CD58:CD69" ca="1" si="183">IF(OR(INDEX($AW$102:$AW$113,MATCH($BD58,$AV$102:$AV$113,0))="",BZ58="-"),CB58,INDEX($AW$102:$AW$113,MATCH($BD58,$AV$102:$AV$113,0))+CB58/1000)</f>
        <v>6</v>
      </c>
      <c r="CE58" s="13" t="str">
        <f ca="1">IF(BZ58="-","-",COUNTIF(CD$58:CD$69,"&lt;"&amp;CD58))</f>
        <v>-</v>
      </c>
      <c r="CF58" s="13">
        <f ca="1">BY58+COUNTIFS(BZ$58:BZ$69,BZ58,CE$58:CE$69,"&lt;"&amp;CE58)</f>
        <v>6</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Irán</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1"/>
      <c r="AH59" s="188"/>
      <c r="AI59" s="175"/>
      <c r="AJ59" s="158"/>
      <c r="AK59" s="586"/>
      <c r="AL59" s="158"/>
      <c r="AM59" s="158"/>
      <c r="AN59" s="158"/>
      <c r="AO59" s="158"/>
      <c r="AP59" s="158"/>
      <c r="AQ59" s="158"/>
      <c r="AR59" s="158"/>
      <c r="AS59" s="158"/>
      <c r="AT59" s="158"/>
      <c r="AU59" s="318"/>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3</v>
      </c>
      <c r="BK59" s="13">
        <f t="shared" ca="1" si="173"/>
        <v>5</v>
      </c>
      <c r="BL59" s="13">
        <f t="shared" ref="BL59:BL69" ca="1" si="190">+BJ59-BK59</f>
        <v>-2</v>
      </c>
      <c r="BM59" s="13">
        <f t="shared" ref="BM59:BM69" ca="1" si="191">CB59</f>
        <v>7</v>
      </c>
      <c r="BN59" s="13">
        <f t="shared" ref="BN59:BN69" ca="1" si="192">CF59</f>
        <v>7</v>
      </c>
      <c r="BO59" s="13" t="str">
        <f t="shared" si="174"/>
        <v>4B</v>
      </c>
      <c r="BP59" s="13"/>
      <c r="BQ59" s="13"/>
      <c r="BR59" s="13">
        <f t="shared" ca="1" si="175"/>
        <v>3</v>
      </c>
      <c r="BS59" s="13">
        <f t="shared" ref="BS59:BS69" ca="1" si="193">COUNTIFS(BR$58:BR$69,"&gt;"&amp;BR59)+1</f>
        <v>4</v>
      </c>
      <c r="BT59" s="13" t="str">
        <f t="shared" ref="BT59:BT69" ca="1" si="194">IF(COUNTIF(BS$58:BS$69,BS59)=1,"-","Pos. "&amp;BS59&amp;" ("&amp;COUNTIF(BS$58:BS$69,BS59)&amp;")")</f>
        <v>Pos. 4 (7)</v>
      </c>
      <c r="BU59" s="13">
        <f t="shared" ca="1" si="176"/>
        <v>-2</v>
      </c>
      <c r="BV59" s="13">
        <f t="shared" ca="1" si="177"/>
        <v>7</v>
      </c>
      <c r="BW59" s="13" t="str">
        <f t="shared" ca="1" si="178"/>
        <v>Pos. 7 (2)</v>
      </c>
      <c r="BX59" s="13">
        <f t="shared" ca="1" si="179"/>
        <v>3</v>
      </c>
      <c r="BY59" s="13">
        <f t="shared" ca="1" si="180"/>
        <v>7</v>
      </c>
      <c r="BZ59" s="13" t="str">
        <f t="shared" ca="1" si="181"/>
        <v>Pos. 7 (2)</v>
      </c>
      <c r="CA59" s="13">
        <f t="shared" ca="1" si="182"/>
        <v>9</v>
      </c>
      <c r="CB59" s="13">
        <f t="shared" ref="CB59:CB68" ca="1" si="195">BY59+COUNTIFS(BZ$58:BZ$69,BZ59,CA$58:CA$69,"&gt;"&amp;CA59)</f>
        <v>7</v>
      </c>
      <c r="CC59" s="13"/>
      <c r="CD59" s="13">
        <f t="shared" ca="1" si="183"/>
        <v>7</v>
      </c>
      <c r="CE59" s="13">
        <f t="shared" ref="CE59:CE69" ca="1" si="196">IF(BZ59="-","-",COUNTIF(CD$58:CD$69,"&lt;"&amp;CD59))</f>
        <v>6</v>
      </c>
      <c r="CF59" s="13">
        <f t="shared" ref="CF59:CF69" ca="1" si="197">BY59+COUNTIFS(BZ$58:BZ$69,BZ59,CE$58:CE$69,"&lt;"&amp;CE59)</f>
        <v>7</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Arabia Saudita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54" t="s">
        <v>447</v>
      </c>
      <c r="X60" s="21">
        <f ca="1">Horarios!C60</f>
        <v>46188.5</v>
      </c>
      <c r="Y60" s="22">
        <f ca="1">Horarios!C60</f>
        <v>46188.5</v>
      </c>
      <c r="Z60" s="23" t="str">
        <f>$Z$4</f>
        <v>J1</v>
      </c>
      <c r="AA60" s="24" t="str">
        <f ca="1">A61</f>
        <v>España</v>
      </c>
      <c r="AB60" s="46" t="e" cm="1" vm="29">
        <f t="array" aca="1" ref="AB60" ca="1">Ver_flag_local</f>
        <v>#VALUE!</v>
      </c>
      <c r="AC60" s="47">
        <v>4</v>
      </c>
      <c r="AD60" s="48">
        <v>0</v>
      </c>
      <c r="AE60" s="581" t="e" cm="1" vm="30">
        <f t="array" aca="1" ref="AE60" ca="1">Ver_flag_visit</f>
        <v>#VALUE!</v>
      </c>
      <c r="AF60" s="29" t="str">
        <f ca="1">A62</f>
        <v>Cabo Verde</v>
      </c>
      <c r="AG60" s="310">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8"/>
      <c r="AV60" s="274"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2</v>
      </c>
      <c r="BK60" s="13">
        <f t="shared" ca="1" si="173"/>
        <v>5</v>
      </c>
      <c r="BL60" s="13">
        <f t="shared" ca="1" si="190"/>
        <v>-3</v>
      </c>
      <c r="BM60" s="13">
        <f t="shared" ca="1" si="191"/>
        <v>9</v>
      </c>
      <c r="BN60" s="13">
        <f t="shared" ca="1" si="192"/>
        <v>9</v>
      </c>
      <c r="BO60" s="13" t="str">
        <f t="shared" si="174"/>
        <v>4C</v>
      </c>
      <c r="BP60" s="13"/>
      <c r="BQ60" s="13"/>
      <c r="BR60" s="13">
        <f t="shared" ca="1" si="175"/>
        <v>3</v>
      </c>
      <c r="BS60" s="13">
        <f t="shared" ca="1" si="193"/>
        <v>4</v>
      </c>
      <c r="BT60" s="13" t="str">
        <f t="shared" ca="1" si="194"/>
        <v>Pos. 4 (7)</v>
      </c>
      <c r="BU60" s="13">
        <f t="shared" ca="1" si="176"/>
        <v>-3</v>
      </c>
      <c r="BV60" s="13">
        <f t="shared" ca="1" si="177"/>
        <v>9</v>
      </c>
      <c r="BW60" s="13" t="str">
        <f t="shared" ca="1" si="178"/>
        <v>Pos. 9 (2)</v>
      </c>
      <c r="BX60" s="13">
        <f t="shared" ca="1" si="179"/>
        <v>2</v>
      </c>
      <c r="BY60" s="13">
        <f t="shared" ca="1" si="180"/>
        <v>9</v>
      </c>
      <c r="BZ60" s="13" t="str">
        <f t="shared" ca="1" si="181"/>
        <v>-</v>
      </c>
      <c r="CA60" s="13" t="str">
        <f t="shared" ca="1" si="182"/>
        <v>-</v>
      </c>
      <c r="CB60" s="13">
        <f t="shared" ca="1" si="195"/>
        <v>9</v>
      </c>
      <c r="CC60" s="13"/>
      <c r="CD60" s="13">
        <f t="shared" ca="1" si="183"/>
        <v>9</v>
      </c>
      <c r="CE60" s="13" t="str">
        <f t="shared" ca="1" si="196"/>
        <v>-</v>
      </c>
      <c r="CF60" s="13">
        <f t="shared" ca="1" si="197"/>
        <v>9</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Austria</v>
      </c>
    </row>
    <row r="61" spans="1:121" ht="16.05" customHeight="1">
      <c r="A61" s="13" t="str">
        <f ca="1">+Equipos!B30</f>
        <v>España</v>
      </c>
      <c r="B61" s="13"/>
      <c r="C61" s="13"/>
      <c r="D61" s="13" t="str">
        <f t="shared" si="199"/>
        <v>Empate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54"/>
      <c r="X61" s="21">
        <f ca="1">Horarios!C61</f>
        <v>46188.75</v>
      </c>
      <c r="Y61" s="22">
        <f ca="1">Horarios!C61</f>
        <v>46188.75</v>
      </c>
      <c r="Z61" s="23" t="str">
        <f>$Z$4</f>
        <v>J1</v>
      </c>
      <c r="AA61" s="24" t="str">
        <f ca="1">A63</f>
        <v>Arabia Saudita</v>
      </c>
      <c r="AB61" s="46" t="e" cm="1" vm="31">
        <f t="array" aca="1" ref="AB61" ca="1">Ver_flag_local</f>
        <v>#VALUE!</v>
      </c>
      <c r="AC61" s="47">
        <v>1</v>
      </c>
      <c r="AD61" s="48">
        <v>1</v>
      </c>
      <c r="AE61" s="581" t="e" cm="1" vm="32">
        <f t="array" aca="1" ref="AE61" ca="1">Ver_flag_visit</f>
        <v>#VALUE!</v>
      </c>
      <c r="AF61" s="29" t="str">
        <f ca="1">A64</f>
        <v>Uruguay</v>
      </c>
      <c r="AG61" s="310">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8">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3</v>
      </c>
      <c r="BF61" s="13">
        <f t="shared" ca="1" si="189"/>
        <v>3</v>
      </c>
      <c r="BG61" s="13">
        <f t="shared" ca="1" si="169"/>
        <v>1</v>
      </c>
      <c r="BH61" s="13">
        <f t="shared" ca="1" si="170"/>
        <v>0</v>
      </c>
      <c r="BI61" s="13">
        <f t="shared" ca="1" si="171"/>
        <v>2</v>
      </c>
      <c r="BJ61" s="13">
        <f t="shared" ca="1" si="172"/>
        <v>1</v>
      </c>
      <c r="BK61" s="13">
        <f t="shared" ca="1" si="173"/>
        <v>4</v>
      </c>
      <c r="BL61" s="13">
        <f t="shared" ca="1" si="190"/>
        <v>-3</v>
      </c>
      <c r="BM61" s="13">
        <f t="shared" ca="1" si="191"/>
        <v>10</v>
      </c>
      <c r="BN61" s="13">
        <f t="shared" ca="1" si="192"/>
        <v>10</v>
      </c>
      <c r="BO61" s="13" t="str">
        <f t="shared" si="174"/>
        <v>4D</v>
      </c>
      <c r="BP61" s="13"/>
      <c r="BQ61" s="13"/>
      <c r="BR61" s="13">
        <f t="shared" ca="1" si="175"/>
        <v>3</v>
      </c>
      <c r="BS61" s="13">
        <f t="shared" ca="1" si="193"/>
        <v>4</v>
      </c>
      <c r="BT61" s="13" t="str">
        <f t="shared" ca="1" si="194"/>
        <v>Pos. 4 (7)</v>
      </c>
      <c r="BU61" s="13">
        <f t="shared" ca="1" si="176"/>
        <v>-3</v>
      </c>
      <c r="BV61" s="13">
        <f t="shared" ca="1" si="177"/>
        <v>9</v>
      </c>
      <c r="BW61" s="13" t="str">
        <f t="shared" ca="1" si="178"/>
        <v>Pos. 9 (2)</v>
      </c>
      <c r="BX61" s="13">
        <f t="shared" ca="1" si="179"/>
        <v>1</v>
      </c>
      <c r="BY61" s="13">
        <f t="shared" ca="1" si="180"/>
        <v>10</v>
      </c>
      <c r="BZ61" s="13" t="str">
        <f t="shared" ca="1" si="181"/>
        <v>-</v>
      </c>
      <c r="CA61" s="13" t="str">
        <f t="shared" ca="1" si="182"/>
        <v>-</v>
      </c>
      <c r="CB61" s="13">
        <f t="shared" ca="1" si="195"/>
        <v>10</v>
      </c>
      <c r="CC61" s="13"/>
      <c r="CD61" s="13">
        <f t="shared" ca="1" si="183"/>
        <v>10</v>
      </c>
      <c r="CE61" s="13" t="str">
        <f t="shared" ca="1" si="196"/>
        <v>-</v>
      </c>
      <c r="CF61" s="13">
        <f t="shared" ca="1" si="197"/>
        <v>10</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Senegal</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54"/>
      <c r="X62" s="21">
        <f ca="1">Horarios!C62</f>
        <v>46194.5</v>
      </c>
      <c r="Y62" s="22">
        <f ca="1">Horarios!C62</f>
        <v>46194.5</v>
      </c>
      <c r="Z62" s="23" t="str">
        <f>$Z$6</f>
        <v>J2</v>
      </c>
      <c r="AA62" s="24" t="str">
        <f ca="1">A61</f>
        <v>España</v>
      </c>
      <c r="AB62" s="46" t="e" cm="1" vm="29">
        <f t="array" aca="1" ref="AB62" ca="1">Ver_flag_local</f>
        <v>#VALUE!</v>
      </c>
      <c r="AC62" s="47">
        <v>2</v>
      </c>
      <c r="AD62" s="48">
        <v>1</v>
      </c>
      <c r="AE62" s="581" t="e" cm="1" vm="31">
        <f t="array" aca="1" ref="AE62" ca="1">Ver_flag_visit</f>
        <v>#VALUE!</v>
      </c>
      <c r="AF62" s="29" t="str">
        <f ca="1">A63</f>
        <v>Arabia Saudita</v>
      </c>
      <c r="AG62" s="310">
        <f t="shared" si="212"/>
        <v>1</v>
      </c>
      <c r="AH62" s="188">
        <v>38</v>
      </c>
      <c r="AI62" s="177" t="str">
        <f>AJ62&amp;$B$60</f>
        <v>1H</v>
      </c>
      <c r="AJ62" s="37">
        <v>1</v>
      </c>
      <c r="AK62" s="587" t="e" cm="1" vm="29">
        <f t="array" aca="1" ref="AK62" ca="1">Ver_flag_visit</f>
        <v>#VALUE!</v>
      </c>
      <c r="AL62" s="31" t="str">
        <f ca="1">IFERROR(INDEX($BD$6:$BD$53,MATCH(AI62,$BN$6:$BN$53,0)),"")</f>
        <v>España</v>
      </c>
      <c r="AM62" s="32">
        <f t="shared" ref="AM62:AT65" ca="1" si="215">INDEX($BE$6:$BN$53,MATCH($AL62,$BD$6:$BD$53,0),MATCH(AM$5,$BE$5:$BN$5,0))</f>
        <v>7</v>
      </c>
      <c r="AN62" s="33">
        <f t="shared" ca="1" si="215"/>
        <v>3</v>
      </c>
      <c r="AO62" s="33">
        <f t="shared" ca="1" si="215"/>
        <v>2</v>
      </c>
      <c r="AP62" s="33">
        <f t="shared" ca="1" si="215"/>
        <v>1</v>
      </c>
      <c r="AQ62" s="33">
        <f t="shared" ca="1" si="215"/>
        <v>0</v>
      </c>
      <c r="AR62" s="33">
        <f t="shared" ca="1" si="215"/>
        <v>7</v>
      </c>
      <c r="AS62" s="33">
        <f t="shared" ca="1" si="215"/>
        <v>2</v>
      </c>
      <c r="AT62" s="38">
        <f t="shared" ca="1" si="215"/>
        <v>5</v>
      </c>
      <c r="AU62" s="317">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4</v>
      </c>
      <c r="BK62" s="13">
        <f t="shared" ca="1" si="173"/>
        <v>5</v>
      </c>
      <c r="BL62" s="13">
        <f t="shared" ca="1" si="190"/>
        <v>-1</v>
      </c>
      <c r="BM62" s="13">
        <f t="shared" ca="1" si="191"/>
        <v>5</v>
      </c>
      <c r="BN62" s="13">
        <f t="shared" ca="1" si="192"/>
        <v>5</v>
      </c>
      <c r="BO62" s="13" t="str">
        <f t="shared" si="174"/>
        <v>4E</v>
      </c>
      <c r="BP62" s="13"/>
      <c r="BQ62" s="13"/>
      <c r="BR62" s="13">
        <f t="shared" ca="1" si="175"/>
        <v>3</v>
      </c>
      <c r="BS62" s="13">
        <f t="shared" ca="1" si="193"/>
        <v>4</v>
      </c>
      <c r="BT62" s="13" t="str">
        <f t="shared" ca="1" si="194"/>
        <v>Pos. 4 (7)</v>
      </c>
      <c r="BU62" s="13">
        <f t="shared" ca="1" si="176"/>
        <v>-1</v>
      </c>
      <c r="BV62" s="13">
        <f t="shared" ca="1" si="177"/>
        <v>4</v>
      </c>
      <c r="BW62" s="13" t="str">
        <f t="shared" ca="1" si="178"/>
        <v>Pos. 4 (3)</v>
      </c>
      <c r="BX62" s="13">
        <f t="shared" ca="1" si="179"/>
        <v>4</v>
      </c>
      <c r="BY62" s="13">
        <f t="shared" ca="1" si="180"/>
        <v>5</v>
      </c>
      <c r="BZ62" s="13" t="str">
        <f t="shared" ca="1" si="181"/>
        <v>-</v>
      </c>
      <c r="CA62" s="13" t="str">
        <f t="shared" ca="1" si="182"/>
        <v>-</v>
      </c>
      <c r="CB62" s="13">
        <f t="shared" ca="1" si="195"/>
        <v>5</v>
      </c>
      <c r="CC62" s="13"/>
      <c r="CD62" s="13">
        <f t="shared" ca="1" si="183"/>
        <v>5</v>
      </c>
      <c r="CE62" s="13" t="str">
        <f t="shared" ca="1" si="196"/>
        <v>-</v>
      </c>
      <c r="CF62" s="13">
        <f t="shared" ca="1" si="197"/>
        <v>5</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Costa de Marfil</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54"/>
      <c r="X63" s="21">
        <f ca="1">Horarios!C63</f>
        <v>46194.75</v>
      </c>
      <c r="Y63" s="22">
        <f ca="1">Horarios!C63</f>
        <v>46194.75</v>
      </c>
      <c r="Z63" s="23" t="str">
        <f>$Z$6</f>
        <v>J2</v>
      </c>
      <c r="AA63" s="24" t="str">
        <f ca="1">A64</f>
        <v>Uruguay</v>
      </c>
      <c r="AB63" s="46" t="e" cm="1" vm="32">
        <f t="array" aca="1" ref="AB63" ca="1">Ver_flag_local</f>
        <v>#VALUE!</v>
      </c>
      <c r="AC63" s="47">
        <v>3</v>
      </c>
      <c r="AD63" s="48">
        <v>0</v>
      </c>
      <c r="AE63" s="581" t="e" cm="1" vm="30">
        <f t="array" aca="1" ref="AE63" ca="1">Ver_flag_visit</f>
        <v>#VALUE!</v>
      </c>
      <c r="AF63" s="29" t="str">
        <f ca="1">A62</f>
        <v>Cabo Verde</v>
      </c>
      <c r="AG63" s="310">
        <f t="shared" si="212"/>
        <v>1</v>
      </c>
      <c r="AH63" s="188">
        <v>37</v>
      </c>
      <c r="AI63" s="177" t="str">
        <f t="shared" ref="AI63:AI65" si="216">AJ63&amp;$B$60</f>
        <v>2H</v>
      </c>
      <c r="AJ63" s="39">
        <v>2</v>
      </c>
      <c r="AK63" s="588" t="e" cm="1" vm="32">
        <f t="array" aca="1" ref="AK63" ca="1">Ver_flag_visit</f>
        <v>#VALUE!</v>
      </c>
      <c r="AL63" s="34" t="str">
        <f ca="1">IFERROR(INDEX($BD$6:$BD$53,MATCH(AI63,$BN$6:$BN$53,0)),"")</f>
        <v>Uruguay</v>
      </c>
      <c r="AM63" s="35">
        <f t="shared" ca="1" si="215"/>
        <v>5</v>
      </c>
      <c r="AN63" s="36">
        <f t="shared" ca="1" si="215"/>
        <v>3</v>
      </c>
      <c r="AO63" s="36">
        <f t="shared" ca="1" si="215"/>
        <v>1</v>
      </c>
      <c r="AP63" s="36">
        <f t="shared" ca="1" si="215"/>
        <v>2</v>
      </c>
      <c r="AQ63" s="36">
        <f t="shared" ca="1" si="215"/>
        <v>0</v>
      </c>
      <c r="AR63" s="36">
        <f t="shared" ca="1" si="215"/>
        <v>5</v>
      </c>
      <c r="AS63" s="36">
        <f t="shared" ca="1" si="215"/>
        <v>2</v>
      </c>
      <c r="AT63" s="40">
        <f t="shared" ca="1" si="215"/>
        <v>3</v>
      </c>
      <c r="AU63" s="317">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1</v>
      </c>
      <c r="BF63" s="13">
        <f t="shared" ca="1" si="189"/>
        <v>3</v>
      </c>
      <c r="BG63" s="13">
        <f t="shared" ca="1" si="169"/>
        <v>0</v>
      </c>
      <c r="BH63" s="13">
        <f t="shared" ca="1" si="170"/>
        <v>1</v>
      </c>
      <c r="BI63" s="13">
        <f t="shared" ca="1" si="171"/>
        <v>2</v>
      </c>
      <c r="BJ63" s="13">
        <f t="shared" ca="1" si="172"/>
        <v>4</v>
      </c>
      <c r="BK63" s="13">
        <f t="shared" ca="1" si="173"/>
        <v>8</v>
      </c>
      <c r="BL63" s="13">
        <f t="shared" ca="1" si="190"/>
        <v>-4</v>
      </c>
      <c r="BM63" s="13">
        <f t="shared" ca="1" si="191"/>
        <v>11</v>
      </c>
      <c r="BN63" s="13">
        <f t="shared" ca="1" si="192"/>
        <v>11</v>
      </c>
      <c r="BO63" s="13" t="str">
        <f t="shared" si="174"/>
        <v>4F</v>
      </c>
      <c r="BP63" s="13"/>
      <c r="BQ63" s="13"/>
      <c r="BR63" s="13">
        <f t="shared" ca="1" si="175"/>
        <v>1</v>
      </c>
      <c r="BS63" s="13">
        <f t="shared" ca="1" si="193"/>
        <v>11</v>
      </c>
      <c r="BT63" s="13" t="str">
        <f t="shared" ca="1" si="194"/>
        <v>Pos. 11 (2)</v>
      </c>
      <c r="BU63" s="13">
        <f t="shared" ca="1" si="176"/>
        <v>-4</v>
      </c>
      <c r="BV63" s="13">
        <f t="shared" ca="1" si="177"/>
        <v>11</v>
      </c>
      <c r="BW63" s="13" t="str">
        <f t="shared" ca="1" si="178"/>
        <v>Pos. 11 (2)</v>
      </c>
      <c r="BX63" s="13">
        <f t="shared" ca="1" si="179"/>
        <v>4</v>
      </c>
      <c r="BY63" s="13">
        <f t="shared" ca="1" si="180"/>
        <v>11</v>
      </c>
      <c r="BZ63" s="13" t="str">
        <f t="shared" ca="1" si="181"/>
        <v>-</v>
      </c>
      <c r="CA63" s="13" t="str">
        <f t="shared" ca="1" si="182"/>
        <v>-</v>
      </c>
      <c r="CB63" s="13">
        <f t="shared" ca="1" si="195"/>
        <v>11</v>
      </c>
      <c r="CC63" s="13"/>
      <c r="CD63" s="13">
        <f t="shared" ca="1" si="183"/>
        <v>11</v>
      </c>
      <c r="CE63" s="13" t="str">
        <f t="shared" ca="1" si="196"/>
        <v>-</v>
      </c>
      <c r="CF63" s="13">
        <f t="shared" ca="1" si="197"/>
        <v>11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República Checa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54"/>
      <c r="X64" s="21">
        <f ca="1">Horarios!C64</f>
        <v>46199.833333333336</v>
      </c>
      <c r="Y64" s="22">
        <f ca="1">Horarios!C64</f>
        <v>46199.833333333336</v>
      </c>
      <c r="Z64" s="23" t="str">
        <f>$Z$8</f>
        <v>J3</v>
      </c>
      <c r="AA64" s="24" t="str">
        <f ca="1">A62</f>
        <v>Cabo Verde</v>
      </c>
      <c r="AB64" s="46" t="e" cm="1" vm="30">
        <f t="array" aca="1" ref="AB64" ca="1">Ver_flag_local</f>
        <v>#VALUE!</v>
      </c>
      <c r="AC64" s="47">
        <v>0</v>
      </c>
      <c r="AD64" s="48">
        <v>1</v>
      </c>
      <c r="AE64" s="581" t="e" cm="1" vm="31">
        <f t="array" aca="1" ref="AE64" ca="1">Ver_flag_visit</f>
        <v>#VALUE!</v>
      </c>
      <c r="AF64" s="29" t="str">
        <f ca="1">A63</f>
        <v>Arabia Saudita</v>
      </c>
      <c r="AG64" s="310">
        <f t="shared" si="212"/>
        <v>1</v>
      </c>
      <c r="AH64" s="188">
        <v>65</v>
      </c>
      <c r="AI64" s="177" t="str">
        <f t="shared" si="216"/>
        <v>3H</v>
      </c>
      <c r="AJ64" s="39">
        <v>3</v>
      </c>
      <c r="AK64" s="588" t="e" cm="1" vm="31">
        <f t="array" aca="1" ref="AK64" ca="1">Ver_flag_visit</f>
        <v>#VALUE!</v>
      </c>
      <c r="AL64" s="34" t="str">
        <f ca="1">IFERROR(INDEX($BD$6:$BD$53,MATCH(AI64,$BN$6:$BN$53,0)),"")</f>
        <v>Arabia Saudita</v>
      </c>
      <c r="AM64" s="35">
        <f t="shared" ca="1" si="215"/>
        <v>4</v>
      </c>
      <c r="AN64" s="36">
        <f t="shared" ca="1" si="215"/>
        <v>3</v>
      </c>
      <c r="AO64" s="36">
        <f t="shared" ca="1" si="215"/>
        <v>1</v>
      </c>
      <c r="AP64" s="36">
        <f t="shared" ca="1" si="215"/>
        <v>1</v>
      </c>
      <c r="AQ64" s="36">
        <f t="shared" ca="1" si="215"/>
        <v>1</v>
      </c>
      <c r="AR64" s="36">
        <f t="shared" ca="1" si="215"/>
        <v>3</v>
      </c>
      <c r="AS64" s="36">
        <f t="shared" ca="1" si="215"/>
        <v>3</v>
      </c>
      <c r="AT64" s="40">
        <f t="shared" ca="1" si="215"/>
        <v>0</v>
      </c>
      <c r="AU64" s="317">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4</v>
      </c>
      <c r="BF64" s="13">
        <f t="shared" ca="1" si="189"/>
        <v>3</v>
      </c>
      <c r="BG64" s="13">
        <f t="shared" ca="1" si="169"/>
        <v>1</v>
      </c>
      <c r="BH64" s="13">
        <f t="shared" ca="1" si="170"/>
        <v>1</v>
      </c>
      <c r="BI64" s="13">
        <f t="shared" ca="1" si="171"/>
        <v>1</v>
      </c>
      <c r="BJ64" s="13">
        <f t="shared" ca="1" si="172"/>
        <v>5</v>
      </c>
      <c r="BK64" s="13">
        <f t="shared" ca="1" si="173"/>
        <v>4</v>
      </c>
      <c r="BL64" s="13">
        <f t="shared" ca="1" si="190"/>
        <v>1</v>
      </c>
      <c r="BM64" s="13">
        <f t="shared" ca="1" si="191"/>
        <v>1</v>
      </c>
      <c r="BN64" s="13">
        <f t="shared" ca="1" si="192"/>
        <v>1</v>
      </c>
      <c r="BO64" s="13" t="str">
        <f t="shared" si="174"/>
        <v>4G</v>
      </c>
      <c r="BP64" s="13"/>
      <c r="BQ64" s="13"/>
      <c r="BR64" s="13">
        <f t="shared" ca="1" si="175"/>
        <v>4</v>
      </c>
      <c r="BS64" s="13">
        <f t="shared" ca="1" si="193"/>
        <v>1</v>
      </c>
      <c r="BT64" s="13" t="str">
        <f t="shared" ca="1" si="194"/>
        <v>Pos. 1 (3)</v>
      </c>
      <c r="BU64" s="13">
        <f t="shared" ca="1" si="176"/>
        <v>1</v>
      </c>
      <c r="BV64" s="13">
        <f t="shared" ca="1" si="177"/>
        <v>1</v>
      </c>
      <c r="BW64" s="13" t="str">
        <f t="shared" ca="1" si="178"/>
        <v>-</v>
      </c>
      <c r="BX64" s="13" t="str">
        <f t="shared" ca="1" si="179"/>
        <v>-</v>
      </c>
      <c r="BY64" s="13">
        <f t="shared" ca="1" si="180"/>
        <v>1</v>
      </c>
      <c r="BZ64" s="13" t="str">
        <f t="shared" ca="1" si="181"/>
        <v>-</v>
      </c>
      <c r="CA64" s="13" t="str">
        <f t="shared" ca="1" si="182"/>
        <v>-</v>
      </c>
      <c r="CB64" s="13">
        <f t="shared" ca="1" si="195"/>
        <v>1</v>
      </c>
      <c r="CC64" s="13"/>
      <c r="CD64" s="13">
        <f t="shared" ca="1" si="183"/>
        <v>1</v>
      </c>
      <c r="CE64" s="13" t="str">
        <f t="shared" ca="1" si="196"/>
        <v>-</v>
      </c>
      <c r="CF64" s="13">
        <f t="shared" ca="1" si="197"/>
        <v>1</v>
      </c>
      <c r="DJ64" s="13">
        <f t="shared" ca="1" si="184"/>
        <v>7</v>
      </c>
      <c r="DK64" s="13"/>
      <c r="DL64" s="13">
        <f t="shared" ca="1" si="185"/>
        <v>2</v>
      </c>
      <c r="DM64" s="13" t="str">
        <f t="shared" ca="1" si="186"/>
        <v>7.2</v>
      </c>
      <c r="DN64" s="13" t="e" cm="1" vm="33">
        <f t="array" aca="1" ref="DN64" ca="1">OFFSET(Horarios!$P$3,DJ64-1,0,DL64,1)</f>
        <v>#VALUE!</v>
      </c>
      <c r="DO64" s="13"/>
      <c r="DP64" s="13">
        <v>7</v>
      </c>
      <c r="DQ64" s="13" t="str">
        <f t="shared" ca="1" si="198"/>
        <v>Bosnia y Herzegovina</v>
      </c>
    </row>
    <row r="65" spans="1:121" ht="16.05" customHeight="1" thickBot="1">
      <c r="A65" s="13"/>
      <c r="B65" s="13"/>
      <c r="C65" s="13"/>
      <c r="D65" s="13" t="str">
        <f t="shared" si="199"/>
        <v>Empate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5"/>
      <c r="X65" s="25">
        <f ca="1">Horarios!C65</f>
        <v>46199.833333333336</v>
      </c>
      <c r="Y65" s="26">
        <f ca="1">Horarios!C65</f>
        <v>46199.833333333336</v>
      </c>
      <c r="Z65" s="27" t="str">
        <f>$Z$8</f>
        <v>J3</v>
      </c>
      <c r="AA65" s="28" t="str">
        <f ca="1">A64</f>
        <v>Uruguay</v>
      </c>
      <c r="AB65" s="49" t="e" cm="1" vm="32">
        <f t="array" aca="1" ref="AB65" ca="1">Ver_flag_local</f>
        <v>#VALUE!</v>
      </c>
      <c r="AC65" s="50">
        <v>1</v>
      </c>
      <c r="AD65" s="51">
        <v>1</v>
      </c>
      <c r="AE65" s="582" t="e" cm="1" vm="29">
        <f t="array" aca="1" ref="AE65" ca="1">Ver_flag_visit</f>
        <v>#VALUE!</v>
      </c>
      <c r="AF65" s="30" t="str">
        <f ca="1">A61</f>
        <v>España</v>
      </c>
      <c r="AG65" s="310">
        <f t="shared" si="212"/>
        <v>1</v>
      </c>
      <c r="AH65" s="188">
        <v>66</v>
      </c>
      <c r="AI65" s="177" t="str">
        <f t="shared" si="216"/>
        <v>4H</v>
      </c>
      <c r="AJ65" s="41">
        <v>4</v>
      </c>
      <c r="AK65" s="590"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8</v>
      </c>
      <c r="AT65" s="45">
        <f t="shared" ca="1" si="215"/>
        <v>-8</v>
      </c>
      <c r="AU65" s="317">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4</v>
      </c>
      <c r="BF65" s="13">
        <f t="shared" ca="1" si="189"/>
        <v>3</v>
      </c>
      <c r="BG65" s="13">
        <f t="shared" ca="1" si="169"/>
        <v>1</v>
      </c>
      <c r="BH65" s="13">
        <f t="shared" ca="1" si="170"/>
        <v>1</v>
      </c>
      <c r="BI65" s="13">
        <f t="shared" ca="1" si="171"/>
        <v>1</v>
      </c>
      <c r="BJ65" s="13">
        <f t="shared" ca="1" si="172"/>
        <v>3</v>
      </c>
      <c r="BK65" s="13">
        <f t="shared" ca="1" si="173"/>
        <v>3</v>
      </c>
      <c r="BL65" s="13">
        <f t="shared" ca="1" si="190"/>
        <v>0</v>
      </c>
      <c r="BM65" s="13">
        <f t="shared" ca="1" si="191"/>
        <v>2</v>
      </c>
      <c r="BN65" s="13">
        <f t="shared" ca="1" si="192"/>
        <v>2</v>
      </c>
      <c r="BO65" s="13" t="str">
        <f t="shared" si="174"/>
        <v>4H</v>
      </c>
      <c r="BP65" s="13"/>
      <c r="BQ65" s="13"/>
      <c r="BR65" s="13">
        <f t="shared" ca="1" si="175"/>
        <v>4</v>
      </c>
      <c r="BS65" s="13">
        <f t="shared" ca="1" si="193"/>
        <v>1</v>
      </c>
      <c r="BT65" s="13" t="str">
        <f t="shared" ca="1" si="194"/>
        <v>Pos. 1 (3)</v>
      </c>
      <c r="BU65" s="13">
        <f t="shared" ca="1" si="176"/>
        <v>0</v>
      </c>
      <c r="BV65" s="13">
        <f t="shared" ca="1" si="177"/>
        <v>2</v>
      </c>
      <c r="BW65" s="13" t="str">
        <f t="shared" ca="1" si="178"/>
        <v>-</v>
      </c>
      <c r="BX65" s="13" t="str">
        <f t="shared" ca="1" si="179"/>
        <v>-</v>
      </c>
      <c r="BY65" s="13">
        <f t="shared" ca="1" si="180"/>
        <v>2</v>
      </c>
      <c r="BZ65" s="13" t="str">
        <f t="shared" ca="1" si="181"/>
        <v>-</v>
      </c>
      <c r="CA65" s="13" t="str">
        <f t="shared" ca="1" si="182"/>
        <v>-</v>
      </c>
      <c r="CB65" s="13">
        <f t="shared" ca="1" si="195"/>
        <v>2</v>
      </c>
      <c r="CC65" s="13"/>
      <c r="CD65" s="13">
        <f t="shared" ca="1" si="183"/>
        <v>2</v>
      </c>
      <c r="CE65" s="13" t="str">
        <f t="shared" ca="1" si="196"/>
        <v>-</v>
      </c>
      <c r="CF65" s="13">
        <f t="shared" ca="1" si="197"/>
        <v>2</v>
      </c>
      <c r="DJ65" s="13">
        <f t="shared" ca="1" si="184"/>
        <v>7</v>
      </c>
      <c r="DK65" s="13"/>
      <c r="DL65" s="13">
        <f t="shared" ca="1" si="185"/>
        <v>2</v>
      </c>
      <c r="DM65" s="13" t="str">
        <f t="shared" ca="1" si="186"/>
        <v>7.2</v>
      </c>
      <c r="DN65" s="13" t="e" cm="1" vm="33">
        <f t="array" aca="1" ref="DN65" ca="1">OFFSET(Horarios!$P$3,DJ65-1,0,DL65,1)</f>
        <v>#VALUE!</v>
      </c>
      <c r="DO65" s="13"/>
      <c r="DP65" s="13">
        <v>8</v>
      </c>
      <c r="DQ65" s="13" t="str">
        <f t="shared" ca="1" si="198"/>
        <v>Ghana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2"/>
      <c r="AH66" s="188"/>
      <c r="AI66" s="176"/>
      <c r="AJ66" s="156"/>
      <c r="AK66" s="157"/>
      <c r="AL66" s="158"/>
      <c r="AM66" s="159"/>
      <c r="AN66" s="156"/>
      <c r="AO66" s="156"/>
      <c r="AP66" s="156"/>
      <c r="AQ66" s="156"/>
      <c r="AR66" s="156"/>
      <c r="AS66" s="156"/>
      <c r="AT66" s="156"/>
      <c r="AU66" s="317"/>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5</v>
      </c>
      <c r="BK66" s="13">
        <f t="shared" ca="1" si="173"/>
        <v>6</v>
      </c>
      <c r="BL66" s="13">
        <f t="shared" ca="1" si="190"/>
        <v>-1</v>
      </c>
      <c r="BM66" s="13">
        <f t="shared" ca="1" si="191"/>
        <v>4</v>
      </c>
      <c r="BN66" s="13">
        <f t="shared" ca="1" si="192"/>
        <v>4</v>
      </c>
      <c r="BO66" s="13" t="str">
        <f t="shared" si="174"/>
        <v>4I</v>
      </c>
      <c r="BP66" s="13"/>
      <c r="BQ66" s="13"/>
      <c r="BR66" s="13">
        <f t="shared" ca="1" si="175"/>
        <v>3</v>
      </c>
      <c r="BS66" s="13">
        <f t="shared" ca="1" si="193"/>
        <v>4</v>
      </c>
      <c r="BT66" s="13" t="str">
        <f t="shared" ca="1" si="194"/>
        <v>Pos. 4 (7)</v>
      </c>
      <c r="BU66" s="13">
        <f t="shared" ca="1" si="176"/>
        <v>-1</v>
      </c>
      <c r="BV66" s="13">
        <f t="shared" ca="1" si="177"/>
        <v>4</v>
      </c>
      <c r="BW66" s="13" t="str">
        <f t="shared" ca="1" si="178"/>
        <v>Pos. 4 (3)</v>
      </c>
      <c r="BX66" s="13">
        <f t="shared" ca="1" si="179"/>
        <v>5</v>
      </c>
      <c r="BY66" s="13">
        <f t="shared" ca="1" si="180"/>
        <v>4</v>
      </c>
      <c r="BZ66" s="13" t="str">
        <f t="shared" ca="1" si="181"/>
        <v>-</v>
      </c>
      <c r="CA66" s="13" t="str">
        <f t="shared" ca="1" si="182"/>
        <v>-</v>
      </c>
      <c r="CB66" s="13">
        <f t="shared" ca="1" si="195"/>
        <v>4</v>
      </c>
      <c r="CC66" s="13"/>
      <c r="CD66" s="13">
        <f t="shared" ca="1" si="183"/>
        <v>4</v>
      </c>
      <c r="CE66" s="13" t="str">
        <f t="shared" ca="1" si="196"/>
        <v>-</v>
      </c>
      <c r="CF66" s="13">
        <f t="shared" ca="1" si="197"/>
        <v>4</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Escocia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1"/>
      <c r="AH67" s="188"/>
      <c r="AI67" s="175"/>
      <c r="AJ67" s="158"/>
      <c r="AK67" s="586"/>
      <c r="AL67" s="158"/>
      <c r="AM67" s="158"/>
      <c r="AN67" s="158"/>
      <c r="AO67" s="158"/>
      <c r="AP67" s="158"/>
      <c r="AQ67" s="158"/>
      <c r="AR67" s="158"/>
      <c r="AS67" s="158"/>
      <c r="AT67" s="158"/>
      <c r="AU67" s="318"/>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2</v>
      </c>
      <c r="BK67" s="13">
        <f t="shared" ca="1" si="173"/>
        <v>3</v>
      </c>
      <c r="BL67" s="13">
        <f t="shared" ca="1" si="190"/>
        <v>-1</v>
      </c>
      <c r="BM67" s="13">
        <f t="shared" ca="1" si="191"/>
        <v>3</v>
      </c>
      <c r="BN67" s="13">
        <f t="shared" ca="1" si="192"/>
        <v>3</v>
      </c>
      <c r="BO67" s="13" t="str">
        <f t="shared" si="174"/>
        <v>4J</v>
      </c>
      <c r="BP67" s="13"/>
      <c r="BQ67" s="13"/>
      <c r="BR67" s="13">
        <f t="shared" ca="1" si="175"/>
        <v>4</v>
      </c>
      <c r="BS67" s="13">
        <f t="shared" ca="1" si="193"/>
        <v>1</v>
      </c>
      <c r="BT67" s="13" t="str">
        <f t="shared" ca="1" si="194"/>
        <v>Pos. 1 (3)</v>
      </c>
      <c r="BU67" s="13">
        <f t="shared" ca="1" si="176"/>
        <v>-1</v>
      </c>
      <c r="BV67" s="13">
        <f t="shared" ca="1" si="177"/>
        <v>3</v>
      </c>
      <c r="BW67" s="13" t="str">
        <f t="shared" ca="1" si="178"/>
        <v>-</v>
      </c>
      <c r="BX67" s="13" t="str">
        <f t="shared" ca="1" si="179"/>
        <v>-</v>
      </c>
      <c r="BY67" s="13">
        <f t="shared" ca="1" si="180"/>
        <v>3</v>
      </c>
      <c r="BZ67" s="13" t="str">
        <f t="shared" ca="1" si="181"/>
        <v>-</v>
      </c>
      <c r="CA67" s="13" t="str">
        <f t="shared" ca="1" si="182"/>
        <v>-</v>
      </c>
      <c r="CB67" s="13">
        <f t="shared" ca="1" si="195"/>
        <v>3</v>
      </c>
      <c r="CC67" s="13"/>
      <c r="CD67" s="13">
        <f t="shared" ca="1" si="183"/>
        <v>3</v>
      </c>
      <c r="CE67" s="13" t="str">
        <f t="shared" ca="1" si="196"/>
        <v>-</v>
      </c>
      <c r="CF67" s="13">
        <f t="shared" ca="1" si="197"/>
        <v>3</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Estados Unidos</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60" t="s">
        <v>448</v>
      </c>
      <c r="X68" s="21">
        <f ca="1">Horarios!C68</f>
        <v>46189.625</v>
      </c>
      <c r="Y68" s="22">
        <f ca="1">Horarios!C68</f>
        <v>46189.625</v>
      </c>
      <c r="Z68" s="23" t="str">
        <f>$Z$4</f>
        <v>J1</v>
      </c>
      <c r="AA68" s="24" t="str">
        <f ca="1">A69</f>
        <v>Francia</v>
      </c>
      <c r="AB68" s="46" t="e" cm="1" vm="34">
        <f t="array" aca="1" ref="AB68" ca="1">Ver_flag_local</f>
        <v>#VALUE!</v>
      </c>
      <c r="AC68" s="47">
        <v>2</v>
      </c>
      <c r="AD68" s="48">
        <v>1</v>
      </c>
      <c r="AE68" s="581" t="e" cm="1" vm="35">
        <f t="array" aca="1" ref="AE68" ca="1">Ver_flag_visit</f>
        <v>#VALUE!</v>
      </c>
      <c r="AF68" s="29" t="str">
        <f ca="1">A70</f>
        <v>Senegal</v>
      </c>
      <c r="AG68" s="310">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8"/>
      <c r="AV68" s="274"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1</v>
      </c>
      <c r="BK68" s="13">
        <f t="shared" ca="1" si="173"/>
        <v>5</v>
      </c>
      <c r="BL68" s="13">
        <f t="shared" ca="1" si="190"/>
        <v>-4</v>
      </c>
      <c r="BM68" s="13">
        <f t="shared" ca="1" si="191"/>
        <v>12</v>
      </c>
      <c r="BN68" s="13">
        <f t="shared" ca="1" si="192"/>
        <v>12</v>
      </c>
      <c r="BO68" s="13" t="str">
        <f t="shared" si="174"/>
        <v>4K</v>
      </c>
      <c r="BP68" s="13"/>
      <c r="BQ68" s="13"/>
      <c r="BR68" s="13">
        <f t="shared" ca="1" si="175"/>
        <v>1</v>
      </c>
      <c r="BS68" s="13">
        <f t="shared" ca="1" si="193"/>
        <v>11</v>
      </c>
      <c r="BT68" s="13" t="str">
        <f t="shared" ca="1" si="194"/>
        <v>Pos. 11 (2)</v>
      </c>
      <c r="BU68" s="13">
        <f t="shared" ca="1" si="176"/>
        <v>-4</v>
      </c>
      <c r="BV68" s="13">
        <f t="shared" ca="1" si="177"/>
        <v>11</v>
      </c>
      <c r="BW68" s="13" t="str">
        <f t="shared" ca="1" si="178"/>
        <v>Pos. 11 (2)</v>
      </c>
      <c r="BX68" s="13">
        <f t="shared" ca="1" si="179"/>
        <v>1</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Suecia</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60"/>
      <c r="X69" s="21">
        <f ca="1">Horarios!C69</f>
        <v>46189.75</v>
      </c>
      <c r="Y69" s="22">
        <f ca="1">Horarios!C69</f>
        <v>46189.75</v>
      </c>
      <c r="Z69" s="23" t="str">
        <f>$Z$4</f>
        <v>J1</v>
      </c>
      <c r="AA69" s="24" t="str">
        <f ca="1">A71</f>
        <v>Irak</v>
      </c>
      <c r="AB69" s="46" t="e" cm="1" vm="36">
        <f t="array" aca="1" ref="AB69" ca="1">Ver_flag_local</f>
        <v>#VALUE!</v>
      </c>
      <c r="AC69" s="47">
        <v>1</v>
      </c>
      <c r="AD69" s="48">
        <v>5</v>
      </c>
      <c r="AE69" s="581" t="e" cm="1" vm="37">
        <f t="array" aca="1" ref="AE69" ca="1">Ver_flag_visit</f>
        <v>#VALUE!</v>
      </c>
      <c r="AF69" s="29" t="str">
        <f ca="1">A72</f>
        <v>Noruega</v>
      </c>
      <c r="AG69" s="310">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8">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3</v>
      </c>
      <c r="BK69" s="13">
        <f t="shared" ca="1" si="173"/>
        <v>5</v>
      </c>
      <c r="BL69" s="13">
        <f t="shared" ca="1" si="190"/>
        <v>-2</v>
      </c>
      <c r="BM69" s="13">
        <f t="shared" ca="1" si="191"/>
        <v>8</v>
      </c>
      <c r="BN69" s="13">
        <f t="shared" ca="1" si="192"/>
        <v>8</v>
      </c>
      <c r="BO69" s="13" t="str">
        <f t="shared" si="174"/>
        <v>4L</v>
      </c>
      <c r="BP69" s="13"/>
      <c r="BQ69" s="13"/>
      <c r="BR69" s="13">
        <f t="shared" ca="1" si="175"/>
        <v>3</v>
      </c>
      <c r="BS69" s="13">
        <f t="shared" ca="1" si="193"/>
        <v>4</v>
      </c>
      <c r="BT69" s="13" t="str">
        <f t="shared" ca="1" si="194"/>
        <v>Pos. 4 (7)</v>
      </c>
      <c r="BU69" s="13">
        <f t="shared" ca="1" si="176"/>
        <v>-2</v>
      </c>
      <c r="BV69" s="13">
        <f t="shared" ca="1" si="177"/>
        <v>7</v>
      </c>
      <c r="BW69" s="13" t="str">
        <f t="shared" ca="1" si="178"/>
        <v>Pos. 7 (2)</v>
      </c>
      <c r="BX69" s="13">
        <f t="shared" ca="1" si="179"/>
        <v>3</v>
      </c>
      <c r="BY69" s="13">
        <f t="shared" ca="1" si="180"/>
        <v>7</v>
      </c>
      <c r="BZ69" s="13" t="str">
        <f t="shared" ca="1" si="181"/>
        <v>Pos. 7 (2)</v>
      </c>
      <c r="CA69" s="13">
        <f t="shared" ca="1" si="182"/>
        <v>5</v>
      </c>
      <c r="CB69" s="13">
        <f ca="1">BY69+COUNTIFS(BZ$58:BZ$69,BZ69,CA$58:CA$69,"&gt;"&amp;CA69)</f>
        <v>8</v>
      </c>
      <c r="CC69" s="13"/>
      <c r="CD69" s="13">
        <f t="shared" ca="1" si="183"/>
        <v>8</v>
      </c>
      <c r="CE69" s="13">
        <f t="shared" ca="1" si="196"/>
        <v>7</v>
      </c>
      <c r="CF69" s="13">
        <f t="shared" ca="1" si="197"/>
        <v>8</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Uzbekistán</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0"/>
      <c r="X70" s="21">
        <f ca="1">Horarios!C70</f>
        <v>46195.708333333336</v>
      </c>
      <c r="Y70" s="22">
        <f ca="1">Horarios!C70</f>
        <v>46195.708333333336</v>
      </c>
      <c r="Z70" s="23" t="str">
        <f>$Z$6</f>
        <v>J2</v>
      </c>
      <c r="AA70" s="24" t="str">
        <f ca="1">A69</f>
        <v>Francia</v>
      </c>
      <c r="AB70" s="46" t="e" cm="1" vm="34">
        <f t="array" aca="1" ref="AB70" ca="1">Ver_flag_local</f>
        <v>#VALUE!</v>
      </c>
      <c r="AC70" s="47">
        <v>3</v>
      </c>
      <c r="AD70" s="48">
        <v>1</v>
      </c>
      <c r="AE70" s="581" t="e" cm="1" vm="36">
        <f t="array" aca="1" ref="AE70" ca="1">Ver_flag_visit</f>
        <v>#VALUE!</v>
      </c>
      <c r="AF70" s="29" t="str">
        <f ca="1">A71</f>
        <v>Irak</v>
      </c>
      <c r="AG70" s="310">
        <f t="shared" si="230"/>
        <v>1</v>
      </c>
      <c r="AH70" s="188">
        <v>42</v>
      </c>
      <c r="AI70" s="177" t="str">
        <f>AJ70&amp;$B$68</f>
        <v>1I</v>
      </c>
      <c r="AJ70" s="37">
        <v>1</v>
      </c>
      <c r="AK70" s="587"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3</v>
      </c>
      <c r="AT70" s="38">
        <f t="shared" ca="1" si="233"/>
        <v>5</v>
      </c>
      <c r="AU70" s="317">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60"/>
      <c r="X71" s="21">
        <f ca="1">Horarios!C71</f>
        <v>46195.833333333336</v>
      </c>
      <c r="Y71" s="22">
        <f ca="1">Horarios!C71</f>
        <v>46195.833333333336</v>
      </c>
      <c r="Z71" s="23" t="str">
        <f>$Z$6</f>
        <v>J2</v>
      </c>
      <c r="AA71" s="24" t="str">
        <f ca="1">A72</f>
        <v>Noruega</v>
      </c>
      <c r="AB71" s="46" t="e" cm="1" vm="37">
        <f t="array" aca="1" ref="AB71" ca="1">Ver_flag_local</f>
        <v>#VALUE!</v>
      </c>
      <c r="AC71" s="47">
        <v>3</v>
      </c>
      <c r="AD71" s="48">
        <v>2</v>
      </c>
      <c r="AE71" s="581" t="e" cm="1" vm="35">
        <f t="array" aca="1" ref="AE71" ca="1">Ver_flag_visit</f>
        <v>#VALUE!</v>
      </c>
      <c r="AF71" s="29" t="str">
        <f ca="1">A70</f>
        <v>Senegal</v>
      </c>
      <c r="AG71" s="310">
        <f t="shared" si="230"/>
        <v>1</v>
      </c>
      <c r="AH71" s="188">
        <v>41</v>
      </c>
      <c r="AI71" s="177" t="str">
        <f t="shared" ref="AI71:AI73" si="234">AJ71&amp;$B$68</f>
        <v>2I</v>
      </c>
      <c r="AJ71" s="39">
        <v>2</v>
      </c>
      <c r="AK71" s="588"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9</v>
      </c>
      <c r="AS71" s="36">
        <f t="shared" ca="1" si="233"/>
        <v>6</v>
      </c>
      <c r="AT71" s="40">
        <f t="shared" ca="1" si="233"/>
        <v>3</v>
      </c>
      <c r="AU71" s="317">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60"/>
      <c r="X72" s="21">
        <f ca="1">Horarios!C72</f>
        <v>46199.625</v>
      </c>
      <c r="Y72" s="22">
        <f ca="1">Horarios!C72</f>
        <v>46199.625</v>
      </c>
      <c r="Z72" s="23" t="str">
        <f>$Z$8</f>
        <v>J3</v>
      </c>
      <c r="AA72" s="24" t="str">
        <f ca="1">A72</f>
        <v>Noruega</v>
      </c>
      <c r="AB72" s="46" t="e" cm="1" vm="37">
        <f t="array" aca="1" ref="AB72" ca="1">Ver_flag_local</f>
        <v>#VALUE!</v>
      </c>
      <c r="AC72" s="47">
        <v>1</v>
      </c>
      <c r="AD72" s="48">
        <v>3</v>
      </c>
      <c r="AE72" s="581" t="e" cm="1" vm="34">
        <f t="array" aca="1" ref="AE72" ca="1">Ver_flag_visit</f>
        <v>#VALUE!</v>
      </c>
      <c r="AF72" s="29" t="str">
        <f ca="1">A69</f>
        <v>Francia</v>
      </c>
      <c r="AG72" s="310">
        <f t="shared" si="230"/>
        <v>1</v>
      </c>
      <c r="AH72" s="188">
        <v>61</v>
      </c>
      <c r="AI72" s="177" t="str">
        <f t="shared" si="234"/>
        <v>3I</v>
      </c>
      <c r="AJ72" s="39">
        <v>3</v>
      </c>
      <c r="AK72" s="588"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5</v>
      </c>
      <c r="AS72" s="36">
        <f t="shared" ca="1" si="233"/>
        <v>6</v>
      </c>
      <c r="AT72" s="40">
        <f t="shared" ca="1" si="233"/>
        <v>-1</v>
      </c>
      <c r="AU72" s="317">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61"/>
      <c r="X73" s="25">
        <f ca="1">Horarios!C73</f>
        <v>46199.625</v>
      </c>
      <c r="Y73" s="26">
        <f ca="1">Horarios!C73</f>
        <v>46199.625</v>
      </c>
      <c r="Z73" s="27" t="str">
        <f>$Z$8</f>
        <v>J3</v>
      </c>
      <c r="AA73" s="28" t="str">
        <f ca="1">A70</f>
        <v>Senegal</v>
      </c>
      <c r="AB73" s="49" t="e" cm="1" vm="35">
        <f t="array" aca="1" ref="AB73" ca="1">Ver_flag_local</f>
        <v>#VALUE!</v>
      </c>
      <c r="AC73" s="50">
        <v>2</v>
      </c>
      <c r="AD73" s="51">
        <v>1</v>
      </c>
      <c r="AE73" s="582" t="e" cm="1" vm="36">
        <f t="array" aca="1" ref="AE73" ca="1">Ver_flag_visit</f>
        <v>#VALUE!</v>
      </c>
      <c r="AF73" s="30" t="str">
        <f ca="1">A71</f>
        <v>Irak</v>
      </c>
      <c r="AG73" s="310">
        <f t="shared" si="230"/>
        <v>1</v>
      </c>
      <c r="AH73" s="188">
        <v>62</v>
      </c>
      <c r="AI73" s="177" t="str">
        <f t="shared" si="234"/>
        <v>4I</v>
      </c>
      <c r="AJ73" s="41">
        <v>4</v>
      </c>
      <c r="AK73" s="590"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3</v>
      </c>
      <c r="AS73" s="44">
        <f t="shared" ca="1" si="233"/>
        <v>10</v>
      </c>
      <c r="AT73" s="45">
        <f t="shared" ca="1" si="233"/>
        <v>-7</v>
      </c>
      <c r="AU73" s="317">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2"/>
      <c r="AH74" s="188"/>
      <c r="AI74" s="176"/>
      <c r="AJ74" s="156"/>
      <c r="AK74" s="157"/>
      <c r="AL74" s="158"/>
      <c r="AM74" s="159"/>
      <c r="AN74" s="156"/>
      <c r="AO74" s="156"/>
      <c r="AP74" s="156"/>
      <c r="AQ74" s="156"/>
      <c r="AR74" s="156"/>
      <c r="AS74" s="156"/>
      <c r="AT74" s="156"/>
      <c r="AU74" s="317"/>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1"/>
      <c r="AH75" s="188"/>
      <c r="AI75" s="175"/>
      <c r="AJ75" s="158"/>
      <c r="AK75" s="586"/>
      <c r="AL75" s="158"/>
      <c r="AM75" s="158"/>
      <c r="AN75" s="158"/>
      <c r="AO75" s="158"/>
      <c r="AP75" s="158"/>
      <c r="AQ75" s="158"/>
      <c r="AR75" s="158"/>
      <c r="AS75" s="158"/>
      <c r="AT75" s="158"/>
      <c r="AU75" s="318"/>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56" t="s">
        <v>5</v>
      </c>
      <c r="X76" s="21">
        <f ca="1">Horarios!C76</f>
        <v>46189.875</v>
      </c>
      <c r="Y76" s="22">
        <f ca="1">Horarios!C76</f>
        <v>46189.875</v>
      </c>
      <c r="Z76" s="23" t="str">
        <f>$Z$4</f>
        <v>J1</v>
      </c>
      <c r="AA76" s="24" t="str">
        <f ca="1">A77</f>
        <v>Argentina</v>
      </c>
      <c r="AB76" s="46" t="e" cm="1" vm="38">
        <f t="array" aca="1" ref="AB76" ca="1">Ver_flag_local</f>
        <v>#VALUE!</v>
      </c>
      <c r="AC76" s="47">
        <v>3</v>
      </c>
      <c r="AD76" s="48">
        <v>0</v>
      </c>
      <c r="AE76" s="581" t="e" cm="1" vm="39">
        <f t="array" aca="1" ref="AE76" ca="1">Ver_flag_visit</f>
        <v>#VALUE!</v>
      </c>
      <c r="AF76" s="29" t="str">
        <f ca="1">A78</f>
        <v>Argelia</v>
      </c>
      <c r="AG76" s="310">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8"/>
      <c r="AV76" s="274"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56"/>
      <c r="X77" s="21">
        <f ca="1">Horarios!C77</f>
        <v>46190</v>
      </c>
      <c r="Y77" s="22">
        <f ca="1">Horarios!C77</f>
        <v>46190</v>
      </c>
      <c r="Z77" s="23" t="str">
        <f>$Z$4</f>
        <v>J1</v>
      </c>
      <c r="AA77" s="24" t="str">
        <f ca="1">A79</f>
        <v>Austria</v>
      </c>
      <c r="AB77" s="46" t="e" cm="1" vm="40">
        <f t="array" aca="1" ref="AB77" ca="1">Ver_flag_local</f>
        <v>#VALUE!</v>
      </c>
      <c r="AC77" s="47">
        <v>1</v>
      </c>
      <c r="AD77" s="48">
        <v>0</v>
      </c>
      <c r="AE77" s="581" t="e" cm="1" vm="41">
        <f t="array" aca="1" ref="AE77" ca="1">Ver_flag_visit</f>
        <v>#VALUE!</v>
      </c>
      <c r="AF77" s="29" t="str">
        <f ca="1">A80</f>
        <v>Jordania</v>
      </c>
      <c r="AG77" s="310">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8">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56"/>
      <c r="X78" s="21">
        <f ca="1">Horarios!C78</f>
        <v>46195.541666666664</v>
      </c>
      <c r="Y78" s="22">
        <f ca="1">Horarios!C78</f>
        <v>46195.541666666664</v>
      </c>
      <c r="Z78" s="23" t="str">
        <f>$Z$6</f>
        <v>J2</v>
      </c>
      <c r="AA78" s="24" t="str">
        <f ca="1">A77</f>
        <v>Argentina</v>
      </c>
      <c r="AB78" s="46" t="e" cm="1" vm="38">
        <f t="array" aca="1" ref="AB78" ca="1">Ver_flag_local</f>
        <v>#VALUE!</v>
      </c>
      <c r="AC78" s="47">
        <v>2</v>
      </c>
      <c r="AD78" s="48">
        <v>0</v>
      </c>
      <c r="AE78" s="581" t="e" cm="1" vm="40">
        <f t="array" aca="1" ref="AE78" ca="1">Ver_flag_visit</f>
        <v>#VALUE!</v>
      </c>
      <c r="AF78" s="29" t="str">
        <f ca="1">A79</f>
        <v>Austria</v>
      </c>
      <c r="AG78" s="310">
        <f t="shared" si="248"/>
        <v>1</v>
      </c>
      <c r="AH78" s="188">
        <v>43</v>
      </c>
      <c r="AI78" s="177" t="str">
        <f>AJ78&amp;$B$76</f>
        <v>1J</v>
      </c>
      <c r="AJ78" s="37">
        <v>1</v>
      </c>
      <c r="AK78" s="587"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0</v>
      </c>
      <c r="AT78" s="38">
        <f t="shared" ca="1" si="251"/>
        <v>8</v>
      </c>
      <c r="AU78" s="317">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56"/>
      <c r="X79" s="21">
        <f ca="1">Horarios!C79</f>
        <v>46195.958333333336</v>
      </c>
      <c r="Y79" s="22">
        <f ca="1">Horarios!C79</f>
        <v>46195.958333333336</v>
      </c>
      <c r="Z79" s="23" t="str">
        <f>$Z$6</f>
        <v>J2</v>
      </c>
      <c r="AA79" s="24" t="str">
        <f ca="1">A80</f>
        <v>Jordania</v>
      </c>
      <c r="AB79" s="46" t="e" cm="1" vm="41">
        <f t="array" aca="1" ref="AB79" ca="1">Ver_flag_local</f>
        <v>#VALUE!</v>
      </c>
      <c r="AC79" s="47">
        <v>0</v>
      </c>
      <c r="AD79" s="48">
        <v>2</v>
      </c>
      <c r="AE79" s="581" t="e" cm="1" vm="39">
        <f t="array" aca="1" ref="AE79" ca="1">Ver_flag_visit</f>
        <v>#VALUE!</v>
      </c>
      <c r="AF79" s="29" t="str">
        <f ca="1">A78</f>
        <v>Argelia</v>
      </c>
      <c r="AG79" s="310">
        <f t="shared" si="248"/>
        <v>1</v>
      </c>
      <c r="AH79" s="188">
        <v>44</v>
      </c>
      <c r="AI79" s="177" t="str">
        <f t="shared" ref="AI79:AI81" si="252">AJ79&amp;$B$76</f>
        <v>2J</v>
      </c>
      <c r="AJ79" s="39">
        <v>2</v>
      </c>
      <c r="AK79" s="588" t="e" cm="1" vm="39">
        <f t="array" aca="1" ref="AK79" ca="1">Ver_flag_visit</f>
        <v>#VALUE!</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3</v>
      </c>
      <c r="AS79" s="36">
        <f t="shared" ca="1" si="251"/>
        <v>4</v>
      </c>
      <c r="AT79" s="40">
        <f t="shared" ca="1" si="251"/>
        <v>-1</v>
      </c>
      <c r="AU79" s="317">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56"/>
      <c r="X80" s="21">
        <f ca="1">Horarios!C80</f>
        <v>46200.916666666664</v>
      </c>
      <c r="Y80" s="22">
        <f ca="1">Horarios!C80</f>
        <v>46200.916666666664</v>
      </c>
      <c r="Z80" s="23" t="str">
        <f>$Z$8</f>
        <v>J3</v>
      </c>
      <c r="AA80" s="24" t="str">
        <f ca="1">A78</f>
        <v>Argelia</v>
      </c>
      <c r="AB80" s="46" t="e" cm="1" vm="39">
        <f t="array" aca="1" ref="AB80" ca="1">Ver_flag_local</f>
        <v>#VALUE!</v>
      </c>
      <c r="AC80" s="47">
        <v>1</v>
      </c>
      <c r="AD80" s="48">
        <v>1</v>
      </c>
      <c r="AE80" s="581" t="e" cm="1" vm="40">
        <f t="array" aca="1" ref="AE80" ca="1">Ver_flag_visit</f>
        <v>#VALUE!</v>
      </c>
      <c r="AF80" s="29" t="str">
        <f ca="1">A79</f>
        <v>Austria</v>
      </c>
      <c r="AG80" s="310">
        <f t="shared" si="248"/>
        <v>1</v>
      </c>
      <c r="AH80" s="188">
        <v>69</v>
      </c>
      <c r="AI80" s="177" t="str">
        <f t="shared" si="252"/>
        <v>3J</v>
      </c>
      <c r="AJ80" s="39">
        <v>3</v>
      </c>
      <c r="AK80" s="588" t="e" cm="1" vm="40">
        <f t="array" aca="1" ref="AK80" ca="1">Ver_flag_visit</f>
        <v>#VALUE!</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2</v>
      </c>
      <c r="AS80" s="36">
        <f t="shared" ca="1" si="251"/>
        <v>3</v>
      </c>
      <c r="AT80" s="40">
        <f t="shared" ca="1" si="251"/>
        <v>-1</v>
      </c>
      <c r="AU80" s="317">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57"/>
      <c r="X81" s="25">
        <f ca="1">Horarios!C81</f>
        <v>46200.916666666664</v>
      </c>
      <c r="Y81" s="26">
        <f ca="1">Horarios!C81</f>
        <v>46200.916666666664</v>
      </c>
      <c r="Z81" s="27" t="str">
        <f>$Z$8</f>
        <v>J3</v>
      </c>
      <c r="AA81" s="28" t="str">
        <f ca="1">A80</f>
        <v>Jordania</v>
      </c>
      <c r="AB81" s="49" t="e" cm="1" vm="41">
        <f t="array" aca="1" ref="AB81" ca="1">Ver_flag_local</f>
        <v>#VALUE!</v>
      </c>
      <c r="AC81" s="50">
        <v>0</v>
      </c>
      <c r="AD81" s="51">
        <v>3</v>
      </c>
      <c r="AE81" s="582" t="e" cm="1" vm="38">
        <f t="array" aca="1" ref="AE81" ca="1">Ver_flag_visit</f>
        <v>#VALUE!</v>
      </c>
      <c r="AF81" s="30" t="str">
        <f ca="1">A77</f>
        <v>Argentina</v>
      </c>
      <c r="AG81" s="310">
        <f t="shared" si="248"/>
        <v>1</v>
      </c>
      <c r="AH81" s="188">
        <v>70</v>
      </c>
      <c r="AI81" s="177" t="str">
        <f t="shared" si="252"/>
        <v>4J</v>
      </c>
      <c r="AJ81" s="41">
        <v>4</v>
      </c>
      <c r="AK81" s="590"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6</v>
      </c>
      <c r="AT81" s="45">
        <f t="shared" ca="1" si="251"/>
        <v>-6</v>
      </c>
      <c r="AU81" s="317">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2"/>
      <c r="AH82" s="188"/>
      <c r="AI82" s="176"/>
      <c r="AJ82" s="156"/>
      <c r="AK82" s="157"/>
      <c r="AL82" s="158"/>
      <c r="AM82" s="159"/>
      <c r="AN82" s="156"/>
      <c r="AO82" s="156"/>
      <c r="AP82" s="156"/>
      <c r="AQ82" s="156"/>
      <c r="AR82" s="156"/>
      <c r="AS82" s="156"/>
      <c r="AT82" s="156"/>
      <c r="AU82" s="317"/>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1"/>
      <c r="AH83" s="188"/>
      <c r="AI83" s="175"/>
      <c r="AJ83" s="158"/>
      <c r="AK83" s="586"/>
      <c r="AL83" s="158"/>
      <c r="AM83" s="158"/>
      <c r="AN83" s="158"/>
      <c r="AO83" s="158"/>
      <c r="AP83" s="158"/>
      <c r="AQ83" s="158"/>
      <c r="AR83" s="158"/>
      <c r="AS83" s="158"/>
      <c r="AT83" s="158"/>
      <c r="AU83" s="318"/>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P.3 (2)</v>
      </c>
      <c r="G84" s="13"/>
      <c r="H84" s="13" t="str">
        <f t="shared" ref="H84:H89" ca="1" si="256">IF(D84="Pendiente","-",INDEX($BZ$6:$BZ$53,MATCH($AA84,$BD$6:$BD$53,0)))</f>
        <v>P.1 (2)</v>
      </c>
      <c r="I84" s="13" t="str">
        <f t="shared" ref="I84:I89" ca="1" si="257">IF(D84="Pendiente","-",INDEX($BZ$6:$BZ$53,MATCH($AF84,$BD$6:$BD$53,0)))</f>
        <v>P.3 (2)</v>
      </c>
      <c r="J84" s="13"/>
      <c r="K84" s="13" t="str">
        <f t="shared" ref="K84:K89" ca="1" si="258">IF(D84="Pendiente","-",INDEX($CE$6:$CE$53,MATCH($AA84,$BD$6:$BD$53,0)))</f>
        <v>P.1 (2)</v>
      </c>
      <c r="L84" s="13" t="str">
        <f t="shared" ref="L84:L89" ca="1" si="259">IF(D84="Pendiente","-",INDEX($CE$6:$CE$53,MATCH($AF84,$BD$6:$BD$53,0)))</f>
        <v>P.3 (2)</v>
      </c>
      <c r="M84" s="13"/>
      <c r="N84" s="13" t="str">
        <f t="shared" ref="N84:N89" ca="1" si="260">IF(D84="Pendiente","-",INDEX($CH$6:$CH$53,MATCH($AA84,$BD$6:$BD$53,0)))</f>
        <v>P.1 (2)</v>
      </c>
      <c r="O84" s="13" t="str">
        <f t="shared" ref="O84:O89" ca="1" si="261">IF(D84="Pendiente","-",INDEX($CH$6:$CH$53,MATCH($AF84,$BD$6:$BD$53,0)))</f>
        <v>P.3 (2)</v>
      </c>
      <c r="P84" s="13"/>
      <c r="Q84" s="13" t="str">
        <f t="shared" ref="Q84:Q89" ca="1" si="262">IF(D84="Pendiente","-",INDEX($CN$6:$CN$53,MATCH($AA84,$BD$6:$BD$53,0)))</f>
        <v>P.1 (2)</v>
      </c>
      <c r="R84" s="13" t="str">
        <f t="shared" ref="R84:R89" ca="1" si="263">IF(D84="Pendiente","-",INDEX($CN$6:$CN$53,MATCH($AF84,$BD$6:$BD$53,0)))</f>
        <v>P.3 (2)</v>
      </c>
      <c r="S84" s="13"/>
      <c r="T84" s="13" t="str">
        <f t="shared" ref="T84:T89" ca="1" si="264">IF(D84="Pendiente","-",INDEX($CS$6:$CS$53,MATCH($AA84,$BD$6:$BD$53,0)))</f>
        <v>P.1 (2)</v>
      </c>
      <c r="U84" s="13" t="str">
        <f t="shared" ref="U84:U89" ca="1" si="265">IF(D84="Pendiente","-",INDEX($CS$6:$CS$53,MATCH($AF84,$BD$6:$BD$53,0)))</f>
        <v>P.3 (2)</v>
      </c>
      <c r="V84" s="14"/>
      <c r="W84" s="662"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0</v>
      </c>
      <c r="AE84" s="581" t="e" cm="1" vm="43">
        <f t="array" aca="1" ref="AE84" ca="1">Ver_flag_visit</f>
        <v>#VALUE!</v>
      </c>
      <c r="AF84" s="29" t="str">
        <f ca="1">A86</f>
        <v>RD Congo</v>
      </c>
      <c r="AG84" s="310">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8"/>
      <c r="AV84" s="274"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P.3 (2)</v>
      </c>
      <c r="F85" s="13" t="str">
        <f t="shared" ca="1" si="255"/>
        <v>P.1 (2)</v>
      </c>
      <c r="G85" s="13"/>
      <c r="H85" s="13" t="str">
        <f t="shared" ca="1" si="256"/>
        <v>P.3 (2)</v>
      </c>
      <c r="I85" s="13" t="str">
        <f t="shared" ca="1" si="257"/>
        <v>P.1 (2)</v>
      </c>
      <c r="J85" s="13"/>
      <c r="K85" s="13" t="str">
        <f t="shared" ca="1" si="258"/>
        <v>P.3 (2)</v>
      </c>
      <c r="L85" s="13" t="str">
        <f t="shared" ca="1" si="259"/>
        <v>P.1 (2)</v>
      </c>
      <c r="M85" s="13"/>
      <c r="N85" s="13" t="str">
        <f t="shared" ca="1" si="260"/>
        <v>P.3 (2)</v>
      </c>
      <c r="O85" s="13" t="str">
        <f t="shared" ca="1" si="261"/>
        <v>P.1 (2)</v>
      </c>
      <c r="P85" s="13"/>
      <c r="Q85" s="13" t="str">
        <f t="shared" ca="1" si="262"/>
        <v>P.3 (2)</v>
      </c>
      <c r="R85" s="13" t="str">
        <f t="shared" ca="1" si="263"/>
        <v>P.1 (2)</v>
      </c>
      <c r="S85" s="13"/>
      <c r="T85" s="13" t="str">
        <f t="shared" ca="1" si="264"/>
        <v>P.3 (2)</v>
      </c>
      <c r="U85" s="13" t="str">
        <f t="shared" ca="1" si="265"/>
        <v>P.1 (2)</v>
      </c>
      <c r="V85" s="14"/>
      <c r="W85" s="662"/>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2</v>
      </c>
      <c r="AE85" s="581" t="e" cm="1" vm="45">
        <f t="array" aca="1" ref="AE85" ca="1">Ver_flag_visit</f>
        <v>#VALUE!</v>
      </c>
      <c r="AF85" s="29" t="str">
        <f ca="1">A88</f>
        <v>Colombia</v>
      </c>
      <c r="AG85" s="310">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8">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P.1 (2)</v>
      </c>
      <c r="F86" s="13" t="str">
        <f t="shared" ca="1" si="255"/>
        <v>P.3 (2)</v>
      </c>
      <c r="G86" s="13"/>
      <c r="H86" s="13" t="str">
        <f t="shared" ca="1" si="256"/>
        <v>P.1 (2)</v>
      </c>
      <c r="I86" s="13" t="str">
        <f t="shared" ca="1" si="257"/>
        <v>P.3 (2)</v>
      </c>
      <c r="J86" s="13"/>
      <c r="K86" s="13" t="str">
        <f t="shared" ca="1" si="258"/>
        <v>P.1 (2)</v>
      </c>
      <c r="L86" s="13" t="str">
        <f t="shared" ca="1" si="259"/>
        <v>P.3 (2)</v>
      </c>
      <c r="M86" s="13"/>
      <c r="N86" s="13" t="str">
        <f t="shared" ca="1" si="260"/>
        <v>P.1 (2)</v>
      </c>
      <c r="O86" s="13" t="str">
        <f t="shared" ca="1" si="261"/>
        <v>P.3 (2)</v>
      </c>
      <c r="P86" s="13"/>
      <c r="Q86" s="13" t="str">
        <f t="shared" ca="1" si="262"/>
        <v>P.1 (2)</v>
      </c>
      <c r="R86" s="13" t="str">
        <f t="shared" ca="1" si="263"/>
        <v>P.3 (2)</v>
      </c>
      <c r="S86" s="13"/>
      <c r="T86" s="13" t="str">
        <f t="shared" ca="1" si="264"/>
        <v>P.1 (2)</v>
      </c>
      <c r="U86" s="13" t="str">
        <f t="shared" ca="1" si="265"/>
        <v>P.3 (2)</v>
      </c>
      <c r="V86" s="14"/>
      <c r="W86" s="662"/>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1" t="e" cm="1" vm="44">
        <f t="array" aca="1" ref="AE86" ca="1">Ver_flag_visit</f>
        <v>#VALUE!</v>
      </c>
      <c r="AF86" s="29" t="str">
        <f ca="1">A87</f>
        <v>Uzbekistán</v>
      </c>
      <c r="AG86" s="310">
        <f t="shared" si="266"/>
        <v>1</v>
      </c>
      <c r="AH86" s="188">
        <v>47</v>
      </c>
      <c r="AI86" s="177" t="str">
        <f>AJ86&amp;$B$84</f>
        <v>1K</v>
      </c>
      <c r="AJ86" s="37">
        <v>1</v>
      </c>
      <c r="AK86" s="587"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6</v>
      </c>
      <c r="AS86" s="33">
        <f t="shared" ca="1" si="269"/>
        <v>1</v>
      </c>
      <c r="AT86" s="38">
        <f t="shared" ca="1" si="269"/>
        <v>5</v>
      </c>
      <c r="AU86" s="317">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P.1 (2)</v>
      </c>
      <c r="F87" s="13" t="str">
        <f t="shared" ca="1" si="255"/>
        <v>P.3 (2)</v>
      </c>
      <c r="G87" s="13"/>
      <c r="H87" s="13" t="str">
        <f t="shared" ca="1" si="256"/>
        <v>P.1 (2)</v>
      </c>
      <c r="I87" s="13" t="str">
        <f t="shared" ca="1" si="257"/>
        <v>P.3 (2)</v>
      </c>
      <c r="J87" s="13"/>
      <c r="K87" s="13" t="str">
        <f t="shared" ca="1" si="258"/>
        <v>P.1 (2)</v>
      </c>
      <c r="L87" s="13" t="str">
        <f t="shared" ca="1" si="259"/>
        <v>P.3 (2)</v>
      </c>
      <c r="M87" s="13"/>
      <c r="N87" s="13" t="str">
        <f t="shared" ca="1" si="260"/>
        <v>P.1 (2)</v>
      </c>
      <c r="O87" s="13" t="str">
        <f t="shared" ca="1" si="261"/>
        <v>P.3 (2)</v>
      </c>
      <c r="P87" s="13"/>
      <c r="Q87" s="13" t="str">
        <f t="shared" ca="1" si="262"/>
        <v>P.1 (2)</v>
      </c>
      <c r="R87" s="13" t="str">
        <f t="shared" ca="1" si="263"/>
        <v>P.3 (2)</v>
      </c>
      <c r="S87" s="13"/>
      <c r="T87" s="13" t="str">
        <f t="shared" ca="1" si="264"/>
        <v>P.1 (2)</v>
      </c>
      <c r="U87" s="13" t="str">
        <f t="shared" ca="1" si="265"/>
        <v>P.3 (2)</v>
      </c>
      <c r="V87" s="14"/>
      <c r="W87" s="662"/>
      <c r="X87" s="21">
        <f ca="1">Horarios!C87</f>
        <v>46196.916666666664</v>
      </c>
      <c r="Y87" s="22">
        <f ca="1">Horarios!C87</f>
        <v>46196.916666666664</v>
      </c>
      <c r="Z87" s="23" t="str">
        <f>$Z$6</f>
        <v>J2</v>
      </c>
      <c r="AA87" s="24" t="str">
        <f ca="1">A88</f>
        <v>Colombia</v>
      </c>
      <c r="AB87" s="46" t="e" cm="1" vm="45">
        <f t="array" aca="1" ref="AB87" ca="1">Ver_flag_local</f>
        <v>#VALUE!</v>
      </c>
      <c r="AC87" s="47">
        <v>2</v>
      </c>
      <c r="AD87" s="48">
        <v>0</v>
      </c>
      <c r="AE87" s="581" t="e" cm="1" vm="43">
        <f t="array" aca="1" ref="AE87" ca="1">Ver_flag_visit</f>
        <v>#VALUE!</v>
      </c>
      <c r="AF87" s="29" t="str">
        <f ca="1">A86</f>
        <v>RD Congo</v>
      </c>
      <c r="AG87" s="310">
        <f t="shared" si="266"/>
        <v>1</v>
      </c>
      <c r="AH87" s="188">
        <v>48</v>
      </c>
      <c r="AI87" s="177" t="str">
        <f t="shared" ref="AI87:AI89" si="270">AJ87&amp;$B$84</f>
        <v>2K</v>
      </c>
      <c r="AJ87" s="39">
        <v>2</v>
      </c>
      <c r="AK87" s="588"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5</v>
      </c>
      <c r="AS87" s="36">
        <f t="shared" ca="1" si="269"/>
        <v>1</v>
      </c>
      <c r="AT87" s="40">
        <f t="shared" ca="1" si="269"/>
        <v>4</v>
      </c>
      <c r="AU87" s="317">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62"/>
      <c r="X88" s="21">
        <f ca="1">Horarios!C88</f>
        <v>46200.8125</v>
      </c>
      <c r="Y88" s="22">
        <f ca="1">Horarios!C88</f>
        <v>46200.8125</v>
      </c>
      <c r="Z88" s="23" t="str">
        <f>$Z$8</f>
        <v>J3</v>
      </c>
      <c r="AA88" s="24" t="str">
        <f ca="1">A88</f>
        <v>Colombia</v>
      </c>
      <c r="AB88" s="46" t="e" cm="1" vm="45">
        <f t="array" aca="1" ref="AB88" ca="1">Ver_flag_local</f>
        <v>#VALUE!</v>
      </c>
      <c r="AC88" s="47">
        <v>1</v>
      </c>
      <c r="AD88" s="48">
        <v>1</v>
      </c>
      <c r="AE88" s="581" t="e" cm="1" vm="42">
        <f t="array" aca="1" ref="AE88" ca="1">Ver_flag_visit</f>
        <v>#VALUE!</v>
      </c>
      <c r="AF88" s="29" t="str">
        <f ca="1">A85</f>
        <v>Portugal</v>
      </c>
      <c r="AG88" s="310">
        <f t="shared" si="266"/>
        <v>1</v>
      </c>
      <c r="AH88" s="188">
        <v>71</v>
      </c>
      <c r="AI88" s="177" t="str">
        <f t="shared" si="270"/>
        <v>3K</v>
      </c>
      <c r="AJ88" s="39">
        <v>3</v>
      </c>
      <c r="AK88" s="588" t="e" cm="1" vm="44">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1</v>
      </c>
      <c r="AS88" s="36">
        <f t="shared" ca="1" si="269"/>
        <v>5</v>
      </c>
      <c r="AT88" s="40">
        <f t="shared" ca="1" si="269"/>
        <v>-4</v>
      </c>
      <c r="AU88" s="317">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63"/>
      <c r="X89" s="25">
        <f ca="1">Horarios!C89</f>
        <v>46200.8125</v>
      </c>
      <c r="Y89" s="26">
        <f ca="1">Horarios!C89</f>
        <v>46200.8125</v>
      </c>
      <c r="Z89" s="27" t="str">
        <f>$Z$8</f>
        <v>J3</v>
      </c>
      <c r="AA89" s="28" t="str">
        <f ca="1">A86</f>
        <v>RD Congo</v>
      </c>
      <c r="AB89" s="49" t="e" cm="1" vm="43">
        <f t="array" aca="1" ref="AB89" ca="1">Ver_flag_local</f>
        <v>#VALUE!</v>
      </c>
      <c r="AC89" s="50">
        <v>1</v>
      </c>
      <c r="AD89" s="51">
        <v>1</v>
      </c>
      <c r="AE89" s="582" t="e" cm="1" vm="44">
        <f t="array" aca="1" ref="AE89" ca="1">Ver_flag_visit</f>
        <v>#VALUE!</v>
      </c>
      <c r="AF89" s="30" t="str">
        <f ca="1">A87</f>
        <v>Uzbekistán</v>
      </c>
      <c r="AG89" s="310">
        <f t="shared" si="266"/>
        <v>1</v>
      </c>
      <c r="AH89" s="188">
        <v>72</v>
      </c>
      <c r="AI89" s="177" t="str">
        <f t="shared" si="270"/>
        <v>4K</v>
      </c>
      <c r="AJ89" s="41">
        <v>4</v>
      </c>
      <c r="AK89" s="590"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1</v>
      </c>
      <c r="AS89" s="44">
        <f t="shared" ca="1" si="269"/>
        <v>6</v>
      </c>
      <c r="AT89" s="45">
        <f t="shared" ca="1" si="269"/>
        <v>-5</v>
      </c>
      <c r="AU89" s="317">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2"/>
      <c r="AH90" s="188"/>
      <c r="AI90" s="176"/>
      <c r="AJ90" s="156"/>
      <c r="AK90" s="157"/>
      <c r="AL90" s="158"/>
      <c r="AM90" s="159"/>
      <c r="AN90" s="156"/>
      <c r="AO90" s="156"/>
      <c r="AP90" s="156"/>
      <c r="AQ90" s="156"/>
      <c r="AR90" s="156"/>
      <c r="AS90" s="156"/>
      <c r="AT90" s="156"/>
      <c r="AU90" s="317"/>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1"/>
      <c r="AH91" s="188"/>
      <c r="AI91" s="175"/>
      <c r="AJ91" s="158"/>
      <c r="AK91" s="586"/>
      <c r="AL91" s="158"/>
      <c r="AM91" s="158"/>
      <c r="AN91" s="158"/>
      <c r="AO91" s="158"/>
      <c r="AP91" s="158"/>
      <c r="AQ91" s="158"/>
      <c r="AR91" s="158"/>
      <c r="AS91" s="158"/>
      <c r="AT91" s="158"/>
      <c r="AU91" s="318"/>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P.1 (2)</v>
      </c>
      <c r="F92" s="13" t="str">
        <f t="shared" ref="F92:F97" ca="1" si="273">IF(D92="Pendiente","-",INDEX($BT$6:$BT$53,MATCH($AF92,$BD$6:$BD$53,0)))</f>
        <v>P.1 (2)</v>
      </c>
      <c r="G92" s="13"/>
      <c r="H92" s="13" t="str">
        <f t="shared" ref="H92:H97" ca="1" si="274">IF(D92="Pendiente","-",INDEX($BZ$6:$BZ$53,MATCH($AA92,$BD$6:$BD$53,0)))</f>
        <v>P.1 (2)</v>
      </c>
      <c r="I92" s="13" t="str">
        <f t="shared" ref="I92:I97" ca="1" si="275">IF(D92="Pendiente","-",INDEX($BZ$6:$BZ$53,MATCH($AF92,$BD$6:$BD$53,0)))</f>
        <v>P.1 (2)</v>
      </c>
      <c r="J92" s="13"/>
      <c r="K92" s="13" t="str">
        <f t="shared" ref="K92:K97" ca="1" si="276">IF(D92="Pendiente","-",INDEX($CE$6:$CE$53,MATCH($AA92,$BD$6:$BD$53,0)))</f>
        <v>P.1 (2)</v>
      </c>
      <c r="L92" s="13" t="str">
        <f t="shared" ref="L92:L97" ca="1" si="277">IF(D92="Pendiente","-",INDEX($CE$6:$CE$53,MATCH($AF92,$BD$6:$BD$53,0)))</f>
        <v>P.1 (2)</v>
      </c>
      <c r="M92" s="13"/>
      <c r="N92" s="13" t="str">
        <f t="shared" ref="N92:N97" ca="1" si="278">IF(D92="Pendiente","-",INDEX($CH$6:$CH$53,MATCH($AA92,$BD$6:$BD$53,0)))</f>
        <v>P.1 (2)</v>
      </c>
      <c r="O92" s="13" t="str">
        <f t="shared" ref="O92:O97" ca="1" si="279">IF(D92="Pendiente","-",INDEX($CH$6:$CH$53,MATCH($AF92,$BD$6:$BD$53,0)))</f>
        <v>P.1 (2)</v>
      </c>
      <c r="P92" s="13"/>
      <c r="Q92" s="13" t="str">
        <f t="shared" ref="Q92:Q97" ca="1" si="280">IF(D92="Pendiente","-",INDEX($CN$6:$CN$53,MATCH($AA92,$BD$6:$BD$53,0)))</f>
        <v>P.1 (2)</v>
      </c>
      <c r="R92" s="13" t="str">
        <f t="shared" ref="R92:R97" ca="1" si="281">IF(D92="Pendiente","-",INDEX($CN$6:$CN$53,MATCH($AF92,$BD$6:$BD$53,0)))</f>
        <v>P.1 (2)</v>
      </c>
      <c r="S92" s="13"/>
      <c r="T92" s="13" t="str">
        <f t="shared" ref="T92:T97" ca="1" si="282">IF(D92="Pendiente","-",INDEX($CS$6:$CS$53,MATCH($AA92,$BD$6:$BD$53,0)))</f>
        <v>P.1 (2)</v>
      </c>
      <c r="U92" s="13" t="str">
        <f t="shared" ref="U92:U97" ca="1" si="283">IF(D92="Pendiente","-",INDEX($CS$6:$CS$53,MATCH($AF92,$BD$6:$BD$53,0)))</f>
        <v>P.1 (2)</v>
      </c>
      <c r="V92" s="14"/>
      <c r="W92" s="658"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1</v>
      </c>
      <c r="AE92" s="581" t="e" cm="1" vm="47">
        <f t="array" aca="1" ref="AE92" ca="1">Ver_flag_visit</f>
        <v>#VALUE!</v>
      </c>
      <c r="AF92" s="29" t="str">
        <f ca="1">A94</f>
        <v>Croacia</v>
      </c>
      <c r="AG92" s="310">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8"/>
      <c r="AV92" s="274"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58"/>
      <c r="X93" s="21">
        <f ca="1">Horarios!C93</f>
        <v>46190.791666666664</v>
      </c>
      <c r="Y93" s="22">
        <f ca="1">Horarios!C93</f>
        <v>46190.791666666664</v>
      </c>
      <c r="Z93" s="23" t="str">
        <f>$Z$4</f>
        <v>J1</v>
      </c>
      <c r="AA93" s="24" t="str">
        <f ca="1">A95</f>
        <v>Ghana</v>
      </c>
      <c r="AB93" s="46" t="e" cm="1" vm="48">
        <f t="array" aca="1" ref="AB93" ca="1">Ver_flag_local</f>
        <v>#VALUE!</v>
      </c>
      <c r="AC93" s="47">
        <v>2</v>
      </c>
      <c r="AD93" s="48">
        <v>1</v>
      </c>
      <c r="AE93" s="581" t="e" cm="1" vm="49">
        <f t="array" aca="1" ref="AE93" ca="1">Ver_flag_visit</f>
        <v>#VALUE!</v>
      </c>
      <c r="AF93" s="29" t="str">
        <f ca="1">A96</f>
        <v>Panamá</v>
      </c>
      <c r="AG93" s="310">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8">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P.1 (2)</v>
      </c>
      <c r="F94" s="13" t="str">
        <f t="shared" ca="1" si="273"/>
        <v>-</v>
      </c>
      <c r="G94" s="13"/>
      <c r="H94" s="13" t="str">
        <f t="shared" ca="1" si="274"/>
        <v>P.1 (2)</v>
      </c>
      <c r="I94" s="13" t="str">
        <f t="shared" ca="1" si="275"/>
        <v>-</v>
      </c>
      <c r="J94" s="13"/>
      <c r="K94" s="13" t="str">
        <f t="shared" ca="1" si="276"/>
        <v>P.1 (2)</v>
      </c>
      <c r="L94" s="13" t="str">
        <f t="shared" ca="1" si="277"/>
        <v>-</v>
      </c>
      <c r="M94" s="13"/>
      <c r="N94" s="13" t="str">
        <f t="shared" ca="1" si="278"/>
        <v>P.1 (2)</v>
      </c>
      <c r="O94" s="13" t="str">
        <f t="shared" ca="1" si="279"/>
        <v>-</v>
      </c>
      <c r="P94" s="13"/>
      <c r="Q94" s="13" t="str">
        <f t="shared" ca="1" si="280"/>
        <v>P.1 (2)</v>
      </c>
      <c r="R94" s="13" t="str">
        <f t="shared" ca="1" si="281"/>
        <v>-</v>
      </c>
      <c r="S94" s="13"/>
      <c r="T94" s="13" t="str">
        <f t="shared" ca="1" si="282"/>
        <v>P.1 (2)</v>
      </c>
      <c r="U94" s="13" t="str">
        <f t="shared" ca="1" si="283"/>
        <v>-</v>
      </c>
      <c r="V94" s="14"/>
      <c r="W94" s="658"/>
      <c r="X94" s="21">
        <f ca="1">Horarios!C94</f>
        <v>46196.666666666664</v>
      </c>
      <c r="Y94" s="22">
        <f ca="1">Horarios!C94</f>
        <v>46196.666666666664</v>
      </c>
      <c r="Z94" s="23" t="str">
        <f>$Z$6</f>
        <v>J2</v>
      </c>
      <c r="AA94" s="24" t="str">
        <f ca="1">A93</f>
        <v>Inglaterra</v>
      </c>
      <c r="AB94" s="46" t="e" cm="1" vm="46">
        <f t="array" aca="1" ref="AB94" ca="1">Ver_flag_local</f>
        <v>#VALUE!</v>
      </c>
      <c r="AC94" s="47">
        <v>3</v>
      </c>
      <c r="AD94" s="48">
        <v>1</v>
      </c>
      <c r="AE94" s="581" t="e" cm="1" vm="48">
        <f t="array" aca="1" ref="AE94" ca="1">Ver_flag_visit</f>
        <v>#VALUE!</v>
      </c>
      <c r="AF94" s="29" t="str">
        <f ca="1">A95</f>
        <v>Ghana</v>
      </c>
      <c r="AG94" s="310">
        <f t="shared" si="284"/>
        <v>1</v>
      </c>
      <c r="AH94" s="188">
        <v>45</v>
      </c>
      <c r="AI94" s="177" t="str">
        <f>AJ94&amp;$B$92</f>
        <v>1L</v>
      </c>
      <c r="AJ94" s="37">
        <v>1</v>
      </c>
      <c r="AK94" s="587"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6</v>
      </c>
      <c r="AS94" s="33">
        <f t="shared" ca="1" si="287"/>
        <v>2</v>
      </c>
      <c r="AT94" s="38">
        <f t="shared" ca="1" si="287"/>
        <v>4</v>
      </c>
      <c r="AU94" s="317">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P.1 (2)</v>
      </c>
      <c r="G95" s="13"/>
      <c r="H95" s="13" t="str">
        <f t="shared" ca="1" si="274"/>
        <v>-</v>
      </c>
      <c r="I95" s="13" t="str">
        <f t="shared" ca="1" si="275"/>
        <v>P.1 (2)</v>
      </c>
      <c r="J95" s="13"/>
      <c r="K95" s="13" t="str">
        <f t="shared" ca="1" si="276"/>
        <v>-</v>
      </c>
      <c r="L95" s="13" t="str">
        <f t="shared" ca="1" si="277"/>
        <v>P.1 (2)</v>
      </c>
      <c r="M95" s="13"/>
      <c r="N95" s="13" t="str">
        <f t="shared" ca="1" si="278"/>
        <v>-</v>
      </c>
      <c r="O95" s="13" t="str">
        <f t="shared" ca="1" si="279"/>
        <v>P.1 (2)</v>
      </c>
      <c r="P95" s="13"/>
      <c r="Q95" s="13" t="str">
        <f t="shared" ca="1" si="280"/>
        <v>-</v>
      </c>
      <c r="R95" s="13" t="str">
        <f t="shared" ca="1" si="281"/>
        <v>P.1 (2)</v>
      </c>
      <c r="S95" s="13"/>
      <c r="T95" s="13" t="str">
        <f t="shared" ca="1" si="282"/>
        <v>-</v>
      </c>
      <c r="U95" s="13" t="str">
        <f t="shared" ca="1" si="283"/>
        <v>P.1 (2)</v>
      </c>
      <c r="V95" s="14"/>
      <c r="W95" s="658"/>
      <c r="X95" s="21">
        <f ca="1">Horarios!C95</f>
        <v>46196.791666666664</v>
      </c>
      <c r="Y95" s="22">
        <f ca="1">Horarios!C95</f>
        <v>46196.791666666664</v>
      </c>
      <c r="Z95" s="23" t="str">
        <f>$Z$6</f>
        <v>J2</v>
      </c>
      <c r="AA95" s="24" t="str">
        <f ca="1">A96</f>
        <v>Panamá</v>
      </c>
      <c r="AB95" s="46" t="e" cm="1" vm="49">
        <f t="array" aca="1" ref="AB95" ca="1">Ver_flag_local</f>
        <v>#VALUE!</v>
      </c>
      <c r="AC95" s="47">
        <v>0</v>
      </c>
      <c r="AD95" s="48">
        <v>3</v>
      </c>
      <c r="AE95" s="581" t="e" cm="1" vm="47">
        <f t="array" aca="1" ref="AE95" ca="1">Ver_flag_visit</f>
        <v>#VALUE!</v>
      </c>
      <c r="AF95" s="29" t="str">
        <f ca="1">A94</f>
        <v>Croacia</v>
      </c>
      <c r="AG95" s="310">
        <f t="shared" si="284"/>
        <v>1</v>
      </c>
      <c r="AH95" s="188">
        <v>46</v>
      </c>
      <c r="AI95" s="177" t="str">
        <f t="shared" ref="AI95:AI97" si="288">AJ95&amp;$B$92</f>
        <v>2L</v>
      </c>
      <c r="AJ95" s="39">
        <v>2</v>
      </c>
      <c r="AK95" s="588" t="e" cm="1" vm="47">
        <f t="array" aca="1" ref="AK95" ca="1">Ver_flag_visit</f>
        <v>#VALUE!</v>
      </c>
      <c r="AL95" s="34" t="str">
        <f ca="1">IFERROR(INDEX($BD$6:$BD$53,MATCH(AI95,$BN$6:$BN$53,0)),"")</f>
        <v>Croacia</v>
      </c>
      <c r="AM95" s="35">
        <f t="shared" ca="1" si="287"/>
        <v>7</v>
      </c>
      <c r="AN95" s="36">
        <f t="shared" ca="1" si="287"/>
        <v>3</v>
      </c>
      <c r="AO95" s="36">
        <f t="shared" ca="1" si="287"/>
        <v>2</v>
      </c>
      <c r="AP95" s="36">
        <f t="shared" ca="1" si="287"/>
        <v>1</v>
      </c>
      <c r="AQ95" s="36">
        <f t="shared" ca="1" si="287"/>
        <v>0</v>
      </c>
      <c r="AR95" s="36">
        <f t="shared" ca="1" si="287"/>
        <v>5</v>
      </c>
      <c r="AS95" s="36">
        <f t="shared" ca="1" si="287"/>
        <v>1</v>
      </c>
      <c r="AT95" s="40">
        <f t="shared" ca="1" si="287"/>
        <v>4</v>
      </c>
      <c r="AU95" s="317">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P.1 (2)</v>
      </c>
      <c r="G96" s="13"/>
      <c r="H96" s="13" t="str">
        <f t="shared" ca="1" si="274"/>
        <v>-</v>
      </c>
      <c r="I96" s="13" t="str">
        <f t="shared" ca="1" si="275"/>
        <v>P.1 (2)</v>
      </c>
      <c r="J96" s="13"/>
      <c r="K96" s="13" t="str">
        <f t="shared" ca="1" si="276"/>
        <v>-</v>
      </c>
      <c r="L96" s="13" t="str">
        <f t="shared" ca="1" si="277"/>
        <v>P.1 (2)</v>
      </c>
      <c r="M96" s="13"/>
      <c r="N96" s="13" t="str">
        <f t="shared" ca="1" si="278"/>
        <v>-</v>
      </c>
      <c r="O96" s="13" t="str">
        <f t="shared" ca="1" si="279"/>
        <v>P.1 (2)</v>
      </c>
      <c r="P96" s="13"/>
      <c r="Q96" s="13" t="str">
        <f t="shared" ca="1" si="280"/>
        <v>-</v>
      </c>
      <c r="R96" s="13" t="str">
        <f t="shared" ca="1" si="281"/>
        <v>P.1 (2)</v>
      </c>
      <c r="S96" s="13"/>
      <c r="T96" s="13" t="str">
        <f t="shared" ca="1" si="282"/>
        <v>-</v>
      </c>
      <c r="U96" s="13" t="str">
        <f t="shared" ca="1" si="283"/>
        <v>P.1 (2)</v>
      </c>
      <c r="V96" s="14"/>
      <c r="W96" s="658"/>
      <c r="X96" s="21">
        <f ca="1">Horarios!C96</f>
        <v>46200.708333333336</v>
      </c>
      <c r="Y96" s="22">
        <f ca="1">Horarios!C96</f>
        <v>46200.708333333336</v>
      </c>
      <c r="Z96" s="23" t="str">
        <f>$Z$8</f>
        <v>J3</v>
      </c>
      <c r="AA96" s="24" t="str">
        <f ca="1">A96</f>
        <v>Panamá</v>
      </c>
      <c r="AB96" s="46" t="e" cm="1" vm="49">
        <f t="array" aca="1" ref="AB96" ca="1">Ver_flag_local</f>
        <v>#VALUE!</v>
      </c>
      <c r="AC96" s="47">
        <v>0</v>
      </c>
      <c r="AD96" s="48">
        <v>2</v>
      </c>
      <c r="AE96" s="581" t="e" cm="1" vm="46">
        <f t="array" aca="1" ref="AE96" ca="1">Ver_flag_visit</f>
        <v>#VALUE!</v>
      </c>
      <c r="AF96" s="29" t="str">
        <f ca="1">A93</f>
        <v>Inglaterra</v>
      </c>
      <c r="AG96" s="310">
        <f t="shared" si="284"/>
        <v>1</v>
      </c>
      <c r="AH96" s="188">
        <v>67</v>
      </c>
      <c r="AI96" s="177" t="str">
        <f t="shared" si="288"/>
        <v>3L</v>
      </c>
      <c r="AJ96" s="39">
        <v>3</v>
      </c>
      <c r="AK96" s="588"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3</v>
      </c>
      <c r="AS96" s="36">
        <f t="shared" ca="1" si="287"/>
        <v>5</v>
      </c>
      <c r="AT96" s="40">
        <f t="shared" ca="1" si="287"/>
        <v>-2</v>
      </c>
      <c r="AU96" s="317">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P.1 (2)</v>
      </c>
      <c r="F97" s="13" t="str">
        <f t="shared" ca="1" si="273"/>
        <v>-</v>
      </c>
      <c r="G97" s="13"/>
      <c r="H97" s="13" t="str">
        <f t="shared" ca="1" si="274"/>
        <v>P.1 (2)</v>
      </c>
      <c r="I97" s="13" t="str">
        <f t="shared" ca="1" si="275"/>
        <v>-</v>
      </c>
      <c r="J97" s="13"/>
      <c r="K97" s="13" t="str">
        <f t="shared" ca="1" si="276"/>
        <v>P.1 (2)</v>
      </c>
      <c r="L97" s="13" t="str">
        <f t="shared" ca="1" si="277"/>
        <v>-</v>
      </c>
      <c r="M97" s="13"/>
      <c r="N97" s="13" t="str">
        <f t="shared" ca="1" si="278"/>
        <v>P.1 (2)</v>
      </c>
      <c r="O97" s="13" t="str">
        <f t="shared" ca="1" si="279"/>
        <v>-</v>
      </c>
      <c r="P97" s="13"/>
      <c r="Q97" s="13" t="str">
        <f t="shared" ca="1" si="280"/>
        <v>P.1 (2)</v>
      </c>
      <c r="R97" s="13" t="str">
        <f t="shared" ca="1" si="281"/>
        <v>-</v>
      </c>
      <c r="S97" s="13"/>
      <c r="T97" s="13" t="str">
        <f t="shared" ca="1" si="282"/>
        <v>P.1 (2)</v>
      </c>
      <c r="U97" s="13" t="str">
        <f t="shared" ca="1" si="283"/>
        <v>-</v>
      </c>
      <c r="V97" s="14"/>
      <c r="W97" s="659"/>
      <c r="X97" s="25">
        <f ca="1">Horarios!C97</f>
        <v>46200.708333333336</v>
      </c>
      <c r="Y97" s="26">
        <f ca="1">Horarios!C97</f>
        <v>46200.708333333336</v>
      </c>
      <c r="Z97" s="27" t="str">
        <f>$Z$8</f>
        <v>J3</v>
      </c>
      <c r="AA97" s="28" t="str">
        <f ca="1">A94</f>
        <v>Croacia</v>
      </c>
      <c r="AB97" s="49" t="e" cm="1" vm="47">
        <f t="array" aca="1" ref="AB97" ca="1">Ver_flag_local</f>
        <v>#VALUE!</v>
      </c>
      <c r="AC97" s="50">
        <v>1</v>
      </c>
      <c r="AD97" s="51">
        <v>0</v>
      </c>
      <c r="AE97" s="582" t="e" cm="1" vm="48">
        <f t="array" aca="1" ref="AE97" ca="1">Ver_flag_visit</f>
        <v>#VALUE!</v>
      </c>
      <c r="AF97" s="30" t="str">
        <f ca="1">A95</f>
        <v>Ghana</v>
      </c>
      <c r="AG97" s="310">
        <f t="shared" si="284"/>
        <v>1</v>
      </c>
      <c r="AH97" s="188">
        <v>68</v>
      </c>
      <c r="AI97" s="177" t="str">
        <f t="shared" si="288"/>
        <v>4L</v>
      </c>
      <c r="AJ97" s="41">
        <v>4</v>
      </c>
      <c r="AK97" s="590"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7</v>
      </c>
      <c r="AT97" s="45">
        <f t="shared" ca="1" si="287"/>
        <v>-6</v>
      </c>
      <c r="AU97" s="317">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2"/>
      <c r="AH98" s="176"/>
      <c r="AI98" s="176"/>
      <c r="AJ98" s="156"/>
      <c r="AK98" s="157"/>
      <c r="AL98" s="158"/>
      <c r="AM98" s="159"/>
      <c r="AN98" s="156"/>
      <c r="AO98" s="156"/>
      <c r="AP98" s="156"/>
      <c r="AQ98" s="156"/>
      <c r="AR98" s="156"/>
      <c r="AS98" s="156"/>
      <c r="AT98" s="156"/>
      <c r="AU98" s="317"/>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3"/>
      <c r="AH99" s="178"/>
      <c r="AI99" s="176"/>
      <c r="AJ99" s="565"/>
      <c r="AK99" s="596" t="str">
        <f ca="1">+IF(OR($H$113&gt;=48,$AJ$99&gt;=48),"",Idiomas!D69)</f>
        <v/>
      </c>
      <c r="AL99" s="597"/>
      <c r="AM99" s="597"/>
      <c r="AN99" s="597"/>
      <c r="AO99" s="597"/>
      <c r="AP99" s="597"/>
      <c r="AQ99" s="597"/>
      <c r="AR99" s="597"/>
      <c r="AS99" s="597"/>
      <c r="AT99" s="597"/>
      <c r="AU99" s="318"/>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1"/>
      <c r="AH100" s="178"/>
      <c r="AI100" s="176"/>
      <c r="AJ100" s="56" t="str">
        <f>Idiomas!D26</f>
        <v>Mejores terceros</v>
      </c>
      <c r="AK100" s="57"/>
      <c r="AL100" s="57"/>
      <c r="AM100" s="57"/>
      <c r="AN100" s="57"/>
      <c r="AO100" s="57"/>
      <c r="AP100" s="57"/>
      <c r="AQ100" s="57"/>
      <c r="AR100" s="57"/>
      <c r="AS100" s="57"/>
      <c r="AT100" s="58"/>
      <c r="AU100" s="320"/>
      <c r="AV100" s="274"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Suiza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64" t="s">
        <v>493</v>
      </c>
      <c r="X101" s="21">
        <f ca="1">Horarios!C101</f>
        <v>46201.625</v>
      </c>
      <c r="Y101" s="22">
        <f ca="1">Horarios!C101</f>
        <v>46201.625</v>
      </c>
      <c r="Z101" s="268">
        <f>AH101</f>
        <v>73</v>
      </c>
      <c r="AA101" s="85" t="str">
        <f t="shared" ref="AA101:AA116" ca="1" si="292">+INDEX($M$101:$M$147,MATCH(AH101,$J$101:$J$147,0))</f>
        <v>Corea del Sur</v>
      </c>
      <c r="AB101" s="86"/>
      <c r="AC101" s="48">
        <v>0</v>
      </c>
      <c r="AD101" s="48">
        <v>3</v>
      </c>
      <c r="AE101" s="87"/>
      <c r="AF101" s="88" t="str">
        <f t="shared" ref="AF101:AF116" ca="1" si="293">+INDEX($N$101:$N$147,MATCH(AH101,$J$101:$J$147,0))</f>
        <v>Suiza</v>
      </c>
      <c r="AG101" s="314">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8">
        <f ca="1">COUNTIF(AU102:AU113,"&gt;1")</f>
        <v>2</v>
      </c>
      <c r="AV101" s="183"/>
      <c r="AW101" s="206"/>
      <c r="AX101" s="206"/>
      <c r="AY101" s="322" t="str">
        <f ca="1">+IF(OR($H$113&gt;=48,$AJ$99=144),Idiomas!D68,"")</f>
        <v xml:space="preserve">Grupos mejores 3ºs: </v>
      </c>
      <c r="AZ101" s="323" t="str">
        <f ca="1">+IF(OR($H$113&gt;=48,$AJ$99=144),BI112,"")</f>
        <v>ABEGHIJL</v>
      </c>
    </row>
    <row r="102" spans="1:62" ht="16.05" customHeight="1">
      <c r="A102" s="13" t="s">
        <v>673</v>
      </c>
      <c r="B102" s="13" t="s">
        <v>734</v>
      </c>
      <c r="C102" s="13"/>
      <c r="D102" s="13" t="str">
        <f t="shared" ca="1" si="289"/>
        <v>Países Bajos</v>
      </c>
      <c r="E102" s="13" t="s">
        <v>3</v>
      </c>
      <c r="F102" s="13" t="s">
        <v>733</v>
      </c>
      <c r="G102" s="13" t="s">
        <v>1</v>
      </c>
      <c r="H102" s="13">
        <f t="shared" ca="1" si="290"/>
        <v>12</v>
      </c>
      <c r="I102" s="13"/>
      <c r="J102" s="13">
        <v>74</v>
      </c>
      <c r="K102" s="13">
        <v>46202.75</v>
      </c>
      <c r="L102" s="13" t="s">
        <v>698</v>
      </c>
      <c r="M102" s="13" t="str">
        <f t="shared" ca="1" si="291"/>
        <v>Ecuador</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República Checa</v>
      </c>
      <c r="O102" s="13"/>
      <c r="P102" s="13"/>
      <c r="Q102" s="13"/>
      <c r="R102" s="13"/>
      <c r="S102" s="13"/>
      <c r="T102" s="13"/>
      <c r="U102" s="13"/>
      <c r="V102" s="14"/>
      <c r="W102" s="664"/>
      <c r="X102" s="21">
        <f ca="1">Horarios!C102</f>
        <v>46202.541666666664</v>
      </c>
      <c r="Y102" s="22">
        <f ca="1">Horarios!C102</f>
        <v>46202.541666666664</v>
      </c>
      <c r="Z102" s="268">
        <f t="shared" ref="Z102:Z116" si="296">AH102</f>
        <v>76</v>
      </c>
      <c r="AA102" s="85" t="str">
        <f t="shared" ca="1" si="292"/>
        <v>Marruecos</v>
      </c>
      <c r="AB102" s="86"/>
      <c r="AC102" s="89">
        <v>0</v>
      </c>
      <c r="AD102" s="89">
        <v>2</v>
      </c>
      <c r="AE102" s="86"/>
      <c r="AF102" s="88" t="str">
        <f t="shared" ca="1" si="293"/>
        <v>Países Bajos</v>
      </c>
      <c r="AG102" s="314">
        <f t="shared" ca="1" si="294"/>
        <v>1</v>
      </c>
      <c r="AH102" s="188">
        <v>76</v>
      </c>
      <c r="AI102" s="178">
        <v>1</v>
      </c>
      <c r="AJ102" s="77">
        <v>1</v>
      </c>
      <c r="AK102" s="591" t="e" cm="1" vm="27">
        <f t="array" aca="1" ref="AK102" ca="1">Ver_flag_visit</f>
        <v>#VALUE!</v>
      </c>
      <c r="AL102" s="78" t="str">
        <f t="shared" ref="AL102:AL113" ca="1" si="297">+IF($H$113&gt;=48,INDEX($BD$58:$BD$69,MATCH(AI102,$BN$58:$BN$69,0)),BB58)</f>
        <v>Irán</v>
      </c>
      <c r="AM102" s="574">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7">
        <f t="shared" ref="AU102:AU113" ca="1" si="299">IF($H$113=144,INDEX($DL$58:$DL$69,MATCH(AI102,$DP$58:$DP$69,0)),"")</f>
        <v>1</v>
      </c>
      <c r="AV102" s="178" t="str">
        <f t="shared" ref="AV102:AV113" ca="1" si="300">INDEX($BD$58:$BD$69,MATCH(AI102,$BM$58:$BM$69,0))</f>
        <v>Irán</v>
      </c>
      <c r="AW102" s="207"/>
      <c r="AX102" s="166"/>
      <c r="AY102" s="150"/>
      <c r="AZ102" s="151"/>
      <c r="BE102" t="s">
        <v>454</v>
      </c>
      <c r="BF102" t="s">
        <v>731</v>
      </c>
      <c r="BG102" t="s">
        <v>776</v>
      </c>
      <c r="BI102" t="s">
        <v>86</v>
      </c>
    </row>
    <row r="103" spans="1:62" ht="16.05" customHeight="1">
      <c r="A103" s="13" t="s">
        <v>676</v>
      </c>
      <c r="B103" s="13" t="s">
        <v>668</v>
      </c>
      <c r="C103" s="13"/>
      <c r="D103" s="13" t="str">
        <f t="shared" ca="1" si="289"/>
        <v>Ecuador</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664"/>
      <c r="X103" s="21">
        <f ca="1">Horarios!C103</f>
        <v>46202.6875</v>
      </c>
      <c r="Y103" s="22">
        <f ca="1">Horarios!C103</f>
        <v>46202.6875</v>
      </c>
      <c r="Z103" s="268">
        <f t="shared" si="296"/>
        <v>74</v>
      </c>
      <c r="AA103" s="85" t="str">
        <f t="shared" ca="1" si="292"/>
        <v>Ecuador</v>
      </c>
      <c r="AB103" s="86"/>
      <c r="AC103" s="89">
        <v>2</v>
      </c>
      <c r="AD103" s="89">
        <v>0</v>
      </c>
      <c r="AE103" s="86"/>
      <c r="AF103" s="88" t="str">
        <f t="shared" ca="1" si="293"/>
        <v>República Checa</v>
      </c>
      <c r="AG103" s="314">
        <f t="shared" ca="1" si="294"/>
        <v>1</v>
      </c>
      <c r="AH103" s="188">
        <v>74</v>
      </c>
      <c r="AI103" s="178">
        <v>2</v>
      </c>
      <c r="AJ103" s="39">
        <v>2</v>
      </c>
      <c r="AK103" s="588" t="e" cm="1" vm="31">
        <f t="array" aca="1" ref="AK103" ca="1">Ver_flag_visit</f>
        <v>#VALUE!</v>
      </c>
      <c r="AL103" s="82" t="str">
        <f t="shared" ca="1" si="297"/>
        <v>Arabia Saudita</v>
      </c>
      <c r="AM103" s="575">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3</v>
      </c>
      <c r="AT103" s="84">
        <f t="shared" ca="1" si="302"/>
        <v>0</v>
      </c>
      <c r="AU103" s="317">
        <f t="shared" ca="1" si="299"/>
        <v>1</v>
      </c>
      <c r="AV103" s="178" t="str">
        <f t="shared" ca="1" si="300"/>
        <v>Arabia Saudita</v>
      </c>
      <c r="AW103" s="207"/>
      <c r="AX103" s="166"/>
      <c r="AY103" s="264"/>
      <c r="AZ103" s="267" t="str">
        <f t="shared" ref="AZ103:AZ110" ca="1" si="303">+IF(OR($H$113&gt;=48,$AJ$99=144),BF117&amp;" - "&amp;BG117,"")</f>
        <v>1A - 3E</v>
      </c>
      <c r="BF103" t="str">
        <f t="shared" ref="BF103:BF110" ca="1" si="304">IFERROR(INDEX($BC$6:$BC$53,MATCH(AL102,$BD$6:$BD$53,0)),"")</f>
        <v>G</v>
      </c>
      <c r="BG103">
        <f t="shared" ref="BG103:BG110" ca="1" si="305">COUNTIF($BF$103:$BF$110,"&lt;="&amp;BF103)</f>
        <v>4</v>
      </c>
      <c r="BI103">
        <v>1</v>
      </c>
      <c r="BJ103" t="str">
        <f t="shared" ref="BJ103:BJ110" ca="1" si="306">IFERROR(INDEX($BF$103:$BF$110,MATCH(BI103,$BG$103:$BG$110,0)),"Grupo")</f>
        <v>A</v>
      </c>
    </row>
    <row r="104" spans="1:62" ht="16.05" customHeight="1">
      <c r="A104" s="13" t="s">
        <v>663</v>
      </c>
      <c r="B104" s="13" t="s">
        <v>677</v>
      </c>
      <c r="C104" s="13"/>
      <c r="D104" s="13" t="str">
        <f t="shared" ca="1" si="289"/>
        <v>Japón</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664"/>
      <c r="X104" s="21">
        <f ca="1">Horarios!C104</f>
        <v>46202.875</v>
      </c>
      <c r="Y104" s="22">
        <f ca="1">Horarios!C104</f>
        <v>46202.875</v>
      </c>
      <c r="Z104" s="268">
        <f t="shared" si="296"/>
        <v>75</v>
      </c>
      <c r="AA104" s="85" t="str">
        <f t="shared" ca="1" si="292"/>
        <v>Japón</v>
      </c>
      <c r="AB104" s="86"/>
      <c r="AC104" s="89">
        <v>3</v>
      </c>
      <c r="AD104" s="89">
        <v>2</v>
      </c>
      <c r="AE104" s="86"/>
      <c r="AF104" s="88" t="str">
        <f t="shared" ca="1" si="293"/>
        <v>Brasil</v>
      </c>
      <c r="AG104" s="314">
        <f t="shared" ca="1" si="294"/>
        <v>1</v>
      </c>
      <c r="AH104" s="188">
        <v>75</v>
      </c>
      <c r="AI104" s="178">
        <v>3</v>
      </c>
      <c r="AJ104" s="39">
        <v>3</v>
      </c>
      <c r="AK104" s="588" t="e" cm="1" vm="40">
        <f t="array" aca="1" ref="AK104" ca="1">Ver_flag_visit</f>
        <v>#VALUE!</v>
      </c>
      <c r="AL104" s="82" t="str">
        <f t="shared" ca="1" si="297"/>
        <v>Austria</v>
      </c>
      <c r="AM104" s="575">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2</v>
      </c>
      <c r="AS104" s="83">
        <f t="shared" ca="1" si="307"/>
        <v>3</v>
      </c>
      <c r="AT104" s="84">
        <f t="shared" ca="1" si="307"/>
        <v>-1</v>
      </c>
      <c r="AU104" s="317">
        <f t="shared" ca="1" si="299"/>
        <v>1</v>
      </c>
      <c r="AV104" s="178" t="str">
        <f t="shared" ca="1" si="300"/>
        <v>Austria</v>
      </c>
      <c r="AW104" s="207"/>
      <c r="AX104" s="166"/>
      <c r="AY104" s="264"/>
      <c r="AZ104" s="267" t="str">
        <f t="shared" ca="1" si="303"/>
        <v>1B - 3J</v>
      </c>
      <c r="BF104" t="str">
        <f t="shared" ca="1" si="304"/>
        <v>H</v>
      </c>
      <c r="BG104">
        <f t="shared" ca="1" si="305"/>
        <v>5</v>
      </c>
      <c r="BI104">
        <v>2</v>
      </c>
      <c r="BJ104" t="str">
        <f t="shared" ca="1" si="306"/>
        <v>B</v>
      </c>
    </row>
    <row r="105" spans="1:62" ht="16.05" customHeight="1">
      <c r="A105" s="13" t="s">
        <v>685</v>
      </c>
      <c r="B105" s="13" t="s">
        <v>735</v>
      </c>
      <c r="C105" s="13"/>
      <c r="D105" s="13" t="str">
        <f t="shared" ca="1" si="289"/>
        <v>Alemania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Irán</v>
      </c>
      <c r="O105" s="13"/>
      <c r="P105" s="13"/>
      <c r="Q105" s="13"/>
      <c r="R105" s="13"/>
      <c r="S105" s="13"/>
      <c r="T105" s="13"/>
      <c r="U105" s="13"/>
      <c r="V105" s="14"/>
      <c r="W105" s="664"/>
      <c r="X105" s="21">
        <f ca="1">Horarios!C105</f>
        <v>46203.541666666664</v>
      </c>
      <c r="Y105" s="22">
        <f ca="1">Horarios!C105</f>
        <v>46203.541666666664</v>
      </c>
      <c r="Z105" s="268">
        <f t="shared" si="296"/>
        <v>78</v>
      </c>
      <c r="AA105" s="85" t="str">
        <f t="shared" ca="1" si="292"/>
        <v>Alemania</v>
      </c>
      <c r="AB105" s="86">
        <v>5</v>
      </c>
      <c r="AC105" s="89">
        <v>1</v>
      </c>
      <c r="AD105" s="89">
        <v>1</v>
      </c>
      <c r="AE105" s="86">
        <v>3</v>
      </c>
      <c r="AF105" s="88" t="str">
        <f t="shared" ca="1" si="293"/>
        <v>Noruega</v>
      </c>
      <c r="AG105" s="314">
        <f t="shared" ca="1" si="294"/>
        <v>1</v>
      </c>
      <c r="AH105" s="188">
        <v>78</v>
      </c>
      <c r="AI105" s="178">
        <v>4</v>
      </c>
      <c r="AJ105" s="39">
        <v>4</v>
      </c>
      <c r="AK105" s="588" t="e" cm="1" vm="35">
        <f t="array" aca="1" ref="AK105" ca="1">Ver_flag_visit</f>
        <v>#VALUE!</v>
      </c>
      <c r="AL105" s="82" t="str">
        <f t="shared" ca="1" si="297"/>
        <v>Senegal</v>
      </c>
      <c r="AM105" s="575">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5</v>
      </c>
      <c r="AS105" s="83">
        <f t="shared" ca="1" si="308"/>
        <v>6</v>
      </c>
      <c r="AT105" s="84">
        <f t="shared" ca="1" si="308"/>
        <v>-1</v>
      </c>
      <c r="AU105" s="317">
        <f t="shared" ca="1" si="299"/>
        <v>1</v>
      </c>
      <c r="AV105" s="178" t="str">
        <f t="shared" ca="1" si="300"/>
        <v>Senegal</v>
      </c>
      <c r="AW105" s="207"/>
      <c r="AX105" s="166"/>
      <c r="AY105" s="264"/>
      <c r="AZ105" s="267" t="str">
        <f t="shared" ca="1" si="303"/>
        <v>1D - 3B</v>
      </c>
      <c r="BF105" t="str">
        <f t="shared" ca="1" si="304"/>
        <v>J</v>
      </c>
      <c r="BG105">
        <f t="shared" ca="1" si="305"/>
        <v>7</v>
      </c>
      <c r="BI105">
        <v>3</v>
      </c>
      <c r="BJ105" t="str">
        <f t="shared" ca="1" si="306"/>
        <v>E</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Alemania</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4"/>
      <c r="X106" s="21">
        <f ca="1">Horarios!C106</f>
        <v>46203.708333333336</v>
      </c>
      <c r="Y106" s="22">
        <f ca="1">Horarios!C106</f>
        <v>46203.708333333336</v>
      </c>
      <c r="Z106" s="268">
        <f t="shared" si="296"/>
        <v>77</v>
      </c>
      <c r="AA106" s="85" t="str">
        <f t="shared" ca="1" si="292"/>
        <v>Francia</v>
      </c>
      <c r="AB106" s="86"/>
      <c r="AC106" s="89">
        <v>5</v>
      </c>
      <c r="AD106" s="89">
        <v>0</v>
      </c>
      <c r="AE106" s="86"/>
      <c r="AF106" s="88" t="str">
        <f t="shared" ca="1" si="293"/>
        <v>Irán</v>
      </c>
      <c r="AG106" s="314">
        <f t="shared" ca="1" si="294"/>
        <v>1</v>
      </c>
      <c r="AH106" s="188">
        <v>77</v>
      </c>
      <c r="AI106" s="178">
        <v>5</v>
      </c>
      <c r="AJ106" s="39">
        <v>5</v>
      </c>
      <c r="AK106" s="588" t="e" cm="1" vm="19">
        <f t="array" aca="1" ref="AK106" ca="1">Ver_flag_visit</f>
        <v>#VALUE!</v>
      </c>
      <c r="AL106" s="82" t="str">
        <f t="shared" ca="1" si="297"/>
        <v>Costa de Marfil</v>
      </c>
      <c r="AM106" s="575">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5</v>
      </c>
      <c r="AT106" s="84">
        <f t="shared" ca="1" si="309"/>
        <v>-1</v>
      </c>
      <c r="AU106" s="317">
        <f t="shared" ca="1" si="299"/>
        <v>1</v>
      </c>
      <c r="AV106" s="178" t="str">
        <f t="shared" ca="1" si="300"/>
        <v>Costa de Marfil</v>
      </c>
      <c r="AW106" s="207"/>
      <c r="AX106" s="166"/>
      <c r="AY106" s="264"/>
      <c r="AZ106" s="267" t="str">
        <f t="shared" ca="1" si="303"/>
        <v>1E - 3A</v>
      </c>
      <c r="BF106" t="str">
        <f t="shared" ca="1" si="304"/>
        <v>I</v>
      </c>
      <c r="BG106">
        <f t="shared" ca="1" si="305"/>
        <v>6</v>
      </c>
      <c r="BI106">
        <v>4</v>
      </c>
      <c r="BJ106" t="str">
        <f t="shared" ca="1" si="306"/>
        <v>G</v>
      </c>
    </row>
    <row r="107" spans="1:62" ht="16.05" customHeight="1">
      <c r="A107" s="13" t="s">
        <v>657</v>
      </c>
      <c r="B107" s="13" t="s">
        <v>736</v>
      </c>
      <c r="C107" s="13"/>
      <c r="D107" s="13" t="str">
        <f t="shared" ca="1" si="289"/>
        <v>Costa de Marfil</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664"/>
      <c r="X107" s="21">
        <f ca="1">Horarios!C107</f>
        <v>46203.875</v>
      </c>
      <c r="Y107" s="22">
        <f ca="1">Horarios!C107</f>
        <v>46203.875</v>
      </c>
      <c r="Z107" s="268">
        <f t="shared" si="296"/>
        <v>79</v>
      </c>
      <c r="AA107" s="85" t="str">
        <f t="shared" ca="1" si="292"/>
        <v>México</v>
      </c>
      <c r="AB107" s="86"/>
      <c r="AC107" s="89">
        <v>0</v>
      </c>
      <c r="AD107" s="89">
        <v>2</v>
      </c>
      <c r="AE107" s="86"/>
      <c r="AF107" s="88" t="str">
        <f t="shared" ca="1" si="293"/>
        <v>Costa de Marfil</v>
      </c>
      <c r="AG107" s="314">
        <f t="shared" ca="1" si="294"/>
        <v>1</v>
      </c>
      <c r="AH107" s="188">
        <v>79</v>
      </c>
      <c r="AI107" s="178">
        <v>6</v>
      </c>
      <c r="AJ107" s="39">
        <v>6</v>
      </c>
      <c r="AK107" s="588" t="e" cm="1" vm="4">
        <f t="array" aca="1" ref="AK107" ca="1">Ver_flag_visit</f>
        <v>#VALUE!</v>
      </c>
      <c r="AL107" s="82" t="str">
        <f t="shared" ca="1" si="297"/>
        <v>República Checa</v>
      </c>
      <c r="AM107" s="575">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2</v>
      </c>
      <c r="AS107" s="83">
        <f t="shared" ca="1" si="310"/>
        <v>3</v>
      </c>
      <c r="AT107" s="84">
        <f t="shared" ca="1" si="310"/>
        <v>-1</v>
      </c>
      <c r="AU107" s="317">
        <f t="shared" ca="1" si="299"/>
        <v>1</v>
      </c>
      <c r="AV107" s="178" t="str">
        <f ca="1">INDEX($BD$58:$BD$69,MATCH(AI107,$BM$58:$BM$69,0))</f>
        <v>República Checa</v>
      </c>
      <c r="AW107" s="207"/>
      <c r="AX107" s="166"/>
      <c r="AY107" s="264"/>
      <c r="AZ107" s="267" t="str">
        <f t="shared" ca="1" si="303"/>
        <v>1G - 3H</v>
      </c>
      <c r="BF107" t="str">
        <f t="shared" ca="1" si="304"/>
        <v>E</v>
      </c>
      <c r="BG107">
        <f t="shared" ca="1" si="305"/>
        <v>3</v>
      </c>
      <c r="BI107">
        <v>5</v>
      </c>
      <c r="BJ107" t="str">
        <f t="shared" ca="1" si="306"/>
        <v>H</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64"/>
      <c r="X108" s="21">
        <f ca="1">Horarios!C108</f>
        <v>46204.5</v>
      </c>
      <c r="Y108" s="22">
        <f ca="1">Horarios!C108</f>
        <v>46204.5</v>
      </c>
      <c r="Z108" s="268">
        <f t="shared" si="296"/>
        <v>80</v>
      </c>
      <c r="AA108" s="85" t="str">
        <f t="shared" ca="1" si="292"/>
        <v>Inglaterra</v>
      </c>
      <c r="AB108" s="86"/>
      <c r="AC108" s="89">
        <v>2</v>
      </c>
      <c r="AD108" s="89">
        <v>0</v>
      </c>
      <c r="AE108" s="86"/>
      <c r="AF108" s="88" t="str">
        <f t="shared" ca="1" si="293"/>
        <v>Senegal</v>
      </c>
      <c r="AG108" s="314">
        <f t="shared" ca="1" si="294"/>
        <v>1</v>
      </c>
      <c r="AH108" s="188">
        <v>80</v>
      </c>
      <c r="AI108" s="178">
        <v>7</v>
      </c>
      <c r="AJ108" s="39">
        <v>7</v>
      </c>
      <c r="AK108" s="588" t="e" cm="1" vm="6">
        <f t="array" aca="1" ref="AK108" ca="1">Ver_flag_visit</f>
        <v>#VALUE!</v>
      </c>
      <c r="AL108" s="82" t="str">
        <f t="shared" ca="1" si="297"/>
        <v>Bosnia y Herzegovina</v>
      </c>
      <c r="AM108" s="575">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5</v>
      </c>
      <c r="AT108" s="84">
        <f t="shared" ca="1" si="311"/>
        <v>-2</v>
      </c>
      <c r="AU108" s="317">
        <f t="shared" ca="1" si="299"/>
        <v>2</v>
      </c>
      <c r="AV108" s="178" t="str">
        <f t="shared" ca="1" si="300"/>
        <v>Bosnia y Herzegovina</v>
      </c>
      <c r="AW108" s="207"/>
      <c r="AX108" s="166"/>
      <c r="AY108" s="264"/>
      <c r="AZ108" s="267" t="str">
        <f t="shared" ca="1" si="303"/>
        <v>1I - 3G</v>
      </c>
      <c r="BF108" t="str">
        <f t="shared" ca="1" si="304"/>
        <v>A</v>
      </c>
      <c r="BG108">
        <f t="shared" ca="1" si="305"/>
        <v>1</v>
      </c>
      <c r="BI108">
        <v>6</v>
      </c>
      <c r="BJ108" t="str">
        <f t="shared" ca="1" si="306"/>
        <v>I</v>
      </c>
    </row>
    <row r="109" spans="1:62" ht="16.05" customHeight="1">
      <c r="A109" s="13" t="s">
        <v>670</v>
      </c>
      <c r="B109" s="13" t="s">
        <v>738</v>
      </c>
      <c r="C109" s="13"/>
      <c r="D109" s="13" t="str">
        <f t="shared" ca="1" si="289"/>
        <v>Egipto</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64"/>
      <c r="X109" s="21">
        <f ca="1">Horarios!C109</f>
        <v>46204.666666666664</v>
      </c>
      <c r="Y109" s="22">
        <f ca="1">Horarios!C109</f>
        <v>46204.666666666664</v>
      </c>
      <c r="Z109" s="268">
        <f t="shared" si="296"/>
        <v>82</v>
      </c>
      <c r="AA109" s="85" t="str">
        <f t="shared" ca="1" si="292"/>
        <v>Egipto</v>
      </c>
      <c r="AB109" s="86">
        <v>4</v>
      </c>
      <c r="AC109" s="89">
        <v>1</v>
      </c>
      <c r="AD109" s="89">
        <v>1</v>
      </c>
      <c r="AE109" s="86">
        <v>2</v>
      </c>
      <c r="AF109" s="88" t="str">
        <f t="shared" ca="1" si="293"/>
        <v>Arabia Saudita</v>
      </c>
      <c r="AG109" s="314">
        <f t="shared" ca="1" si="294"/>
        <v>1</v>
      </c>
      <c r="AH109" s="188">
        <v>82</v>
      </c>
      <c r="AI109" s="178">
        <v>8</v>
      </c>
      <c r="AJ109" s="39">
        <v>8</v>
      </c>
      <c r="AK109" s="588" t="e" cm="1" vm="48">
        <f t="array" aca="1" ref="AK109" ca="1">Ver_flag_visit</f>
        <v>#VALUE!</v>
      </c>
      <c r="AL109" s="82" t="str">
        <f t="shared" ca="1" si="297"/>
        <v>Ghana</v>
      </c>
      <c r="AM109" s="575">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3</v>
      </c>
      <c r="AS109" s="83">
        <f t="shared" ca="1" si="312"/>
        <v>5</v>
      </c>
      <c r="AT109" s="84">
        <f t="shared" ca="1" si="312"/>
        <v>-2</v>
      </c>
      <c r="AU109" s="317">
        <f t="shared" ca="1" si="299"/>
        <v>2</v>
      </c>
      <c r="AV109" s="178" t="str">
        <f t="shared" ca="1" si="300"/>
        <v>Ghana</v>
      </c>
      <c r="AW109" s="207"/>
      <c r="AX109" s="166"/>
      <c r="AY109" s="264"/>
      <c r="AZ109" s="267" t="str">
        <f t="shared" ca="1" si="303"/>
        <v>1K - 3L</v>
      </c>
      <c r="BF109" t="str">
        <f t="shared" ca="1" si="304"/>
        <v>B</v>
      </c>
      <c r="BG109">
        <f t="shared" ca="1" si="305"/>
        <v>2</v>
      </c>
      <c r="BI109">
        <v>7</v>
      </c>
      <c r="BJ109" t="str">
        <f t="shared" ca="1" si="306"/>
        <v>J</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Egipto</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3"/>
      <c r="P110" s="13"/>
      <c r="Q110" s="13"/>
      <c r="R110" s="13"/>
      <c r="S110" s="13"/>
      <c r="T110" s="13"/>
      <c r="U110" s="13"/>
      <c r="V110" s="14"/>
      <c r="W110" s="664"/>
      <c r="X110" s="21">
        <f ca="1">Horarios!C110</f>
        <v>46204.833333333336</v>
      </c>
      <c r="Y110" s="22">
        <f ca="1">Horarios!C110</f>
        <v>46204.833333333336</v>
      </c>
      <c r="Z110" s="268">
        <f t="shared" si="296"/>
        <v>81</v>
      </c>
      <c r="AA110" s="85" t="str">
        <f t="shared" ca="1" si="292"/>
        <v>Turquía</v>
      </c>
      <c r="AB110" s="86"/>
      <c r="AC110" s="89">
        <v>3</v>
      </c>
      <c r="AD110" s="89">
        <v>2</v>
      </c>
      <c r="AE110" s="86"/>
      <c r="AF110" s="88" t="str">
        <f t="shared" ca="1" si="293"/>
        <v>Bosnia y Herzegovina</v>
      </c>
      <c r="AG110" s="314">
        <f t="shared" ca="1" si="294"/>
        <v>1</v>
      </c>
      <c r="AH110" s="188">
        <v>81</v>
      </c>
      <c r="AI110" s="178">
        <v>9</v>
      </c>
      <c r="AJ110" s="39">
        <v>9</v>
      </c>
      <c r="AK110" s="588" t="e" cm="1" vm="12">
        <f t="array" aca="1" ref="AK110" ca="1">Ver_flag_visit</f>
        <v>#VALUE!</v>
      </c>
      <c r="AL110" s="82" t="str">
        <f t="shared" ca="1" si="297"/>
        <v>Escocia</v>
      </c>
      <c r="AM110" s="575">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2</v>
      </c>
      <c r="AS110" s="83">
        <f t="shared" ca="1" si="313"/>
        <v>5</v>
      </c>
      <c r="AT110" s="84">
        <f t="shared" ca="1" si="313"/>
        <v>-3</v>
      </c>
      <c r="AU110" s="317">
        <f t="shared" ca="1" si="299"/>
        <v>1</v>
      </c>
      <c r="AV110" s="178" t="str">
        <f t="shared" ca="1" si="300"/>
        <v>Escocia</v>
      </c>
      <c r="AW110" s="207"/>
      <c r="AX110" s="166"/>
      <c r="AY110" s="264"/>
      <c r="AZ110" s="267" t="str">
        <f t="shared" ca="1" si="303"/>
        <v>1L - 3I</v>
      </c>
      <c r="BF110" t="str">
        <f t="shared" ca="1" si="304"/>
        <v>L</v>
      </c>
      <c r="BG110">
        <f t="shared" ca="1" si="305"/>
        <v>8</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64"/>
      <c r="X111" s="21">
        <f ca="1">Horarios!C111</f>
        <v>46205.625</v>
      </c>
      <c r="Y111" s="22">
        <f ca="1">Horarios!C111</f>
        <v>46205.625</v>
      </c>
      <c r="Z111" s="268">
        <f t="shared" si="296"/>
        <v>84</v>
      </c>
      <c r="AA111" s="85" t="str">
        <f t="shared" ca="1" si="292"/>
        <v>España</v>
      </c>
      <c r="AB111" s="86"/>
      <c r="AC111" s="89">
        <v>4</v>
      </c>
      <c r="AD111" s="89">
        <v>1</v>
      </c>
      <c r="AE111" s="86"/>
      <c r="AF111" s="88" t="str">
        <f t="shared" ca="1" si="293"/>
        <v>Argelia</v>
      </c>
      <c r="AG111" s="314">
        <f t="shared" ca="1" si="294"/>
        <v>1</v>
      </c>
      <c r="AH111" s="188">
        <v>84</v>
      </c>
      <c r="AI111" s="178">
        <v>10</v>
      </c>
      <c r="AJ111" s="39">
        <v>10</v>
      </c>
      <c r="AK111" s="588" t="e" cm="1" vm="13">
        <f t="array" aca="1" ref="AK111" ca="1">Ver_flag_visit</f>
        <v>#VALUE!</v>
      </c>
      <c r="AL111" s="82" t="str">
        <f t="shared" ca="1" si="297"/>
        <v>Estados Unidos</v>
      </c>
      <c r="AM111" s="575">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1</v>
      </c>
      <c r="AS111" s="83">
        <f t="shared" ca="1" si="314"/>
        <v>4</v>
      </c>
      <c r="AT111" s="84">
        <f t="shared" ca="1" si="314"/>
        <v>-3</v>
      </c>
      <c r="AU111" s="317">
        <f t="shared" ca="1" si="299"/>
        <v>1</v>
      </c>
      <c r="AV111" s="178" t="str">
        <f t="shared" ca="1" si="300"/>
        <v>Estados Unidos</v>
      </c>
      <c r="AW111" s="207"/>
      <c r="AX111" s="166"/>
      <c r="AY111" s="263"/>
      <c r="AZ111" s="263"/>
      <c r="BI111" t="s">
        <v>87</v>
      </c>
    </row>
    <row r="112" spans="1:62" ht="16.05" customHeight="1">
      <c r="A112" s="13" t="s">
        <v>682</v>
      </c>
      <c r="B112" s="13" t="s">
        <v>689</v>
      </c>
      <c r="C112" s="13"/>
      <c r="D112" s="13" t="str">
        <f t="shared" ca="1" si="289"/>
        <v>Croacia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64"/>
      <c r="X112" s="21">
        <f ca="1">Horarios!C112</f>
        <v>46205.791666666664</v>
      </c>
      <c r="Y112" s="22">
        <f ca="1">Horarios!C112</f>
        <v>46205.791666666664</v>
      </c>
      <c r="Z112" s="268">
        <f t="shared" si="296"/>
        <v>83</v>
      </c>
      <c r="AA112" s="85" t="str">
        <f t="shared" ca="1" si="292"/>
        <v>Colombia</v>
      </c>
      <c r="AB112" s="86"/>
      <c r="AC112" s="89">
        <v>2</v>
      </c>
      <c r="AD112" s="89">
        <v>3</v>
      </c>
      <c r="AE112" s="86"/>
      <c r="AF112" s="88" t="str">
        <f t="shared" ca="1" si="293"/>
        <v>Croacia</v>
      </c>
      <c r="AG112" s="314">
        <f t="shared" ca="1" si="294"/>
        <v>1</v>
      </c>
      <c r="AH112" s="188">
        <v>83</v>
      </c>
      <c r="AI112" s="178">
        <v>11</v>
      </c>
      <c r="AJ112" s="39">
        <v>11</v>
      </c>
      <c r="AK112" s="588" t="e" cm="1" vm="23">
        <f t="array" aca="1" ref="AK112" ca="1">Ver_flag_visit</f>
        <v>#VALUE!</v>
      </c>
      <c r="AL112" s="82" t="str">
        <f t="shared" ca="1" si="297"/>
        <v>Suecia</v>
      </c>
      <c r="AM112" s="575">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4</v>
      </c>
      <c r="AS112" s="83">
        <f t="shared" ca="1" si="315"/>
        <v>8</v>
      </c>
      <c r="AT112" s="84">
        <f t="shared" ca="1" si="315"/>
        <v>-4</v>
      </c>
      <c r="AU112" s="317">
        <f t="shared" ca="1" si="299"/>
        <v>1</v>
      </c>
      <c r="AV112" s="178" t="str">
        <f t="shared" ca="1" si="300"/>
        <v>Suecia</v>
      </c>
      <c r="AW112" s="207"/>
      <c r="AX112" s="166"/>
      <c r="AY112" s="263"/>
      <c r="AZ112" s="263"/>
      <c r="BI112" t="str">
        <f ca="1">IFERROR(CONCATENATE(BJ103,BJ104,BJ105,BJ106,BJ107,BJ108,BJ109,BJ110),"¿A/B/C/D/E/F/G/H/I/J/K/L?")</f>
        <v>ABEGHIJL</v>
      </c>
    </row>
    <row r="113" spans="1:59" ht="16.05" customHeight="1" thickBot="1">
      <c r="A113" s="13" t="s">
        <v>660</v>
      </c>
      <c r="B113" s="13" t="s">
        <v>740</v>
      </c>
      <c r="C113" s="13"/>
      <c r="D113" s="13" t="str">
        <f t="shared" ca="1" si="289"/>
        <v>Austria</v>
      </c>
      <c r="E113" s="13" t="s">
        <v>1</v>
      </c>
      <c r="F113" s="13" t="s">
        <v>733</v>
      </c>
      <c r="G113" s="13" t="s">
        <v>733</v>
      </c>
      <c r="H113" s="13">
        <f ca="1">+IF($AJ$99&lt;&gt;144,SUM(H101:H112),$AJ$99)</f>
        <v>144</v>
      </c>
      <c r="I113" s="13"/>
      <c r="J113" s="13">
        <v>85</v>
      </c>
      <c r="K113" s="13">
        <v>46205.75</v>
      </c>
      <c r="L113" s="13" t="s">
        <v>709</v>
      </c>
      <c r="M113" s="13" t="str">
        <f t="shared" ca="1" si="291"/>
        <v>Canadá</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664"/>
      <c r="X113" s="21">
        <f ca="1">Horarios!C113</f>
        <v>46205.958333333336</v>
      </c>
      <c r="Y113" s="22">
        <f ca="1">Horarios!C113</f>
        <v>46205.958333333336</v>
      </c>
      <c r="Z113" s="268">
        <f t="shared" si="296"/>
        <v>85</v>
      </c>
      <c r="AA113" s="85" t="str">
        <f t="shared" ca="1" si="292"/>
        <v>Canadá</v>
      </c>
      <c r="AB113" s="86"/>
      <c r="AC113" s="89">
        <v>1</v>
      </c>
      <c r="AD113" s="89">
        <v>2</v>
      </c>
      <c r="AE113" s="87"/>
      <c r="AF113" s="88" t="str">
        <f t="shared" ca="1" si="293"/>
        <v>Austria</v>
      </c>
      <c r="AG113" s="314">
        <f t="shared" ca="1" si="294"/>
        <v>1</v>
      </c>
      <c r="AH113" s="188">
        <v>85</v>
      </c>
      <c r="AI113" s="178">
        <v>12</v>
      </c>
      <c r="AJ113" s="41">
        <v>12</v>
      </c>
      <c r="AK113" s="590" t="e" cm="1" vm="44">
        <f t="array" aca="1" ref="AK113" ca="1">Ver_flag_visit</f>
        <v>#VALUE!</v>
      </c>
      <c r="AL113" s="42" t="str">
        <f t="shared" ca="1" si="297"/>
        <v>Uzbekistán</v>
      </c>
      <c r="AM113" s="576">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5</v>
      </c>
      <c r="AT113" s="45">
        <f t="shared" ca="1" si="316"/>
        <v>-4</v>
      </c>
      <c r="AU113" s="317">
        <f t="shared" ca="1" si="299"/>
        <v>1</v>
      </c>
      <c r="AV113" s="178" t="str">
        <f t="shared" ca="1" si="300"/>
        <v>Uzbekistán</v>
      </c>
      <c r="AW113" s="207"/>
      <c r="AX113" s="166"/>
      <c r="AY113" s="150"/>
      <c r="AZ113" s="151"/>
    </row>
    <row r="114" spans="1:59" ht="16.05"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4"/>
      <c r="X114" s="21">
        <f ca="1">Horarios!C114</f>
        <v>46206.583333333336</v>
      </c>
      <c r="Y114" s="22">
        <f ca="1">Horarios!C114</f>
        <v>46206.583333333336</v>
      </c>
      <c r="Z114" s="268">
        <f t="shared" si="296"/>
        <v>88</v>
      </c>
      <c r="AA114" s="85" t="str">
        <f t="shared" ca="1" si="292"/>
        <v>Paraguay</v>
      </c>
      <c r="AB114" s="86"/>
      <c r="AC114" s="89">
        <v>2</v>
      </c>
      <c r="AD114" s="89">
        <v>0</v>
      </c>
      <c r="AE114" s="86"/>
      <c r="AF114" s="88" t="str">
        <f t="shared" ca="1" si="293"/>
        <v>Bélgica</v>
      </c>
      <c r="AG114" s="314">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64"/>
      <c r="X115" s="21">
        <f ca="1">Horarios!C115</f>
        <v>46206.75</v>
      </c>
      <c r="Y115" s="22">
        <f ca="1">Horarios!C115</f>
        <v>46206.75</v>
      </c>
      <c r="Z115" s="268">
        <f t="shared" si="296"/>
        <v>86</v>
      </c>
      <c r="AA115" s="85" t="str">
        <f t="shared" ca="1" si="292"/>
        <v>Argentina</v>
      </c>
      <c r="AB115" s="86"/>
      <c r="AC115" s="89">
        <v>3</v>
      </c>
      <c r="AD115" s="89">
        <v>2</v>
      </c>
      <c r="AE115" s="86"/>
      <c r="AF115" s="88" t="str">
        <f t="shared" ca="1" si="293"/>
        <v>Uruguay</v>
      </c>
      <c r="AG115" s="314">
        <f t="shared" ca="1" si="294"/>
        <v>1</v>
      </c>
      <c r="AH115" s="188">
        <v>86</v>
      </c>
      <c r="AI115" s="178"/>
      <c r="AJ115" s="158"/>
      <c r="AK115" s="160"/>
      <c r="AL115" s="577"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3"/>
      <c r="P116" s="13"/>
      <c r="Q116" s="13"/>
      <c r="R116" s="13"/>
      <c r="S116" s="13"/>
      <c r="T116" s="13"/>
      <c r="U116" s="13"/>
      <c r="V116" s="14"/>
      <c r="W116" s="665"/>
      <c r="X116" s="25">
        <f ca="1">Horarios!C116</f>
        <v>46206.895833333336</v>
      </c>
      <c r="Y116" s="26">
        <f ca="1">Horarios!C116</f>
        <v>46206.895833333336</v>
      </c>
      <c r="Z116" s="269">
        <f t="shared" si="296"/>
        <v>87</v>
      </c>
      <c r="AA116" s="90" t="str">
        <f t="shared" ca="1" si="292"/>
        <v>Portugal</v>
      </c>
      <c r="AB116" s="91"/>
      <c r="AC116" s="265">
        <v>2</v>
      </c>
      <c r="AD116" s="265">
        <v>0</v>
      </c>
      <c r="AE116" s="91"/>
      <c r="AF116" s="92" t="str">
        <f t="shared" ca="1" si="293"/>
        <v>Ghana</v>
      </c>
      <c r="AG116" s="314">
        <f t="shared" ca="1" si="294"/>
        <v>1</v>
      </c>
      <c r="AH116" s="188">
        <v>87</v>
      </c>
      <c r="AI116" s="178"/>
      <c r="AJ116" s="145"/>
      <c r="AK116" s="145"/>
      <c r="AL116" s="601"/>
      <c r="AM116" s="149"/>
      <c r="AN116" s="149"/>
      <c r="AO116" s="149"/>
      <c r="AP116" s="149"/>
      <c r="AQ116" s="149"/>
      <c r="AR116" s="149"/>
      <c r="AS116" s="149"/>
      <c r="AT116" s="149"/>
      <c r="AU116" s="321"/>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3"/>
      <c r="AH117" s="188"/>
      <c r="AI117" s="178"/>
      <c r="AJ117" s="145"/>
      <c r="AK117" s="145"/>
      <c r="AL117" s="262"/>
      <c r="AM117" s="149"/>
      <c r="AN117" s="149"/>
      <c r="AO117" s="149"/>
      <c r="AP117" s="149"/>
      <c r="AQ117" s="149"/>
      <c r="AR117" s="149"/>
      <c r="AS117" s="149"/>
      <c r="AT117" s="149"/>
      <c r="AU117" s="321"/>
      <c r="AV117" s="177"/>
      <c r="AW117" s="149"/>
      <c r="AX117" s="149"/>
      <c r="AY117" s="150"/>
      <c r="AZ117" s="151"/>
      <c r="BF117" t="s">
        <v>657</v>
      </c>
      <c r="BG117" t="str">
        <f ca="1">+IFERROR(INDEX(Combinaciones!$P$2:$W$496,MATCH(1,Combinaciones!$B$2:$B$497,0),MATCH(WORLDCUP!BF117,Combinaciones!$P$1:$W$1,0)),"")</f>
        <v>3E</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3"/>
      <c r="AH118" s="188"/>
      <c r="AI118" s="178"/>
      <c r="AJ118" s="149"/>
      <c r="AK118" s="145"/>
      <c r="AL118" s="262"/>
      <c r="AM118" s="149"/>
      <c r="AN118" s="149"/>
      <c r="AO118" s="149"/>
      <c r="AP118" s="149"/>
      <c r="AQ118" s="149"/>
      <c r="AR118" s="149"/>
      <c r="AS118" s="149"/>
      <c r="AT118" s="149"/>
      <c r="AU118" s="321"/>
      <c r="AV118" s="177"/>
      <c r="AW118" s="149"/>
      <c r="AX118" s="149"/>
      <c r="AY118" s="150"/>
      <c r="AZ118" s="151"/>
      <c r="BF118" t="s">
        <v>660</v>
      </c>
      <c r="BG118" t="str">
        <f ca="1">+IFERROR(INDEX(Combinaciones!$P$2:$W$496,MATCH(1,Combinaciones!$B$2:$B$497,0),MATCH(WORLDCUP!BF118,Combinaciones!$P$1:$W$1,0)),"")</f>
        <v>3J</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3"/>
      <c r="AH119" s="188"/>
      <c r="AI119" s="178"/>
      <c r="AJ119" s="145"/>
      <c r="AK119" s="145"/>
      <c r="AL119" s="145"/>
      <c r="AM119" s="149"/>
      <c r="AN119" s="149"/>
      <c r="AO119" s="149"/>
      <c r="AP119" s="149"/>
      <c r="AQ119" s="149"/>
      <c r="AR119" s="149"/>
      <c r="AS119" s="149"/>
      <c r="AT119" s="149"/>
      <c r="AU119" s="321"/>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Japón</v>
      </c>
      <c r="E120" s="13">
        <v>74</v>
      </c>
      <c r="F120" s="13">
        <v>77</v>
      </c>
      <c r="G120" s="13"/>
      <c r="H120" s="13"/>
      <c r="I120" s="13"/>
      <c r="J120" s="13">
        <v>89</v>
      </c>
      <c r="K120" s="13">
        <v>46207.75</v>
      </c>
      <c r="L120" s="13" t="s">
        <v>713</v>
      </c>
      <c r="M120" s="13" t="str">
        <f t="shared" ref="M120:N127" ca="1" si="318">+INDEX($D$101:$D$147,MATCH(E120,$AH$101:$AH$147,0))</f>
        <v>Ecuador</v>
      </c>
      <c r="N120" s="13" t="str">
        <f t="shared" ca="1" si="318"/>
        <v>Francia</v>
      </c>
      <c r="O120" s="13"/>
      <c r="P120" s="13"/>
      <c r="Q120" s="13"/>
      <c r="R120" s="13"/>
      <c r="S120" s="13"/>
      <c r="T120" s="13"/>
      <c r="U120" s="13"/>
      <c r="V120" s="14"/>
      <c r="W120" s="666" t="s">
        <v>89</v>
      </c>
      <c r="X120" s="21">
        <f ca="1">Horarios!C120</f>
        <v>46207.541666666664</v>
      </c>
      <c r="Y120" s="22">
        <f ca="1">Horarios!C120</f>
        <v>46207.541666666664</v>
      </c>
      <c r="Z120" s="268">
        <f t="shared" ref="Z120:Z127" si="319">AH120</f>
        <v>90</v>
      </c>
      <c r="AA120" s="85" t="str">
        <f t="shared" ref="AA120:AA127" ca="1" si="320">+INDEX($M$101:$M$147,MATCH(AH120,$J$101:$J$147,0))</f>
        <v>Suiza</v>
      </c>
      <c r="AB120" s="86"/>
      <c r="AC120" s="93">
        <v>0</v>
      </c>
      <c r="AD120" s="93">
        <v>2</v>
      </c>
      <c r="AE120" s="86"/>
      <c r="AF120" s="88" t="str">
        <f t="shared" ref="AF120:AF127" ca="1" si="321">+INDEX($N$101:$N$147,MATCH(AH120,$J$101:$J$147,0))</f>
        <v>Japón</v>
      </c>
      <c r="AG120" s="314">
        <f t="shared" ref="AG120:AG127" ca="1" si="322">IF(D120="W"&amp;AH120,0,1)</f>
        <v>1</v>
      </c>
      <c r="AH120" s="188">
        <v>90</v>
      </c>
      <c r="AI120" s="178"/>
      <c r="AJ120" s="145"/>
      <c r="AK120" s="145"/>
      <c r="AL120" s="201"/>
      <c r="AM120" s="149"/>
      <c r="AN120" s="149"/>
      <c r="AO120" s="149"/>
      <c r="AP120" s="149"/>
      <c r="AQ120" s="149"/>
      <c r="AR120" s="149"/>
      <c r="AS120" s="149"/>
      <c r="AT120" s="149"/>
      <c r="AU120" s="321"/>
      <c r="AV120" s="177"/>
      <c r="AW120" s="149"/>
      <c r="AX120" s="149"/>
      <c r="AY120" s="150"/>
      <c r="AZ120" s="151"/>
      <c r="BF120" t="s">
        <v>673</v>
      </c>
      <c r="BG120" t="str">
        <f ca="1">+IFERROR(INDEX(Combinaciones!$P$2:$W$496,MATCH(1,Combinaciones!$B$2:$B$497,0),MATCH(WORLDCUP!BF120,Combinaciones!$P$1:$W$1,0)),"")</f>
        <v>3A</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Suiza</v>
      </c>
      <c r="N121" s="13" t="str">
        <f t="shared" ca="1" si="318"/>
        <v>Japón</v>
      </c>
      <c r="O121" s="13"/>
      <c r="P121" s="13"/>
      <c r="Q121" s="13"/>
      <c r="R121" s="13"/>
      <c r="S121" s="13"/>
      <c r="T121" s="13"/>
      <c r="U121" s="13"/>
      <c r="V121" s="14"/>
      <c r="W121" s="666"/>
      <c r="X121" s="21">
        <f ca="1">Horarios!C121</f>
        <v>46207.708333333336</v>
      </c>
      <c r="Y121" s="22">
        <f ca="1">Horarios!C121</f>
        <v>46207.708333333336</v>
      </c>
      <c r="Z121" s="268">
        <f t="shared" si="319"/>
        <v>89</v>
      </c>
      <c r="AA121" s="85" t="str">
        <f t="shared" ca="1" si="320"/>
        <v>Ecuador</v>
      </c>
      <c r="AB121" s="86">
        <v>2</v>
      </c>
      <c r="AC121" s="94">
        <v>1</v>
      </c>
      <c r="AD121" s="94">
        <v>1</v>
      </c>
      <c r="AE121" s="86">
        <v>3</v>
      </c>
      <c r="AF121" s="88" t="str">
        <f t="shared" ca="1" si="321"/>
        <v>Francia</v>
      </c>
      <c r="AG121" s="314">
        <f t="shared" ca="1" si="322"/>
        <v>1</v>
      </c>
      <c r="AH121" s="188">
        <v>89</v>
      </c>
      <c r="AI121" s="178"/>
      <c r="AJ121" s="145"/>
      <c r="AK121" s="145"/>
      <c r="AL121" s="145"/>
      <c r="AM121" s="149"/>
      <c r="AN121" s="149"/>
      <c r="AO121" s="149"/>
      <c r="AP121" s="149"/>
      <c r="AQ121" s="149"/>
      <c r="AR121" s="149"/>
      <c r="AS121" s="149"/>
      <c r="AT121" s="149"/>
      <c r="AU121" s="321"/>
      <c r="AV121" s="177"/>
      <c r="AW121" s="149"/>
      <c r="AX121" s="149"/>
      <c r="AY121" s="150"/>
      <c r="AZ121" s="151"/>
      <c r="BF121" t="s">
        <v>679</v>
      </c>
      <c r="BG121" t="str">
        <f ca="1">+IFERROR(INDEX(Combinaciones!$P$2:$W$496,MATCH(1,Combinaciones!$B$2:$B$497,0),MATCH(WORLDCUP!BF121,Combinaciones!$P$1:$W$1,0)),"")</f>
        <v>3H</v>
      </c>
    </row>
    <row r="122" spans="1:59" ht="16.05" customHeight="1">
      <c r="A122" s="13" t="s">
        <v>746</v>
      </c>
      <c r="B122" s="13" t="s">
        <v>747</v>
      </c>
      <c r="C122" s="13"/>
      <c r="D122" s="13" t="str">
        <f t="shared" ca="1" si="317"/>
        <v>Alemania</v>
      </c>
      <c r="E122" s="13">
        <v>76</v>
      </c>
      <c r="F122" s="13">
        <v>78</v>
      </c>
      <c r="G122" s="13"/>
      <c r="H122" s="13"/>
      <c r="I122" s="13"/>
      <c r="J122" s="13">
        <v>91</v>
      </c>
      <c r="K122" s="13">
        <v>46208.75</v>
      </c>
      <c r="L122" s="13" t="s">
        <v>715</v>
      </c>
      <c r="M122" s="13" t="str">
        <f t="shared" ca="1" si="318"/>
        <v>Países Bajos</v>
      </c>
      <c r="N122" s="13" t="str">
        <f t="shared" ca="1" si="318"/>
        <v>Alemania</v>
      </c>
      <c r="O122" s="13"/>
      <c r="P122" s="13"/>
      <c r="Q122" s="13"/>
      <c r="R122" s="13"/>
      <c r="S122" s="13"/>
      <c r="T122" s="13"/>
      <c r="U122" s="13"/>
      <c r="V122" s="14"/>
      <c r="W122" s="666"/>
      <c r="X122" s="21">
        <f ca="1">Horarios!C122</f>
        <v>46208.666666666664</v>
      </c>
      <c r="Y122" s="22">
        <f ca="1">Horarios!C122</f>
        <v>46208.666666666664</v>
      </c>
      <c r="Z122" s="268">
        <f t="shared" si="319"/>
        <v>91</v>
      </c>
      <c r="AA122" s="85" t="str">
        <f t="shared" ca="1" si="320"/>
        <v>Países Bajos</v>
      </c>
      <c r="AB122" s="86"/>
      <c r="AC122" s="94">
        <v>0</v>
      </c>
      <c r="AD122" s="94">
        <v>1</v>
      </c>
      <c r="AE122" s="86"/>
      <c r="AF122" s="88" t="str">
        <f t="shared" ca="1" si="321"/>
        <v>Alemania</v>
      </c>
      <c r="AG122" s="314">
        <f t="shared" ca="1" si="322"/>
        <v>1</v>
      </c>
      <c r="AH122" s="188">
        <v>91</v>
      </c>
      <c r="AI122" s="178"/>
      <c r="AJ122" s="145"/>
      <c r="AK122" s="145"/>
      <c r="AL122" s="145"/>
      <c r="AM122" s="149"/>
      <c r="AN122" s="149"/>
      <c r="AO122" s="149"/>
      <c r="AP122" s="149"/>
      <c r="AQ122" s="149"/>
      <c r="AR122" s="149"/>
      <c r="AS122" s="149"/>
      <c r="AT122" s="149"/>
      <c r="AU122" s="321"/>
      <c r="AV122" s="177"/>
      <c r="AW122" s="149"/>
      <c r="AX122" s="149"/>
      <c r="AY122" s="150"/>
      <c r="AZ122" s="151"/>
      <c r="BF122" t="s">
        <v>685</v>
      </c>
      <c r="BG122" t="str">
        <f ca="1">+IFERROR(INDEX(Combinaciones!$P$2:$W$496,MATCH(1,Combinaciones!$B$2:$B$497,0),MATCH(WORLDCUP!BF122,Combinaciones!$P$1:$W$1,0)),"")</f>
        <v>3G</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Costa de Marfil</v>
      </c>
      <c r="N123" s="13" t="str">
        <f t="shared" ca="1" si="318"/>
        <v>Inglaterra</v>
      </c>
      <c r="O123" s="13"/>
      <c r="P123" s="13"/>
      <c r="Q123" s="13"/>
      <c r="R123" s="13"/>
      <c r="S123" s="13"/>
      <c r="T123" s="13"/>
      <c r="U123" s="13"/>
      <c r="V123" s="14"/>
      <c r="W123" s="666"/>
      <c r="X123" s="21">
        <f ca="1">Horarios!C123</f>
        <v>46208.833333333336</v>
      </c>
      <c r="Y123" s="22">
        <f ca="1">Horarios!C123</f>
        <v>46208.833333333336</v>
      </c>
      <c r="Z123" s="268">
        <f t="shared" si="319"/>
        <v>92</v>
      </c>
      <c r="AA123" s="85" t="str">
        <f t="shared" ca="1" si="320"/>
        <v>Costa de Marfil</v>
      </c>
      <c r="AB123" s="86"/>
      <c r="AC123" s="94">
        <v>0</v>
      </c>
      <c r="AD123" s="94">
        <v>1</v>
      </c>
      <c r="AE123" s="86"/>
      <c r="AF123" s="88" t="str">
        <f t="shared" ca="1" si="321"/>
        <v>Inglaterra</v>
      </c>
      <c r="AG123" s="314">
        <f t="shared" ca="1" si="322"/>
        <v>1</v>
      </c>
      <c r="AH123" s="188">
        <v>92</v>
      </c>
      <c r="AI123" s="178"/>
      <c r="AJ123" s="145"/>
      <c r="AK123" s="145"/>
      <c r="AL123" s="145"/>
      <c r="AM123" s="149"/>
      <c r="AN123" s="149"/>
      <c r="AO123" s="149"/>
      <c r="AP123" s="149"/>
      <c r="AQ123" s="149"/>
      <c r="AR123" s="149"/>
      <c r="AS123" s="149"/>
      <c r="AT123" s="149"/>
      <c r="AU123" s="321"/>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Croacia</v>
      </c>
      <c r="N124" s="13" t="str">
        <f t="shared" ca="1" si="318"/>
        <v>España</v>
      </c>
      <c r="O124" s="13"/>
      <c r="P124" s="13"/>
      <c r="Q124" s="13"/>
      <c r="R124" s="13"/>
      <c r="S124" s="13"/>
      <c r="T124" s="13"/>
      <c r="U124" s="13"/>
      <c r="V124" s="14"/>
      <c r="W124" s="666"/>
      <c r="X124" s="21">
        <f ca="1">Horarios!C124</f>
        <v>46209.625</v>
      </c>
      <c r="Y124" s="22">
        <f ca="1">Horarios!C124</f>
        <v>46209.625</v>
      </c>
      <c r="Z124" s="268">
        <f t="shared" si="319"/>
        <v>93</v>
      </c>
      <c r="AA124" s="85" t="str">
        <f t="shared" ca="1" si="320"/>
        <v>Croacia</v>
      </c>
      <c r="AB124" s="95"/>
      <c r="AC124" s="94">
        <v>0</v>
      </c>
      <c r="AD124" s="94">
        <v>2</v>
      </c>
      <c r="AE124" s="87"/>
      <c r="AF124" s="88" t="str">
        <f t="shared" ca="1" si="321"/>
        <v>España</v>
      </c>
      <c r="AG124" s="314">
        <f t="shared" ca="1" si="322"/>
        <v>1</v>
      </c>
      <c r="AH124" s="188">
        <v>93</v>
      </c>
      <c r="AI124" s="178"/>
      <c r="AJ124" s="145"/>
      <c r="AK124" s="145"/>
      <c r="AL124" s="145"/>
      <c r="AM124" s="149"/>
      <c r="AN124" s="149"/>
      <c r="AO124" s="149"/>
      <c r="AP124" s="149"/>
      <c r="AQ124" s="149"/>
      <c r="AR124" s="149"/>
      <c r="AS124" s="149"/>
      <c r="AT124" s="149"/>
      <c r="AU124" s="321"/>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Turquía</v>
      </c>
      <c r="E125" s="13">
        <v>81</v>
      </c>
      <c r="F125" s="13">
        <v>82</v>
      </c>
      <c r="G125" s="13"/>
      <c r="H125" s="13"/>
      <c r="I125" s="13"/>
      <c r="J125" s="13">
        <v>94</v>
      </c>
      <c r="K125" s="13">
        <v>46209.875</v>
      </c>
      <c r="L125" s="13" t="s">
        <v>718</v>
      </c>
      <c r="M125" s="13" t="str">
        <f t="shared" ca="1" si="318"/>
        <v>Turquía</v>
      </c>
      <c r="N125" s="13" t="str">
        <f t="shared" ca="1" si="318"/>
        <v>Egipto</v>
      </c>
      <c r="O125" s="13"/>
      <c r="P125" s="13"/>
      <c r="Q125" s="13"/>
      <c r="R125" s="13"/>
      <c r="S125" s="13"/>
      <c r="T125" s="13"/>
      <c r="U125" s="13"/>
      <c r="V125" s="14"/>
      <c r="W125" s="666"/>
      <c r="X125" s="21">
        <f ca="1">Horarios!C125</f>
        <v>46209.833333333336</v>
      </c>
      <c r="Y125" s="22">
        <f ca="1">Horarios!C125</f>
        <v>46209.833333333336</v>
      </c>
      <c r="Z125" s="268">
        <f t="shared" si="319"/>
        <v>94</v>
      </c>
      <c r="AA125" s="85" t="str">
        <f t="shared" ca="1" si="320"/>
        <v>Turquía</v>
      </c>
      <c r="AB125" s="86"/>
      <c r="AC125" s="96">
        <v>1</v>
      </c>
      <c r="AD125" s="96">
        <v>0</v>
      </c>
      <c r="AE125" s="86"/>
      <c r="AF125" s="88" t="str">
        <f t="shared" ca="1" si="321"/>
        <v>Egipto</v>
      </c>
      <c r="AG125" s="314">
        <f t="shared" ca="1" si="322"/>
        <v>1</v>
      </c>
      <c r="AH125" s="188">
        <v>94</v>
      </c>
      <c r="AI125" s="178"/>
      <c r="AJ125" s="145"/>
      <c r="AK125" s="145"/>
      <c r="AL125" s="145"/>
      <c r="AM125" s="149"/>
      <c r="AN125" s="149"/>
      <c r="AO125" s="149"/>
      <c r="AP125" s="149"/>
      <c r="AQ125" s="149"/>
      <c r="AR125" s="149"/>
      <c r="AS125" s="149"/>
      <c r="AT125" s="149"/>
      <c r="AU125" s="321"/>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666"/>
      <c r="X126" s="21">
        <f ca="1">Horarios!C126</f>
        <v>46210.5</v>
      </c>
      <c r="Y126" s="22">
        <f ca="1">Horarios!C126</f>
        <v>46210.5</v>
      </c>
      <c r="Z126" s="268">
        <f t="shared" si="319"/>
        <v>95</v>
      </c>
      <c r="AA126" s="85" t="str">
        <f t="shared" ca="1" si="320"/>
        <v>Argentina</v>
      </c>
      <c r="AB126" s="86"/>
      <c r="AC126" s="96">
        <v>2</v>
      </c>
      <c r="AD126" s="96">
        <v>0</v>
      </c>
      <c r="AE126" s="86"/>
      <c r="AF126" s="88" t="str">
        <f t="shared" ca="1" si="321"/>
        <v>Paraguay</v>
      </c>
      <c r="AG126" s="314">
        <f t="shared" ca="1" si="322"/>
        <v>1</v>
      </c>
      <c r="AH126" s="188">
        <v>95</v>
      </c>
      <c r="AI126" s="178"/>
      <c r="AJ126" s="145"/>
      <c r="AK126" s="145"/>
      <c r="AL126" s="145"/>
      <c r="AM126" s="149"/>
      <c r="AN126" s="149"/>
      <c r="AO126" s="149"/>
      <c r="AP126" s="149"/>
      <c r="AQ126" s="149"/>
      <c r="AR126" s="149"/>
      <c r="AS126" s="149"/>
      <c r="AT126" s="149"/>
      <c r="AU126" s="321"/>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Austria</v>
      </c>
      <c r="N127" s="13" t="str">
        <f t="shared" ca="1" si="318"/>
        <v>Portugal</v>
      </c>
      <c r="O127" s="13"/>
      <c r="P127" s="13"/>
      <c r="Q127" s="13"/>
      <c r="R127" s="13"/>
      <c r="S127" s="13"/>
      <c r="T127" s="13"/>
      <c r="U127" s="13"/>
      <c r="V127" s="14"/>
      <c r="W127" s="667"/>
      <c r="X127" s="25">
        <f ca="1">Horarios!C127</f>
        <v>46210.666666666664</v>
      </c>
      <c r="Y127" s="26">
        <f ca="1">Horarios!C127</f>
        <v>46210.666666666664</v>
      </c>
      <c r="Z127" s="269">
        <f t="shared" si="319"/>
        <v>96</v>
      </c>
      <c r="AA127" s="90" t="str">
        <f t="shared" ca="1" si="320"/>
        <v>Austria</v>
      </c>
      <c r="AB127" s="91"/>
      <c r="AC127" s="97">
        <v>0</v>
      </c>
      <c r="AD127" s="97">
        <v>2</v>
      </c>
      <c r="AE127" s="91"/>
      <c r="AF127" s="92" t="str">
        <f t="shared" ca="1" si="321"/>
        <v>Portugal</v>
      </c>
      <c r="AG127" s="314">
        <f t="shared" ca="1" si="322"/>
        <v>1</v>
      </c>
      <c r="AH127" s="188">
        <v>96</v>
      </c>
      <c r="AI127" s="178"/>
      <c r="AJ127" s="145"/>
      <c r="AK127" s="145"/>
      <c r="AL127" s="145"/>
      <c r="AM127" s="149"/>
      <c r="AN127" s="149"/>
      <c r="AO127" s="149"/>
      <c r="AP127" s="149"/>
      <c r="AQ127" s="149"/>
      <c r="AR127" s="149"/>
      <c r="AS127" s="149"/>
      <c r="AT127" s="149"/>
      <c r="AU127" s="321"/>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3"/>
      <c r="AH128" s="188"/>
      <c r="AI128" s="178"/>
      <c r="AJ128" s="145"/>
      <c r="AK128" s="145"/>
      <c r="AL128" s="145"/>
      <c r="AM128" s="149"/>
      <c r="AN128" s="149"/>
      <c r="AO128" s="149"/>
      <c r="AP128" s="149"/>
      <c r="AQ128" s="149"/>
      <c r="AR128" s="149"/>
      <c r="AS128" s="149"/>
      <c r="AT128" s="149"/>
      <c r="AU128" s="321"/>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1"/>
      <c r="AH129" s="177"/>
      <c r="AI129" s="178"/>
      <c r="AJ129" s="145"/>
      <c r="AK129" s="145"/>
      <c r="AL129" s="145"/>
      <c r="AM129" s="149"/>
      <c r="AN129" s="149"/>
      <c r="AO129" s="149"/>
      <c r="AP129" s="149"/>
      <c r="AQ129" s="149"/>
      <c r="AR129" s="149"/>
      <c r="AS129" s="149"/>
      <c r="AT129" s="149"/>
      <c r="AU129" s="321"/>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1"/>
      <c r="AH130" s="177"/>
      <c r="AI130" s="178"/>
      <c r="AJ130" s="145"/>
      <c r="AK130" s="145"/>
      <c r="AL130" s="145"/>
      <c r="AM130" s="149"/>
      <c r="AN130" s="149"/>
      <c r="AO130" s="149"/>
      <c r="AP130" s="149"/>
      <c r="AQ130" s="149"/>
      <c r="AR130" s="149"/>
      <c r="AS130" s="149"/>
      <c r="AT130" s="149"/>
      <c r="AU130" s="321"/>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Japón</v>
      </c>
      <c r="O131" s="13"/>
      <c r="P131" s="13"/>
      <c r="Q131" s="13"/>
      <c r="R131" s="13"/>
      <c r="S131" s="13"/>
      <c r="T131" s="13"/>
      <c r="U131" s="13"/>
      <c r="V131" s="14"/>
      <c r="W131" s="668" t="s">
        <v>36</v>
      </c>
      <c r="X131" s="21">
        <f ca="1">Horarios!C131</f>
        <v>46212.666666666664</v>
      </c>
      <c r="Y131" s="22">
        <f ca="1">Horarios!C131</f>
        <v>46212.666666666664</v>
      </c>
      <c r="Z131" s="270">
        <f t="shared" ref="Z131:Z134" si="324">AH131</f>
        <v>97</v>
      </c>
      <c r="AA131" s="85" t="str">
        <f t="shared" ref="AA131:AA134" ca="1" si="325">+INDEX($M$101:$M$147,MATCH(AH131,$J$101:$J$147,0))</f>
        <v>Francia</v>
      </c>
      <c r="AB131" s="95"/>
      <c r="AC131" s="93">
        <v>4</v>
      </c>
      <c r="AD131" s="93">
        <v>3</v>
      </c>
      <c r="AE131" s="87"/>
      <c r="AF131" s="113" t="str">
        <f ca="1">+INDEX($N$101:$N$147,MATCH(AH131,$J$101:$J$147,0))</f>
        <v>Japón</v>
      </c>
      <c r="AG131" s="314">
        <f ca="1">IF(D131="W"&amp;AH131,0,1)</f>
        <v>1</v>
      </c>
      <c r="AH131" s="189">
        <v>97</v>
      </c>
      <c r="AI131" s="178"/>
      <c r="AJ131" s="145"/>
      <c r="AK131" s="145"/>
      <c r="AL131" s="145"/>
      <c r="AM131" s="149"/>
      <c r="AN131" s="149"/>
      <c r="AO131" s="149"/>
      <c r="AP131" s="149"/>
      <c r="AQ131" s="149"/>
      <c r="AR131" s="149"/>
      <c r="AS131" s="149"/>
      <c r="AT131" s="149"/>
      <c r="AU131" s="321"/>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Turquía</v>
      </c>
      <c r="O132" s="13"/>
      <c r="P132" s="13"/>
      <c r="Q132" s="13"/>
      <c r="R132" s="13"/>
      <c r="S132" s="13"/>
      <c r="T132" s="13"/>
      <c r="U132" s="13"/>
      <c r="V132" s="14"/>
      <c r="W132" s="668"/>
      <c r="X132" s="21">
        <f ca="1">Horarios!C132</f>
        <v>46213.625</v>
      </c>
      <c r="Y132" s="22">
        <f ca="1">Horarios!C132</f>
        <v>46213.625</v>
      </c>
      <c r="Z132" s="270">
        <f t="shared" si="324"/>
        <v>98</v>
      </c>
      <c r="AA132" s="85" t="str">
        <f t="shared" ca="1" si="325"/>
        <v>España</v>
      </c>
      <c r="AB132" s="86"/>
      <c r="AC132" s="96">
        <v>3</v>
      </c>
      <c r="AD132" s="96">
        <v>0</v>
      </c>
      <c r="AE132" s="86"/>
      <c r="AF132" s="113" t="str">
        <f ca="1">+INDEX($N$101:$N$147,MATCH(AH132,$J$101:$J$147,0))</f>
        <v>Turquía</v>
      </c>
      <c r="AG132" s="314">
        <f ca="1">IF(D132="W"&amp;AH132,0,1)</f>
        <v>1</v>
      </c>
      <c r="AH132" s="189">
        <v>98</v>
      </c>
      <c r="AI132" s="178"/>
      <c r="AJ132" s="145"/>
      <c r="AK132" s="145"/>
      <c r="AL132" s="145"/>
      <c r="AM132" s="149"/>
      <c r="AN132" s="149"/>
      <c r="AO132" s="149"/>
      <c r="AP132" s="149"/>
      <c r="AQ132" s="149"/>
      <c r="AR132" s="149"/>
      <c r="AS132" s="149"/>
      <c r="AT132" s="149"/>
      <c r="AU132" s="321"/>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Alemania</v>
      </c>
      <c r="E133" s="13">
        <v>91</v>
      </c>
      <c r="F133" s="13">
        <v>92</v>
      </c>
      <c r="G133" s="13"/>
      <c r="H133" s="13"/>
      <c r="I133" s="13"/>
      <c r="J133" s="13">
        <v>99</v>
      </c>
      <c r="K133" s="13">
        <v>46214.75</v>
      </c>
      <c r="L133" s="13" t="s">
        <v>723</v>
      </c>
      <c r="M133" s="13" t="str">
        <f t="shared" ca="1" si="323"/>
        <v>Alemania</v>
      </c>
      <c r="N133" s="13" t="str">
        <f t="shared" ca="1" si="323"/>
        <v>Inglaterra</v>
      </c>
      <c r="O133" s="13"/>
      <c r="P133" s="13"/>
      <c r="Q133" s="13"/>
      <c r="R133" s="13"/>
      <c r="S133" s="13"/>
      <c r="T133" s="13"/>
      <c r="U133" s="13"/>
      <c r="V133" s="14"/>
      <c r="W133" s="668"/>
      <c r="X133" s="21">
        <f ca="1">Horarios!C133</f>
        <v>46214.708333333336</v>
      </c>
      <c r="Y133" s="22">
        <f ca="1">Horarios!C133</f>
        <v>46214.708333333336</v>
      </c>
      <c r="Z133" s="270">
        <f t="shared" si="324"/>
        <v>99</v>
      </c>
      <c r="AA133" s="85" t="str">
        <f t="shared" ca="1" si="325"/>
        <v>Alemania</v>
      </c>
      <c r="AB133" s="86"/>
      <c r="AC133" s="96">
        <v>2</v>
      </c>
      <c r="AD133" s="96">
        <v>1</v>
      </c>
      <c r="AE133" s="86"/>
      <c r="AF133" s="113" t="str">
        <f ca="1">+INDEX($N$101:$N$147,MATCH(AH133,$J$101:$J$147,0))</f>
        <v>Inglaterra</v>
      </c>
      <c r="AG133" s="314">
        <f ca="1">IF(D133="W"&amp;AH133,0,1)</f>
        <v>1</v>
      </c>
      <c r="AH133" s="189">
        <v>99</v>
      </c>
      <c r="AI133" s="178"/>
      <c r="AJ133" s="145"/>
      <c r="AK133" s="145"/>
      <c r="AL133" s="145"/>
      <c r="AM133" s="149"/>
      <c r="AN133" s="149"/>
      <c r="AO133" s="149"/>
      <c r="AP133" s="149"/>
      <c r="AQ133" s="149"/>
      <c r="AR133" s="149"/>
      <c r="AS133" s="149"/>
      <c r="AT133" s="149"/>
      <c r="AU133" s="321"/>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69"/>
      <c r="X134" s="25">
        <f ca="1">Horarios!C134</f>
        <v>46214.875</v>
      </c>
      <c r="Y134" s="26">
        <f ca="1">Horarios!C134</f>
        <v>46214.875</v>
      </c>
      <c r="Z134" s="271">
        <f t="shared" si="324"/>
        <v>100</v>
      </c>
      <c r="AA134" s="90" t="str">
        <f t="shared" ca="1" si="325"/>
        <v>Argentina</v>
      </c>
      <c r="AB134" s="91"/>
      <c r="AC134" s="97">
        <v>1</v>
      </c>
      <c r="AD134" s="97">
        <v>2</v>
      </c>
      <c r="AE134" s="91"/>
      <c r="AF134" s="114" t="str">
        <f ca="1">+INDEX($N$101:$N$147,MATCH(AH134,$J$101:$J$147,0))</f>
        <v>Portugal</v>
      </c>
      <c r="AG134" s="314">
        <f ca="1">IF(D134="W"&amp;AH134,0,1)</f>
        <v>1</v>
      </c>
      <c r="AH134" s="189">
        <v>100</v>
      </c>
      <c r="AI134" s="178"/>
      <c r="AJ134" s="145"/>
      <c r="AK134" s="145"/>
      <c r="AL134" s="145"/>
      <c r="AM134" s="149"/>
      <c r="AN134" s="149"/>
      <c r="AO134" s="149"/>
      <c r="AP134" s="149"/>
      <c r="AQ134" s="149"/>
      <c r="AR134" s="149"/>
      <c r="AS134" s="149"/>
      <c r="AT134" s="149"/>
      <c r="AU134" s="321"/>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5"/>
      <c r="AH135" s="190"/>
      <c r="AI135" s="178"/>
      <c r="AJ135" s="145"/>
      <c r="AK135" s="145"/>
      <c r="AL135" s="145"/>
      <c r="AM135" s="149"/>
      <c r="AN135" s="149"/>
      <c r="AO135" s="149"/>
      <c r="AP135" s="149"/>
      <c r="AQ135" s="149"/>
      <c r="AR135" s="149"/>
      <c r="AS135" s="149"/>
      <c r="AT135" s="149"/>
      <c r="AU135" s="321"/>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5"/>
      <c r="AH136" s="190"/>
      <c r="AI136" s="178"/>
      <c r="AJ136" s="145"/>
      <c r="AK136" s="145"/>
      <c r="AL136" s="145"/>
      <c r="AM136" s="149"/>
      <c r="AN136" s="149"/>
      <c r="AO136" s="149"/>
      <c r="AP136" s="149"/>
      <c r="AQ136" s="149"/>
      <c r="AR136" s="149"/>
      <c r="AS136" s="149"/>
      <c r="AT136" s="149"/>
      <c r="AU136" s="321"/>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5"/>
      <c r="AH137" s="190"/>
      <c r="AI137" s="178"/>
      <c r="AJ137" s="145"/>
      <c r="AK137" s="145"/>
      <c r="AL137" s="145"/>
      <c r="AM137" s="149"/>
      <c r="AN137" s="149"/>
      <c r="AO137" s="149"/>
      <c r="AP137" s="149"/>
      <c r="AQ137" s="149"/>
      <c r="AR137" s="149"/>
      <c r="AS137" s="149"/>
      <c r="AT137" s="149"/>
      <c r="AU137" s="321"/>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670" t="s">
        <v>37</v>
      </c>
      <c r="X138" s="21">
        <f ca="1">Horarios!C138</f>
        <v>46217.625</v>
      </c>
      <c r="Y138" s="22">
        <f ca="1">Horarios!C138</f>
        <v>46217.625</v>
      </c>
      <c r="Z138" s="270">
        <f t="shared" ref="Z138:Z139" si="326">AH138</f>
        <v>101</v>
      </c>
      <c r="AA138" s="85" t="str">
        <f t="shared" ref="AA138:AA139" ca="1" si="327">+INDEX($M$101:$M$147,MATCH(AH138,$J$101:$J$147,0))</f>
        <v>Francia</v>
      </c>
      <c r="AB138" s="86">
        <v>3</v>
      </c>
      <c r="AC138" s="98">
        <v>1</v>
      </c>
      <c r="AD138" s="98">
        <v>1</v>
      </c>
      <c r="AE138" s="86">
        <v>4</v>
      </c>
      <c r="AF138" s="113" t="str">
        <f ca="1">+INDEX($N$101:$N$147,MATCH(AH138,$J$101:$J$147,0))</f>
        <v>España</v>
      </c>
      <c r="AG138" s="314">
        <f ca="1">IF(D138="W"&amp;AH138,0,1)</f>
        <v>1</v>
      </c>
      <c r="AH138" s="189">
        <v>101</v>
      </c>
      <c r="AI138" s="178"/>
      <c r="AJ138" s="145"/>
      <c r="AK138" s="145"/>
      <c r="AL138" s="145"/>
      <c r="AM138" s="149"/>
      <c r="AN138" s="149"/>
      <c r="AO138" s="149"/>
      <c r="AP138" s="149"/>
      <c r="AQ138" s="149"/>
      <c r="AR138" s="149"/>
      <c r="AS138" s="149"/>
      <c r="AT138" s="149"/>
      <c r="AU138" s="321"/>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Alemania</v>
      </c>
      <c r="I139" s="13"/>
      <c r="J139" s="13">
        <v>102</v>
      </c>
      <c r="K139" s="13">
        <v>46218.875</v>
      </c>
      <c r="L139" s="13" t="s">
        <v>726</v>
      </c>
      <c r="M139" s="13" t="str">
        <f ca="1">+INDEX($D$101:$D$147,MATCH(E139,$AH$101:$AH$147,0))</f>
        <v>Alemania</v>
      </c>
      <c r="N139" s="13" t="str">
        <f ca="1">+INDEX($D$101:$D$147,MATCH(F139,$AH$101:$AH$147,0))</f>
        <v>Portugal</v>
      </c>
      <c r="O139" s="13"/>
      <c r="P139" s="13"/>
      <c r="Q139" s="13"/>
      <c r="R139" s="13"/>
      <c r="S139" s="13"/>
      <c r="T139" s="13"/>
      <c r="U139" s="13"/>
      <c r="V139" s="14"/>
      <c r="W139" s="671"/>
      <c r="X139" s="120">
        <f ca="1">Horarios!C139</f>
        <v>46218.625</v>
      </c>
      <c r="Y139" s="121">
        <f ca="1">Horarios!C139</f>
        <v>46218.625</v>
      </c>
      <c r="Z139" s="272">
        <f t="shared" si="326"/>
        <v>102</v>
      </c>
      <c r="AA139" s="136" t="str">
        <f t="shared" ca="1" si="327"/>
        <v>Alemania</v>
      </c>
      <c r="AB139" s="137"/>
      <c r="AC139" s="97">
        <v>1</v>
      </c>
      <c r="AD139" s="97">
        <v>2</v>
      </c>
      <c r="AE139" s="137"/>
      <c r="AF139" s="138" t="str">
        <f ca="1">+INDEX($N$101:$N$147,MATCH(AH139,$J$101:$J$147,0))</f>
        <v>Portugal</v>
      </c>
      <c r="AG139" s="314">
        <f ca="1">IF(D139="W"&amp;AH139,0,1)</f>
        <v>1</v>
      </c>
      <c r="AH139" s="189">
        <v>102</v>
      </c>
      <c r="AI139" s="178"/>
      <c r="AJ139" s="145"/>
      <c r="AK139" s="145"/>
      <c r="AL139" s="145"/>
      <c r="AM139" s="149"/>
      <c r="AN139" s="149"/>
      <c r="AO139" s="149"/>
      <c r="AP139" s="149"/>
      <c r="AQ139" s="149"/>
      <c r="AR139" s="149"/>
      <c r="AS139" s="149"/>
      <c r="AT139" s="149"/>
      <c r="AU139" s="321"/>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5"/>
      <c r="AH140" s="190"/>
      <c r="AI140" s="178"/>
      <c r="AJ140" s="145"/>
      <c r="AK140" s="145"/>
      <c r="AL140" s="145"/>
      <c r="AM140" s="149"/>
      <c r="AN140" s="149"/>
      <c r="AO140" s="149"/>
      <c r="AP140" s="149"/>
      <c r="AQ140" s="149"/>
      <c r="AR140" s="149"/>
      <c r="AS140" s="149"/>
      <c r="AT140" s="149"/>
      <c r="AU140" s="321"/>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5"/>
      <c r="AH141" s="190"/>
      <c r="AI141" s="178"/>
      <c r="AJ141" s="145"/>
      <c r="AK141" s="145"/>
      <c r="AL141" s="145"/>
      <c r="AM141" s="149"/>
      <c r="AN141" s="149"/>
      <c r="AO141" s="149"/>
      <c r="AP141" s="149"/>
      <c r="AR141" s="149"/>
      <c r="AS141" s="149"/>
      <c r="AT141" s="149"/>
      <c r="AU141" s="321"/>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5"/>
      <c r="AH142" s="190"/>
      <c r="AI142" s="178"/>
      <c r="AJ142" s="145"/>
      <c r="AK142" s="145"/>
      <c r="AL142" s="145"/>
      <c r="AM142" s="149"/>
      <c r="AN142" s="149"/>
      <c r="AO142" s="149"/>
      <c r="AP142" s="149"/>
      <c r="AQ142" s="149"/>
      <c r="AR142" s="149"/>
      <c r="AS142" s="149"/>
      <c r="AT142" s="149"/>
      <c r="AU142" s="321"/>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3">
        <f>AH143</f>
        <v>103</v>
      </c>
      <c r="AA143" s="101" t="str">
        <f ca="1">IF(AND(OR(AC138="",AD138="")),"L101",IF(AC138&gt;AD138,AF138,IF(AC138&lt;AD138,AA138,IF(AND(AC138=AD138,AB138=AE138),"L101",IF(AND(AC138=AD138,OR(AB138="",AE138="")),"L101",IF(AND(AC138=AD138,AB138&gt;AE138),AF138,AA138))))))</f>
        <v>Francia</v>
      </c>
      <c r="AB143" s="208"/>
      <c r="AC143" s="102">
        <v>2</v>
      </c>
      <c r="AD143" s="102">
        <v>0</v>
      </c>
      <c r="AE143" s="208"/>
      <c r="AF143" s="103" t="str">
        <f ca="1">IF(AND(OR(AC139="",AD139="")),"L102",IF(AC139&gt;AD139,AF139,IF(AC139&lt;AD139,AA139,IF(AND(AC139=AD139,AB139=AE139),"L102",IF(AND(AC139=AD139,OR(AB139="",AE139="")),"L102",IF(AND(AC139=AD139,AB139&gt;AE139),AF139,AA139))))))</f>
        <v>Alemania</v>
      </c>
      <c r="AG143" s="314">
        <f ca="1">IF(D143="W"&amp;AH143,0,1)</f>
        <v>1</v>
      </c>
      <c r="AH143" s="189">
        <v>103</v>
      </c>
      <c r="AI143" s="178"/>
      <c r="AJ143" s="145"/>
      <c r="AK143" s="145"/>
      <c r="AL143" s="145"/>
      <c r="AM143" s="149"/>
      <c r="AN143" s="149"/>
      <c r="AO143" s="149"/>
      <c r="AP143" s="149"/>
      <c r="AQ143" s="149"/>
      <c r="AR143" s="149"/>
      <c r="AS143" s="149"/>
      <c r="AT143" s="149"/>
      <c r="AU143" s="321"/>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5"/>
      <c r="AH144" s="189"/>
      <c r="AI144" s="178"/>
      <c r="AJ144" s="145"/>
      <c r="AK144" s="145"/>
      <c r="AL144" s="145"/>
      <c r="AM144" s="149"/>
      <c r="AN144" s="149"/>
      <c r="AO144" s="149"/>
      <c r="AP144" s="149"/>
      <c r="AQ144" s="149"/>
      <c r="AR144" s="149"/>
      <c r="AS144" s="149"/>
      <c r="AT144" s="149"/>
      <c r="AU144" s="321"/>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5"/>
      <c r="AH145" s="189"/>
      <c r="AI145" s="178"/>
      <c r="AJ145" s="145"/>
      <c r="AK145" s="145"/>
      <c r="AL145" s="145"/>
      <c r="AM145" s="149"/>
      <c r="AN145" s="149"/>
      <c r="AO145" s="149"/>
      <c r="AP145" s="149"/>
      <c r="AQ145" s="149"/>
      <c r="AR145" s="149"/>
      <c r="AS145" s="149"/>
      <c r="AT145" s="149"/>
      <c r="AU145" s="321"/>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5"/>
      <c r="AH146" s="189"/>
      <c r="AI146" s="175"/>
      <c r="AJ146" s="142"/>
      <c r="AK146" s="142"/>
      <c r="AL146" s="145"/>
      <c r="AM146" s="149"/>
      <c r="AN146" s="149"/>
      <c r="AO146" s="149"/>
      <c r="AP146" s="149"/>
      <c r="AQ146" s="149"/>
      <c r="AR146" s="149"/>
      <c r="AS146" s="149"/>
      <c r="AT146" s="149"/>
      <c r="AU146" s="321"/>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Portugal</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3">
        <f>AH147</f>
        <v>104</v>
      </c>
      <c r="AA147" s="101" t="str">
        <f ca="1">IF(AND(OR(AC138="",AD138="")),"W"&amp;AH138,IF(AC138&gt;AD138,AA138,IF(AC138&lt;AD138,AF138,IF(AND(AC138=AD138,AB138=AE138),"W"&amp;AH138,IF(AND(AC138=AD138,OR(AB138="",AE138="")),"W"&amp;AH138,IF(AND(AC138=AD138,AB138&gt;AE138),AA138,AF138))))))</f>
        <v>España</v>
      </c>
      <c r="AB147" s="208"/>
      <c r="AC147" s="102">
        <v>3</v>
      </c>
      <c r="AD147" s="102">
        <v>2</v>
      </c>
      <c r="AE147" s="208"/>
      <c r="AF147" s="103" t="str">
        <f ca="1">IF(AND(OR(AC139="",AD139="")),"W"&amp;AH139,IF(AC139&gt;AD139,AA139,IF(AC139&lt;AD139,AF139,IF(AND(AC139=AD139,AB139=AE139),"W"&amp;AH139,IF(AND(AC139=AD139,OR(AB139="",AE139="")),"W"&amp;AH139,IF(AND(AC139=AD139,AB139&gt;AE139),AA139,AF139))))))</f>
        <v>Portugal</v>
      </c>
      <c r="AG147" s="314">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5"/>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1"/>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6"/>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1"/>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4">
        <f ca="1">IF(AA150="WF",0,1)</f>
        <v>1</v>
      </c>
      <c r="AH150" s="180"/>
      <c r="AI150" s="180"/>
      <c r="AJ150" s="142"/>
      <c r="AK150" s="142"/>
      <c r="AL150" s="142"/>
      <c r="AM150" s="142"/>
      <c r="AN150" s="142"/>
      <c r="AO150" s="142"/>
      <c r="AP150" s="142"/>
      <c r="AQ150" s="142"/>
      <c r="AR150" s="142"/>
      <c r="AS150" s="142"/>
      <c r="AT150" s="142"/>
      <c r="AU150" s="319"/>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Portugal</v>
      </c>
      <c r="AB151" s="108"/>
      <c r="AC151" s="108"/>
      <c r="AD151" s="108"/>
      <c r="AE151" s="108"/>
      <c r="AF151" s="104"/>
      <c r="AG151" s="314">
        <f ca="1">IF(AA151="LF",0,1)</f>
        <v>1</v>
      </c>
      <c r="AH151" s="180"/>
      <c r="AI151" s="180"/>
      <c r="AJ151" s="679" t="str">
        <f ca="1">IF(SUM(COUNTIF(AG4:AG97,0),COUNTIF(AG101:AG160,0)&gt;0),AL148,AL149)</f>
        <v>PORRA COMPLETA:</v>
      </c>
      <c r="AK151" s="680"/>
      <c r="AL151" s="680"/>
      <c r="AM151" s="680"/>
      <c r="AN151" s="680"/>
      <c r="AO151" s="680"/>
      <c r="AP151" s="680"/>
      <c r="AQ151" s="680"/>
      <c r="AR151" s="680"/>
      <c r="AS151" s="680"/>
      <c r="AT151" s="680"/>
      <c r="AU151" s="681"/>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4">
        <f ca="1">IF(AA152="W34",0,1)</f>
        <v>1</v>
      </c>
      <c r="AH152" s="180"/>
      <c r="AI152" s="180"/>
      <c r="AJ152" s="682"/>
      <c r="AK152" s="683"/>
      <c r="AL152" s="683"/>
      <c r="AM152" s="683"/>
      <c r="AN152" s="683"/>
      <c r="AO152" s="683"/>
      <c r="AP152" s="683"/>
      <c r="AQ152" s="683"/>
      <c r="AR152" s="683"/>
      <c r="AS152" s="683"/>
      <c r="AT152" s="683"/>
      <c r="AU152" s="684"/>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2"/>
      <c r="AH153" s="180"/>
      <c r="AI153" s="180"/>
      <c r="AJ153" s="682"/>
      <c r="AK153" s="683"/>
      <c r="AL153" s="683"/>
      <c r="AM153" s="683"/>
      <c r="AN153" s="683"/>
      <c r="AO153" s="683"/>
      <c r="AP153" s="683"/>
      <c r="AQ153" s="683"/>
      <c r="AR153" s="683"/>
      <c r="AS153" s="683"/>
      <c r="AT153" s="683"/>
      <c r="AU153" s="684"/>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5"/>
      <c r="AC154" s="385"/>
      <c r="AD154" s="385"/>
      <c r="AE154" s="385"/>
      <c r="AF154" s="386"/>
      <c r="AG154" s="314">
        <f>IF(AA154=$AH$154,0,IF(AA154="",0,1))</f>
        <v>1</v>
      </c>
      <c r="AH154" s="191" t="str">
        <f>Idiomas!D43</f>
        <v>Escribe un jugador</v>
      </c>
      <c r="AI154" s="180"/>
      <c r="AJ154" s="682"/>
      <c r="AK154" s="683"/>
      <c r="AL154" s="683"/>
      <c r="AM154" s="683"/>
      <c r="AN154" s="683"/>
      <c r="AO154" s="683"/>
      <c r="AP154" s="683"/>
      <c r="AQ154" s="683"/>
      <c r="AR154" s="683"/>
      <c r="AS154" s="683"/>
      <c r="AT154" s="683"/>
      <c r="AU154" s="684"/>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t="s">
        <v>1523</v>
      </c>
      <c r="AB155" s="387"/>
      <c r="AC155" s="387"/>
      <c r="AD155" s="387"/>
      <c r="AE155" s="387"/>
      <c r="AF155" s="388"/>
      <c r="AG155" s="314">
        <f>IF(AA155=$AH$154,0,IF(AA155="",0,1))</f>
        <v>1</v>
      </c>
      <c r="AH155" s="180"/>
      <c r="AI155" s="180"/>
      <c r="AJ155" s="646" t="str">
        <f ca="1">IF(SUM(COUNTIF(AG4:AG97,0),COUNTIF(AG101:AG160,0)&gt;0),AM148,AM149)</f>
        <v>Guarda el archivo y envialo al administrador de tu porra</v>
      </c>
      <c r="AK155" s="647"/>
      <c r="AL155" s="647"/>
      <c r="AM155" s="647"/>
      <c r="AN155" s="647"/>
      <c r="AO155" s="647"/>
      <c r="AP155" s="647"/>
      <c r="AQ155" s="647"/>
      <c r="AR155" s="647"/>
      <c r="AS155" s="647"/>
      <c r="AT155" s="647"/>
      <c r="AU155" s="64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3" t="s">
        <v>1524</v>
      </c>
      <c r="AB156" s="389"/>
      <c r="AC156" s="389"/>
      <c r="AD156" s="389"/>
      <c r="AE156" s="389"/>
      <c r="AF156" s="390"/>
      <c r="AG156" s="314">
        <f>IF(AA156=$AH$154,0,IF(AA156="",0,1))</f>
        <v>1</v>
      </c>
      <c r="AH156" s="180"/>
      <c r="AI156" s="180"/>
      <c r="AJ156" s="646"/>
      <c r="AK156" s="647"/>
      <c r="AL156" s="647"/>
      <c r="AM156" s="647"/>
      <c r="AN156" s="647"/>
      <c r="AO156" s="647"/>
      <c r="AP156" s="647"/>
      <c r="AQ156" s="647"/>
      <c r="AR156" s="647"/>
      <c r="AS156" s="647"/>
      <c r="AT156" s="647"/>
      <c r="AU156" s="64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2"/>
      <c r="AH157" s="180"/>
      <c r="AI157" s="180"/>
      <c r="AJ157" s="649"/>
      <c r="AK157" s="650"/>
      <c r="AL157" s="650"/>
      <c r="AM157" s="650"/>
      <c r="AN157" s="650"/>
      <c r="AO157" s="650"/>
      <c r="AP157" s="650"/>
      <c r="AQ157" s="650"/>
      <c r="AR157" s="650"/>
      <c r="AS157" s="650"/>
      <c r="AT157" s="650"/>
      <c r="AU157" s="65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1522</v>
      </c>
      <c r="AB158" s="385"/>
      <c r="AC158" s="385"/>
      <c r="AD158" s="385"/>
      <c r="AE158" s="385"/>
      <c r="AF158" s="386"/>
      <c r="AG158" s="314">
        <f>IF(AA158=$AH$154,0,IF(AA158="",0,1))</f>
        <v>1</v>
      </c>
      <c r="AI158" s="180"/>
      <c r="AJ158" s="142"/>
      <c r="AK158" s="142"/>
      <c r="AL158" s="142"/>
      <c r="AM158" s="142"/>
      <c r="AN158" s="142"/>
      <c r="AO158" s="142"/>
      <c r="AP158" s="142"/>
      <c r="AQ158" s="142"/>
      <c r="AR158" s="142"/>
      <c r="AS158" s="142"/>
      <c r="AT158" s="142"/>
      <c r="AU158" s="319"/>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t="s">
        <v>1525</v>
      </c>
      <c r="AB159" s="387"/>
      <c r="AC159" s="387"/>
      <c r="AD159" s="387"/>
      <c r="AE159" s="387"/>
      <c r="AF159" s="388"/>
      <c r="AG159" s="314">
        <f>IF(AA159=$AH$154,0,IF(AA159="",0,1))</f>
        <v>1</v>
      </c>
      <c r="AH159" s="180"/>
      <c r="AI159" s="181"/>
      <c r="AJ159" s="142"/>
      <c r="AK159" s="142"/>
      <c r="AL159" s="142"/>
      <c r="AM159" s="142"/>
      <c r="AN159" s="142"/>
      <c r="AO159" s="142"/>
      <c r="AP159" s="142"/>
      <c r="AQ159" s="142"/>
      <c r="AR159" s="142"/>
      <c r="AS159" s="142"/>
      <c r="AT159" s="142"/>
      <c r="AU159" s="319"/>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213" t="s">
        <v>1524</v>
      </c>
      <c r="AB160" s="634"/>
      <c r="AC160" s="634"/>
      <c r="AD160" s="634"/>
      <c r="AE160" s="634"/>
      <c r="AF160" s="635"/>
      <c r="AG160" s="314">
        <f>IF(AA160=$AH$154,0,IF(AA160="",0,1))</f>
        <v>1</v>
      </c>
      <c r="AH160" s="180"/>
      <c r="AI160" s="180"/>
      <c r="AJ160" s="142"/>
      <c r="AK160" s="142"/>
      <c r="AL160" s="142"/>
      <c r="AM160" s="142"/>
      <c r="AN160" s="142"/>
      <c r="AO160" s="142"/>
      <c r="AP160" s="142"/>
      <c r="AQ160" s="142"/>
      <c r="AR160" s="142"/>
      <c r="AS160" s="142"/>
      <c r="AT160" s="142"/>
      <c r="AU160" s="319"/>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29"/>
      <c r="AB161" s="630"/>
      <c r="AC161" s="631"/>
      <c r="AD161" s="632"/>
      <c r="AE161" s="632"/>
      <c r="AF161" s="633"/>
      <c r="AG161" s="142"/>
      <c r="AH161" s="180"/>
      <c r="AI161" s="180"/>
      <c r="AJ161" s="142"/>
      <c r="AK161" s="142"/>
      <c r="AL161" s="142"/>
      <c r="AM161" s="142"/>
      <c r="AN161" s="142"/>
      <c r="AO161" s="142"/>
      <c r="AP161" s="142"/>
      <c r="AQ161" s="142"/>
      <c r="AR161" s="142"/>
      <c r="AS161" s="142"/>
      <c r="AT161" s="142"/>
      <c r="AU161" s="319"/>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6" t="s">
        <v>1520</v>
      </c>
      <c r="X162" s="697"/>
      <c r="Y162" s="697"/>
      <c r="Z162" s="697"/>
      <c r="AA162" s="691" t="s">
        <v>1528</v>
      </c>
      <c r="AB162" s="691"/>
      <c r="AC162" s="691"/>
      <c r="AD162" s="691"/>
      <c r="AE162" s="691"/>
      <c r="AF162" s="691"/>
      <c r="AG162" s="628"/>
      <c r="AH162" s="142"/>
      <c r="AI162" s="142"/>
      <c r="AJ162" s="142"/>
      <c r="AK162" s="319"/>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2" t="s">
        <v>1516</v>
      </c>
      <c r="X163" s="703"/>
      <c r="Y163" s="703"/>
      <c r="Z163" s="703"/>
      <c r="AA163" s="700" t="s">
        <v>1526</v>
      </c>
      <c r="AB163" s="700"/>
      <c r="AC163" s="700"/>
      <c r="AD163" s="700"/>
      <c r="AE163" s="700"/>
      <c r="AF163" s="701"/>
      <c r="AG163" s="142"/>
      <c r="AH163" s="142"/>
      <c r="AI163" s="142"/>
      <c r="AJ163" s="142"/>
      <c r="AK163" s="319"/>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4" t="s">
        <v>1517</v>
      </c>
      <c r="X164" s="695"/>
      <c r="Y164" s="695"/>
      <c r="Z164" s="695"/>
      <c r="AA164" s="692" t="s">
        <v>1527</v>
      </c>
      <c r="AB164" s="692"/>
      <c r="AC164" s="692"/>
      <c r="AD164" s="692"/>
      <c r="AE164" s="692"/>
      <c r="AF164" s="693"/>
      <c r="AG164" s="142"/>
      <c r="AH164" s="142"/>
      <c r="AI164" s="142"/>
      <c r="AJ164" s="142"/>
      <c r="AK164" s="319"/>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2"/>
      <c r="X165" s="622"/>
      <c r="Y165" s="624"/>
      <c r="Z165" s="144"/>
      <c r="AA165" s="149"/>
      <c r="AB165" s="149"/>
      <c r="AC165" s="149"/>
      <c r="AD165" s="149"/>
      <c r="AE165" s="149"/>
      <c r="AF165" s="149"/>
      <c r="AG165" s="149"/>
      <c r="AH165" s="149"/>
      <c r="AI165" s="149"/>
      <c r="AJ165" s="149"/>
      <c r="AK165" s="321"/>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6" t="s">
        <v>1518</v>
      </c>
      <c r="X166" s="697"/>
      <c r="Y166" s="697"/>
      <c r="Z166" s="697"/>
      <c r="AA166" s="691" t="s">
        <v>1502</v>
      </c>
      <c r="AB166" s="691"/>
      <c r="AC166" s="691"/>
      <c r="AD166" s="691"/>
      <c r="AE166" s="691"/>
      <c r="AF166" s="691"/>
      <c r="AG166" s="623"/>
      <c r="AH166" s="149"/>
      <c r="AI166" s="149"/>
      <c r="AJ166" s="149"/>
      <c r="AK166" s="321"/>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98" t="s">
        <v>1519</v>
      </c>
      <c r="X167" s="699"/>
      <c r="Y167" s="699"/>
      <c r="Z167" s="699"/>
      <c r="AA167" s="692" t="s">
        <v>1264</v>
      </c>
      <c r="AB167" s="692"/>
      <c r="AC167" s="692"/>
      <c r="AD167" s="692"/>
      <c r="AE167" s="692"/>
      <c r="AF167" s="693"/>
      <c r="AG167" s="149"/>
      <c r="AH167" s="149"/>
      <c r="AI167" s="149"/>
      <c r="AJ167" s="149"/>
      <c r="AK167" s="321"/>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0"/>
      <c r="X168" s="620"/>
      <c r="Y168" s="621"/>
      <c r="Z168" s="577"/>
      <c r="AA168" s="149"/>
      <c r="AB168" s="149"/>
      <c r="AC168" s="149"/>
      <c r="AD168" s="149"/>
      <c r="AE168" s="149"/>
      <c r="AF168" s="149"/>
      <c r="AG168" s="149"/>
      <c r="AH168" s="149"/>
      <c r="AI168" s="149"/>
      <c r="AJ168" s="149"/>
      <c r="AK168" s="321"/>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1"/>
      <c r="AV169" s="177"/>
      <c r="AW169" s="149"/>
      <c r="AX169" s="149"/>
      <c r="AY169" s="616"/>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1"/>
      <c r="AV170" s="177"/>
      <c r="AW170" s="149"/>
      <c r="AX170" s="149"/>
      <c r="AY170" s="616"/>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1"/>
      <c r="AV171" s="177"/>
      <c r="AW171" s="149"/>
      <c r="AX171" s="149"/>
      <c r="AY171" s="616"/>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1"/>
      <c r="AV172" s="177"/>
      <c r="AW172" s="149"/>
      <c r="AX172" s="149"/>
      <c r="AY172" s="616"/>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1"/>
      <c r="AV173" s="177"/>
      <c r="AW173" s="149"/>
      <c r="AX173" s="149"/>
      <c r="AY173" s="616"/>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1"/>
      <c r="AV174" s="177"/>
      <c r="AW174" s="149"/>
      <c r="AX174" s="149"/>
      <c r="AY174" s="616"/>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1"/>
      <c r="AV175" s="177"/>
      <c r="AW175" s="149"/>
      <c r="AX175" s="149"/>
      <c r="AY175" s="616"/>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1"/>
      <c r="AV176" s="177"/>
      <c r="AW176" s="149"/>
      <c r="AX176" s="149"/>
      <c r="AY176" s="616"/>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1"/>
      <c r="AV177" s="177"/>
      <c r="AW177" s="149"/>
      <c r="AX177" s="149"/>
      <c r="AY177" s="616"/>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1"/>
      <c r="AV178" s="177"/>
      <c r="AW178" s="149"/>
      <c r="AX178" s="149"/>
      <c r="AY178" s="616"/>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1"/>
      <c r="AV179" s="177"/>
      <c r="AW179" s="149"/>
      <c r="AX179" s="149"/>
      <c r="AY179" s="616"/>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1"/>
      <c r="AV180" s="177"/>
      <c r="AW180" s="149"/>
      <c r="AX180" s="149"/>
      <c r="AY180" s="616"/>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1"/>
      <c r="AV181" s="177"/>
      <c r="AW181" s="149"/>
      <c r="AX181" s="149"/>
      <c r="AY181" s="616"/>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1"/>
      <c r="AV182" s="177"/>
      <c r="AW182" s="149"/>
      <c r="AX182" s="149"/>
      <c r="AY182" s="616"/>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1"/>
      <c r="AV183" s="177"/>
      <c r="AW183" s="149"/>
      <c r="AX183" s="149"/>
      <c r="AY183" s="616"/>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19"/>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6" customWidth="1"/>
    <col min="5" max="8" width="10.77734375" style="356" customWidth="1"/>
    <col min="9" max="9" width="3.109375" style="356" customWidth="1"/>
    <col min="10" max="12" width="10.77734375" style="356" customWidth="1"/>
    <col min="13" max="13" width="3.6640625" style="356" customWidth="1"/>
    <col min="14" max="14" width="4.6640625" style="356" customWidth="1"/>
    <col min="15" max="15" width="4" customWidth="1"/>
    <col min="16" max="16" width="4.77734375" customWidth="1"/>
    <col min="17" max="16384" width="10.77734375" style="1" hidden="1"/>
  </cols>
  <sheetData>
    <row r="1" spans="1:14" ht="19.95" customHeight="1">
      <c r="A1" s="280"/>
      <c r="B1" s="281"/>
      <c r="C1" s="309" t="str">
        <f>Idiomas!D102</f>
        <v>Para el administrador de la porra</v>
      </c>
      <c r="D1" s="354"/>
      <c r="E1" s="728" t="str">
        <f>Idiomas!D106</f>
        <v>EL ADMINISTRADOR DE LA PORRA SEGUIRÁ LAS INSTRUCCIONES DE AQUÍ ABAJO</v>
      </c>
      <c r="F1" s="728"/>
      <c r="G1" s="728"/>
      <c r="H1" s="728"/>
      <c r="I1" s="728"/>
      <c r="J1" s="728"/>
      <c r="K1" s="728"/>
      <c r="L1" s="728"/>
      <c r="M1" s="728"/>
      <c r="N1" s="728"/>
    </row>
    <row r="2" spans="1:14" ht="19.95" customHeight="1" thickBot="1">
      <c r="A2" s="278"/>
      <c r="B2" s="279"/>
      <c r="C2" s="279"/>
      <c r="D2" s="355"/>
      <c r="E2" s="728"/>
      <c r="F2" s="728"/>
      <c r="G2" s="728"/>
      <c r="H2" s="728"/>
      <c r="I2" s="728"/>
      <c r="J2" s="728"/>
      <c r="K2" s="728"/>
      <c r="L2" s="728"/>
      <c r="M2" s="728"/>
      <c r="N2" s="728"/>
    </row>
    <row r="3" spans="1:14" ht="34.950000000000003" customHeight="1" thickBot="1">
      <c r="A3" s="278"/>
      <c r="B3" s="282" t="str">
        <f>HYPERLINK(Idiomas!D10,Idiomas!D9)</f>
        <v>▼ Descargar Excel Administrador Porra ▼</v>
      </c>
      <c r="C3" s="279"/>
      <c r="D3" s="355"/>
      <c r="E3" s="731" t="str">
        <f>Idiomas!D107</f>
        <v>·Si haceis todo el Mundial de golpe, copiar de la C5 a la C258 y pegar valores en la plantilla de Administrador.</v>
      </c>
      <c r="F3" s="731"/>
      <c r="G3" s="731"/>
      <c r="H3" s="731"/>
      <c r="I3" s="731"/>
      <c r="J3" s="731"/>
      <c r="K3" s="731"/>
      <c r="L3" s="731"/>
      <c r="M3" s="731"/>
      <c r="N3" s="732"/>
    </row>
    <row r="4" spans="1:14" ht="45" customHeight="1">
      <c r="A4" s="278"/>
      <c r="B4" s="279"/>
      <c r="C4" s="566" t="str">
        <f>Idiomas!D105</f>
        <v>¡No tocar nada, se rellena solo!</v>
      </c>
      <c r="D4" s="355"/>
      <c r="E4" s="73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0"/>
      <c r="G4" s="730"/>
      <c r="H4" s="730"/>
      <c r="I4" s="730"/>
      <c r="J4" s="730"/>
      <c r="K4" s="730"/>
      <c r="L4" s="730"/>
      <c r="M4" s="730"/>
      <c r="N4" s="364"/>
    </row>
    <row r="5" spans="1:14" ht="19.05" customHeight="1">
      <c r="A5" s="340"/>
      <c r="B5" s="341" t="str">
        <f>Idiomas!D125</f>
        <v>FASE DE GRUPOS</v>
      </c>
      <c r="C5" s="333" t="str">
        <f>Home!C10</f>
        <v>Humberto</v>
      </c>
      <c r="E5" s="733" t="str">
        <f>Idiomas!D109</f>
        <v>·Si haceis jornada a jornada seguir las instrucciones de cada jornada</v>
      </c>
      <c r="F5" s="733"/>
      <c r="G5" s="733"/>
      <c r="H5" s="733"/>
      <c r="I5" s="733"/>
      <c r="J5" s="365"/>
      <c r="K5" s="365"/>
      <c r="L5" s="365"/>
      <c r="M5" s="366"/>
      <c r="N5" s="364"/>
    </row>
    <row r="6" spans="1:14" ht="15" customHeight="1">
      <c r="A6" s="342" t="s">
        <v>114</v>
      </c>
      <c r="B6" s="343" t="str">
        <f ca="1">CONCATENATE(WORLDCUP!AA4,"-",WORLDCUP!AF4)</f>
        <v>México-Sudáfrica</v>
      </c>
      <c r="C6" s="334" t="str">
        <f>CONCATENATE(IF(WORLDCUP!AC4&gt;WORLDCUP!AD4,1,IF(WORLDCUP!AC4&lt;WORLDCUP!AD4,2,IF(AND(WORLDCUP!AC4=WORLDCUP!AD4,WORLDCUP!AC4&lt;&gt;"",WORLDCUP!AD4&lt;&gt;""),"X",0))),"|",WORLDCUP!AC4,"-",WORLDCUP!AD4)</f>
        <v>1|2-1</v>
      </c>
      <c r="D6" s="724" t="str">
        <f>Idiomas!D122</f>
        <v>J1</v>
      </c>
      <c r="E6" s="729" t="str">
        <f>Idiomas!D110</f>
        <v>·Para la primera jornada copiar de la C5 a la C29 y pega valores en la plantilla de administrador. ¡OJO! COPIAR TAMBIÉN de la C253 a la C258.</v>
      </c>
      <c r="F6" s="729"/>
      <c r="G6" s="729"/>
      <c r="H6" s="729"/>
      <c r="I6" s="367"/>
      <c r="J6" s="357"/>
      <c r="K6" s="357"/>
      <c r="L6" s="357"/>
      <c r="M6" s="366"/>
      <c r="N6" s="364"/>
    </row>
    <row r="7" spans="1:14" ht="15" customHeight="1">
      <c r="A7" s="342" t="s">
        <v>114</v>
      </c>
      <c r="B7" s="343" t="str">
        <f ca="1">CONCATENATE(WORLDCUP!AA5,"-",WORLDCUP!AF5)</f>
        <v>Corea del Sur-República Checa</v>
      </c>
      <c r="C7" s="335" t="str">
        <f>CONCATENATE(IF(WORLDCUP!AC5&gt;WORLDCUP!AD5,1,IF(WORLDCUP!AC5&lt;WORLDCUP!AD5,2,IF(AND(WORLDCUP!AC5=WORLDCUP!AD5,WORLDCUP!AC5&lt;&gt;"",WORLDCUP!AD5&lt;&gt;""),"X",0))),"|",WORLDCUP!AC5,"-",WORLDCUP!AD5)</f>
        <v>1|1-0</v>
      </c>
      <c r="D7" s="724"/>
      <c r="E7" s="713"/>
      <c r="F7" s="713"/>
      <c r="G7" s="713"/>
      <c r="H7" s="713"/>
      <c r="I7" s="368"/>
      <c r="J7" s="357"/>
      <c r="K7" s="357"/>
      <c r="L7" s="357"/>
      <c r="M7" s="366"/>
      <c r="N7" s="364"/>
    </row>
    <row r="8" spans="1:14" ht="15" customHeight="1">
      <c r="A8" s="35" t="s">
        <v>115</v>
      </c>
      <c r="B8" s="344" t="str">
        <f ca="1">CONCATENATE(WORLDCUP!AA12,"-",WORLDCUP!AF12)</f>
        <v>Canadá-Bosnia y Herzegovina</v>
      </c>
      <c r="C8" s="335" t="str">
        <f>CONCATENATE(IF(WORLDCUP!AC12&gt;WORLDCUP!AD12,1,IF(WORLDCUP!AC12&lt;WORLDCUP!AD12,2,IF(AND(WORLDCUP!AC12=WORLDCUP!AD12,WORLDCUP!AC12&lt;&gt;"",WORLDCUP!AD12&lt;&gt;""),"X",0))),"|",WORLDCUP!AC12,"-",WORLDCUP!AD12)</f>
        <v>1|2-0</v>
      </c>
      <c r="D8" s="724"/>
      <c r="E8" s="713"/>
      <c r="F8" s="713"/>
      <c r="G8" s="713"/>
      <c r="H8" s="713"/>
      <c r="I8" s="368"/>
      <c r="J8" s="357"/>
      <c r="K8" s="357"/>
      <c r="L8" s="357"/>
      <c r="M8" s="366"/>
      <c r="N8" s="364"/>
    </row>
    <row r="9" spans="1:14" ht="15" customHeight="1">
      <c r="A9" s="35" t="s">
        <v>115</v>
      </c>
      <c r="B9" s="344" t="str">
        <f ca="1">CONCATENATE(WORLDCUP!AA13,"-",WORLDCUP!AF13)</f>
        <v>Catar-Suiza</v>
      </c>
      <c r="C9" s="336" t="str">
        <f>CONCATENATE(IF(WORLDCUP!AC13&gt;WORLDCUP!AD13,1,IF(WORLDCUP!AC13&lt;WORLDCUP!AD13,2,IF(AND(WORLDCUP!AC13=WORLDCUP!AD13,WORLDCUP!AC13&lt;&gt;"",WORLDCUP!AD13&lt;&gt;""),"X",0))),"|",WORLDCUP!AC13,"-",WORLDCUP!AD13)</f>
        <v>2|0-3</v>
      </c>
      <c r="D9" s="724"/>
      <c r="E9" s="713"/>
      <c r="F9" s="713"/>
      <c r="G9" s="713"/>
      <c r="H9" s="713"/>
      <c r="I9" s="368"/>
      <c r="J9" s="357"/>
      <c r="K9" s="357"/>
      <c r="L9" s="357"/>
      <c r="M9" s="366"/>
      <c r="N9" s="364"/>
    </row>
    <row r="10" spans="1:14" ht="15" customHeight="1">
      <c r="A10" s="342" t="s">
        <v>116</v>
      </c>
      <c r="B10" s="343" t="str">
        <f ca="1">CONCATENATE(WORLDCUP!AA20,"-",WORLDCUP!AF20)</f>
        <v>Brasil-Marruecos</v>
      </c>
      <c r="C10" s="336" t="str">
        <f>CONCATENATE(IF(WORLDCUP!AC20&gt;WORLDCUP!AD20,1,IF(WORLDCUP!AC20&lt;WORLDCUP!AD20,2,IF(AND(WORLDCUP!AC20=WORLDCUP!AD20,WORLDCUP!AC20&lt;&gt;"",WORLDCUP!AD20&lt;&gt;""),"X",0))),"|",WORLDCUP!AC20,"-",WORLDCUP!AD20)</f>
        <v>2|1-2</v>
      </c>
      <c r="D10" s="724"/>
      <c r="E10" s="357"/>
      <c r="F10" s="357"/>
      <c r="G10" s="357"/>
      <c r="H10" s="357"/>
      <c r="I10" s="368"/>
      <c r="J10" s="357"/>
      <c r="K10" s="357"/>
      <c r="L10" s="357"/>
      <c r="M10" s="366"/>
      <c r="N10" s="364"/>
    </row>
    <row r="11" spans="1:14" ht="15" customHeight="1">
      <c r="A11" s="342" t="s">
        <v>116</v>
      </c>
      <c r="B11" s="343" t="str">
        <f ca="1">CONCATENATE(WORLDCUP!AA21,"-",WORLDCUP!AF21)</f>
        <v>Haití-Escocia</v>
      </c>
      <c r="C11" s="336" t="str">
        <f>CONCATENATE(IF(WORLDCUP!AC21&gt;WORLDCUP!AD21,1,IF(WORLDCUP!AC21&lt;WORLDCUP!AD21,2,IF(AND(WORLDCUP!AC21=WORLDCUP!AD21,WORLDCUP!AC21&lt;&gt;"",WORLDCUP!AD21&lt;&gt;""),"X",0))),"|",WORLDCUP!AC21,"-",WORLDCUP!AD21)</f>
        <v>2|0-2</v>
      </c>
      <c r="D11" s="724"/>
      <c r="E11" s="357"/>
      <c r="F11" s="357"/>
      <c r="G11" s="357"/>
      <c r="H11" s="357"/>
      <c r="I11" s="368"/>
      <c r="J11" s="357"/>
      <c r="K11" s="357"/>
      <c r="L11" s="357"/>
      <c r="M11" s="366"/>
      <c r="N11" s="364"/>
    </row>
    <row r="12" spans="1:14" ht="15" customHeight="1">
      <c r="A12" s="35" t="s">
        <v>117</v>
      </c>
      <c r="B12" s="344" t="str">
        <f ca="1">CONCATENATE(WORLDCUP!AA28,"-",WORLDCUP!AF28)</f>
        <v>Estados Unidos-Paraguay</v>
      </c>
      <c r="C12" s="336" t="str">
        <f>CONCATENATE(IF(WORLDCUP!AC28&gt;WORLDCUP!AD28,1,IF(WORLDCUP!AC28&lt;WORLDCUP!AD28,2,IF(AND(WORLDCUP!AC28=WORLDCUP!AD28,WORLDCUP!AC28&lt;&gt;"",WORLDCUP!AD28&lt;&gt;""),"X",0))),"|",WORLDCUP!AC28,"-",WORLDCUP!AD28)</f>
        <v>2|0-2</v>
      </c>
      <c r="D12" s="724"/>
      <c r="E12" s="357"/>
      <c r="F12" s="357"/>
      <c r="G12" s="357"/>
      <c r="H12" s="357"/>
      <c r="I12" s="368"/>
      <c r="J12" s="357"/>
      <c r="K12" s="357"/>
      <c r="L12" s="357"/>
      <c r="M12" s="366"/>
      <c r="N12" s="364"/>
    </row>
    <row r="13" spans="1:14" ht="15" customHeight="1">
      <c r="A13" s="35" t="s">
        <v>117</v>
      </c>
      <c r="B13" s="344" t="str">
        <f ca="1">CONCATENATE(WORLDCUP!AA29,"-",WORLDCUP!AF29)</f>
        <v>Australia-Turquía</v>
      </c>
      <c r="C13" s="336" t="str">
        <f>CONCATENATE(IF(WORLDCUP!AC29&gt;WORLDCUP!AD29,1,IF(WORLDCUP!AC29&lt;WORLDCUP!AD29,2,IF(AND(WORLDCUP!AC29=WORLDCUP!AD29,WORLDCUP!AC29&lt;&gt;"",WORLDCUP!AD29&lt;&gt;""),"X",0))),"|",WORLDCUP!AC29,"-",WORLDCUP!AD29)</f>
        <v>X|2-2</v>
      </c>
      <c r="D13" s="724"/>
      <c r="E13" s="357"/>
      <c r="F13" s="357"/>
      <c r="G13" s="357"/>
      <c r="H13" s="357"/>
      <c r="I13" s="368"/>
      <c r="J13" s="357"/>
      <c r="K13" s="357"/>
      <c r="L13" s="357"/>
      <c r="M13" s="366"/>
      <c r="N13" s="364"/>
    </row>
    <row r="14" spans="1:14" ht="15" customHeight="1">
      <c r="A14" s="342" t="s">
        <v>118</v>
      </c>
      <c r="B14" s="343" t="str">
        <f ca="1">CONCATENATE(WORLDCUP!AA36,"-",WORLDCUP!AF36)</f>
        <v>Alemania-Curazao</v>
      </c>
      <c r="C14" s="336" t="str">
        <f>CONCATENATE(IF(WORLDCUP!AC36&gt;WORLDCUP!AD36,1,IF(WORLDCUP!AC36&lt;WORLDCUP!AD36,2,IF(AND(WORLDCUP!AC36=WORLDCUP!AD36,WORLDCUP!AC36&lt;&gt;"",WORLDCUP!AD36&lt;&gt;""),"X",0))),"|",WORLDCUP!AC36,"-",WORLDCUP!AD36)</f>
        <v>1|3-0</v>
      </c>
      <c r="D14" s="724"/>
      <c r="E14" s="357"/>
      <c r="F14" s="357"/>
      <c r="G14" s="357"/>
      <c r="H14" s="357"/>
      <c r="I14" s="368"/>
      <c r="J14" s="357"/>
      <c r="K14" s="357"/>
      <c r="L14" s="357"/>
      <c r="M14" s="366"/>
      <c r="N14" s="364"/>
    </row>
    <row r="15" spans="1:14" ht="15" customHeight="1">
      <c r="A15" s="342" t="s">
        <v>118</v>
      </c>
      <c r="B15" s="343" t="str">
        <f ca="1">CONCATENATE(WORLDCUP!AA37,"-",WORLDCUP!AF37)</f>
        <v>Costa de Marfil-Ecuador</v>
      </c>
      <c r="C15" s="336" t="str">
        <f>CONCATENATE(IF(WORLDCUP!AC37&gt;WORLDCUP!AD37,1,IF(WORLDCUP!AC37&lt;WORLDCUP!AD37,2,IF(AND(WORLDCUP!AC37=WORLDCUP!AD37,WORLDCUP!AC37&lt;&gt;"",WORLDCUP!AD37&lt;&gt;""),"X",0))),"|",WORLDCUP!AC37,"-",WORLDCUP!AD37)</f>
        <v>2|0-2</v>
      </c>
      <c r="D15" s="724"/>
      <c r="E15" s="357"/>
      <c r="F15" s="357"/>
      <c r="G15" s="357"/>
      <c r="H15" s="357"/>
      <c r="I15" s="368"/>
      <c r="J15" s="357"/>
      <c r="K15" s="357"/>
      <c r="L15" s="357"/>
      <c r="M15" s="366"/>
      <c r="N15" s="364"/>
    </row>
    <row r="16" spans="1:14" ht="15" customHeight="1">
      <c r="A16" s="35" t="s">
        <v>119</v>
      </c>
      <c r="B16" s="344" t="str">
        <f ca="1">CONCATENATE(WORLDCUP!AA44,"-",WORLDCUP!AF44)</f>
        <v>Países Bajos-Japón</v>
      </c>
      <c r="C16" s="336" t="str">
        <f>CONCATENATE(IF(WORLDCUP!AC44&gt;WORLDCUP!AD44,1,IF(WORLDCUP!AC44&lt;WORLDCUP!AD44,2,IF(AND(WORLDCUP!AC44=WORLDCUP!AD44,WORLDCUP!AC44&lt;&gt;"",WORLDCUP!AD44&lt;&gt;""),"X",0))),"|",WORLDCUP!AC44,"-",WORLDCUP!AD44)</f>
        <v>X|2-2</v>
      </c>
      <c r="D16" s="724"/>
      <c r="E16" s="357"/>
      <c r="F16" s="357"/>
      <c r="G16" s="357"/>
      <c r="H16" s="357"/>
      <c r="I16" s="368"/>
      <c r="J16" s="357"/>
      <c r="K16" s="357"/>
      <c r="L16" s="357"/>
      <c r="M16" s="366"/>
      <c r="N16" s="364"/>
    </row>
    <row r="17" spans="1:14" ht="15" customHeight="1">
      <c r="A17" s="35" t="s">
        <v>119</v>
      </c>
      <c r="B17" s="344" t="str">
        <f ca="1">CONCATENATE(WORLDCUP!AA45,"-",WORLDCUP!AF45)</f>
        <v>Suecia-Túnez</v>
      </c>
      <c r="C17" s="336" t="str">
        <f>CONCATENATE(IF(WORLDCUP!AC45&gt;WORLDCUP!AD45,1,IF(WORLDCUP!AC45&lt;WORLDCUP!AD45,2,IF(AND(WORLDCUP!AC45=WORLDCUP!AD45,WORLDCUP!AC45&lt;&gt;"",WORLDCUP!AD45&lt;&gt;""),"X",0))),"|",WORLDCUP!AC45,"-",WORLDCUP!AD45)</f>
        <v>X|1-1</v>
      </c>
      <c r="D17" s="724"/>
      <c r="E17" s="357"/>
      <c r="F17" s="357"/>
      <c r="G17" s="357"/>
      <c r="H17" s="357"/>
      <c r="I17" s="368"/>
      <c r="J17" s="357"/>
      <c r="K17" s="357"/>
      <c r="L17" s="357"/>
      <c r="M17" s="366"/>
      <c r="N17" s="364"/>
    </row>
    <row r="18" spans="1:14" ht="15" customHeight="1">
      <c r="A18" s="342" t="s">
        <v>521</v>
      </c>
      <c r="B18" s="343" t="str">
        <f ca="1">CONCATENATE(WORLDCUP!AA52,"-",WORLDCUP!AF52)</f>
        <v>Bélgica-Egipto</v>
      </c>
      <c r="C18" s="336" t="str">
        <f>CONCATENATE(IF(WORLDCUP!AC52&gt;WORLDCUP!AD52,1,IF(WORLDCUP!AC52&lt;WORLDCUP!AD52,2,IF(AND(WORLDCUP!AC52=WORLDCUP!AD52,WORLDCUP!AC52&lt;&gt;"",WORLDCUP!AD52&lt;&gt;""),"X",0))),"|",WORLDCUP!AC52,"-",WORLDCUP!AD52)</f>
        <v>X|1-1</v>
      </c>
      <c r="D18" s="724"/>
      <c r="E18" s="357"/>
      <c r="F18" s="357"/>
      <c r="G18" s="357"/>
      <c r="H18" s="357"/>
      <c r="I18" s="368"/>
      <c r="J18" s="357"/>
      <c r="K18" s="357"/>
      <c r="L18" s="357"/>
      <c r="M18" s="366"/>
      <c r="N18" s="364"/>
    </row>
    <row r="19" spans="1:14" ht="15" customHeight="1">
      <c r="A19" s="342" t="s">
        <v>521</v>
      </c>
      <c r="B19" s="343" t="str">
        <f ca="1">CONCATENATE(WORLDCUP!AA53,"-",WORLDCUP!AF53)</f>
        <v>Irán-Nueva Zelanda</v>
      </c>
      <c r="C19" s="336" t="str">
        <f>CONCATENATE(IF(WORLDCUP!AC53&gt;WORLDCUP!AD53,1,IF(WORLDCUP!AC53&lt;WORLDCUP!AD53,2,IF(AND(WORLDCUP!AC53=WORLDCUP!AD53,WORLDCUP!AC53&lt;&gt;"",WORLDCUP!AD53&lt;&gt;""),"X",0))),"|",WORLDCUP!AC53,"-",WORLDCUP!AD53)</f>
        <v>1|2-0</v>
      </c>
      <c r="D19" s="724"/>
      <c r="E19" s="357"/>
      <c r="F19" s="357"/>
      <c r="G19" s="357"/>
      <c r="H19" s="357"/>
      <c r="I19" s="368"/>
      <c r="J19" s="357"/>
      <c r="K19" s="357"/>
      <c r="L19" s="357"/>
      <c r="M19" s="366"/>
      <c r="N19" s="364"/>
    </row>
    <row r="20" spans="1:14" ht="15" customHeight="1">
      <c r="A20" s="35" t="s">
        <v>523</v>
      </c>
      <c r="B20" s="344" t="str">
        <f ca="1">CONCATENATE(WORLDCUP!AA60,"-",WORLDCUP!AF60)</f>
        <v>España-Cabo Verde</v>
      </c>
      <c r="C20" s="336" t="str">
        <f>CONCATENATE(IF(WORLDCUP!AC60&gt;WORLDCUP!AD60,1,IF(WORLDCUP!AC60&lt;WORLDCUP!AD60,2,IF(AND(WORLDCUP!AC60=WORLDCUP!AD60,WORLDCUP!AC60&lt;&gt;"",WORLDCUP!AD60&lt;&gt;""),"X",0))),"|",WORLDCUP!AC60,"-",WORLDCUP!AD60)</f>
        <v>1|4-0</v>
      </c>
      <c r="D20" s="724"/>
      <c r="E20" s="357"/>
      <c r="F20" s="357"/>
      <c r="G20" s="357"/>
      <c r="H20" s="357"/>
      <c r="I20" s="368"/>
      <c r="J20" s="357"/>
      <c r="K20" s="357"/>
      <c r="L20" s="357"/>
      <c r="M20" s="366"/>
      <c r="N20" s="364"/>
    </row>
    <row r="21" spans="1:14" ht="15" customHeight="1">
      <c r="A21" s="35" t="s">
        <v>523</v>
      </c>
      <c r="B21" s="344" t="str">
        <f ca="1">CONCATENATE(WORLDCUP!AA61,"-",WORLDCUP!AF61)</f>
        <v>Arabia Saudita-Uruguay</v>
      </c>
      <c r="C21" s="336" t="str">
        <f>CONCATENATE(IF(WORLDCUP!AC61&gt;WORLDCUP!AD61,1,IF(WORLDCUP!AC61&lt;WORLDCUP!AD61,2,IF(AND(WORLDCUP!AC61=WORLDCUP!AD61,WORLDCUP!AC61&lt;&gt;"",WORLDCUP!AD61&lt;&gt;""),"X",0))),"|",WORLDCUP!AC61,"-",WORLDCUP!AD61)</f>
        <v>X|1-1</v>
      </c>
      <c r="D21" s="724"/>
      <c r="E21" s="357"/>
      <c r="F21" s="357"/>
      <c r="G21" s="357"/>
      <c r="H21" s="357"/>
      <c r="I21" s="368"/>
      <c r="J21" s="357"/>
      <c r="K21" s="357"/>
      <c r="L21" s="357"/>
      <c r="M21" s="366"/>
      <c r="N21" s="364"/>
    </row>
    <row r="22" spans="1:14" ht="15" customHeight="1">
      <c r="A22" s="342" t="s">
        <v>181</v>
      </c>
      <c r="B22" s="343" t="str">
        <f ca="1">CONCATENATE(WORLDCUP!AA68,"-",WORLDCUP!AF68)</f>
        <v>Francia-Senegal</v>
      </c>
      <c r="C22" s="336" t="str">
        <f>CONCATENATE(IF(WORLDCUP!AC68&gt;WORLDCUP!AD68,1,IF(WORLDCUP!AC68&lt;WORLDCUP!AD68,2,IF(AND(WORLDCUP!AC68=WORLDCUP!AD68,WORLDCUP!AC68&lt;&gt;"",WORLDCUP!AD68&lt;&gt;""),"X",0))),"|",WORLDCUP!AC68,"-",WORLDCUP!AD68)</f>
        <v>1|2-1</v>
      </c>
      <c r="D22" s="724"/>
      <c r="E22" s="357"/>
      <c r="F22" s="357"/>
      <c r="G22" s="357"/>
      <c r="H22" s="357"/>
      <c r="I22" s="368"/>
      <c r="J22" s="357"/>
      <c r="K22" s="357"/>
      <c r="L22" s="357"/>
      <c r="M22" s="366"/>
      <c r="N22" s="364"/>
    </row>
    <row r="23" spans="1:14" ht="15" customHeight="1">
      <c r="A23" s="342" t="s">
        <v>181</v>
      </c>
      <c r="B23" s="343" t="str">
        <f ca="1">CONCATENATE(WORLDCUP!AA69,"-",WORLDCUP!AF69)</f>
        <v>Irak-Noruega</v>
      </c>
      <c r="C23" s="336" t="str">
        <f>CONCATENATE(IF(WORLDCUP!AC69&gt;WORLDCUP!AD69,1,IF(WORLDCUP!AC69&lt;WORLDCUP!AD69,2,IF(AND(WORLDCUP!AC69=WORLDCUP!AD69,WORLDCUP!AC69&lt;&gt;"",WORLDCUP!AD69&lt;&gt;""),"X",0))),"|",WORLDCUP!AC69,"-",WORLDCUP!AD69)</f>
        <v>2|1-5</v>
      </c>
      <c r="D23" s="724"/>
      <c r="E23" s="357"/>
      <c r="F23" s="357"/>
      <c r="G23" s="357"/>
      <c r="H23" s="357"/>
      <c r="I23" s="368"/>
      <c r="J23" s="357"/>
      <c r="K23" s="357"/>
      <c r="L23" s="357"/>
      <c r="M23" s="366"/>
      <c r="N23" s="364"/>
    </row>
    <row r="24" spans="1:14" ht="15" customHeight="1">
      <c r="A24" s="35" t="s">
        <v>28</v>
      </c>
      <c r="B24" s="344" t="str">
        <f ca="1">CONCATENATE(WORLDCUP!AA76,"-",WORLDCUP!AF76)</f>
        <v>Argentina-Argelia</v>
      </c>
      <c r="C24" s="336" t="str">
        <f>CONCATENATE(IF(WORLDCUP!AC76&gt;WORLDCUP!AD76,1,IF(WORLDCUP!AC76&lt;WORLDCUP!AD76,2,IF(AND(WORLDCUP!AC76=WORLDCUP!AD76,WORLDCUP!AC76&lt;&gt;"",WORLDCUP!AD76&lt;&gt;""),"X",0))),"|",WORLDCUP!AC76,"-",WORLDCUP!AD76)</f>
        <v>1|3-0</v>
      </c>
      <c r="D24" s="724"/>
      <c r="E24" s="357"/>
      <c r="F24" s="357"/>
      <c r="G24" s="357"/>
      <c r="H24" s="357"/>
      <c r="I24" s="368"/>
      <c r="J24" s="357"/>
      <c r="K24" s="357"/>
      <c r="L24" s="357"/>
      <c r="M24" s="366"/>
      <c r="N24" s="364"/>
    </row>
    <row r="25" spans="1:14" ht="15" customHeight="1">
      <c r="A25" s="35" t="s">
        <v>28</v>
      </c>
      <c r="B25" s="344" t="str">
        <f ca="1">CONCATENATE(WORLDCUP!AA77,"-",WORLDCUP!AF77)</f>
        <v>Austria-Jordania</v>
      </c>
      <c r="C25" s="336" t="str">
        <f>CONCATENATE(IF(WORLDCUP!AC77&gt;WORLDCUP!AD77,1,IF(WORLDCUP!AC77&lt;WORLDCUP!AD77,2,IF(AND(WORLDCUP!AC77=WORLDCUP!AD77,WORLDCUP!AC77&lt;&gt;"",WORLDCUP!AD77&lt;&gt;""),"X",0))),"|",WORLDCUP!AC77,"-",WORLDCUP!AD77)</f>
        <v>1|1-0</v>
      </c>
      <c r="D25" s="724"/>
      <c r="E25" s="357"/>
      <c r="F25" s="357"/>
      <c r="G25" s="357"/>
      <c r="H25" s="357"/>
      <c r="I25" s="368"/>
      <c r="J25" s="357"/>
      <c r="K25" s="357"/>
      <c r="L25" s="357"/>
      <c r="M25" s="366"/>
      <c r="N25" s="364"/>
    </row>
    <row r="26" spans="1:14" ht="15" customHeight="1">
      <c r="A26" s="342" t="s">
        <v>526</v>
      </c>
      <c r="B26" s="343" t="str">
        <f ca="1">CONCATENATE(WORLDCUP!AA84,"-",WORLDCUP!AF84)</f>
        <v>Portugal-RD Congo</v>
      </c>
      <c r="C26" s="336" t="str">
        <f>CONCATENATE(IF(WORLDCUP!AC84&gt;WORLDCUP!AD84,1,IF(WORLDCUP!AC84&lt;WORLDCUP!AD84,2,IF(AND(WORLDCUP!AC84=WORLDCUP!AD84,WORLDCUP!AC84&lt;&gt;"",WORLDCUP!AD84&lt;&gt;""),"X",0))),"|",WORLDCUP!AC84,"-",WORLDCUP!AD84)</f>
        <v>1|3-0</v>
      </c>
      <c r="D26" s="724"/>
      <c r="E26" s="357"/>
      <c r="F26" s="357"/>
      <c r="G26" s="357"/>
      <c r="H26" s="357"/>
      <c r="I26" s="368"/>
      <c r="J26" s="357"/>
      <c r="K26" s="357"/>
      <c r="L26" s="357"/>
      <c r="M26" s="366"/>
      <c r="N26" s="364"/>
    </row>
    <row r="27" spans="1:14" ht="15" customHeight="1">
      <c r="A27" s="342" t="s">
        <v>526</v>
      </c>
      <c r="B27" s="343" t="str">
        <f ca="1">CONCATENATE(WORLDCUP!AA85,"-",WORLDCUP!AF85)</f>
        <v>Uzbekistán-Colombia</v>
      </c>
      <c r="C27" s="336" t="str">
        <f>CONCATENATE(IF(WORLDCUP!AC85&gt;WORLDCUP!AD85,1,IF(WORLDCUP!AC85&lt;WORLDCUP!AD85,2,IF(AND(WORLDCUP!AC85=WORLDCUP!AD85,WORLDCUP!AC85&lt;&gt;"",WORLDCUP!AD85&lt;&gt;""),"X",0))),"|",WORLDCUP!AC85,"-",WORLDCUP!AD85)</f>
        <v>2|0-2</v>
      </c>
      <c r="D27" s="724"/>
      <c r="E27" s="357"/>
      <c r="F27" s="357"/>
      <c r="G27" s="357"/>
      <c r="H27" s="357"/>
      <c r="I27" s="368"/>
      <c r="J27" s="357"/>
      <c r="K27" s="357"/>
      <c r="L27" s="357"/>
      <c r="M27" s="366"/>
      <c r="N27" s="364"/>
    </row>
    <row r="28" spans="1:14" ht="15" customHeight="1">
      <c r="A28" s="35" t="s">
        <v>1210</v>
      </c>
      <c r="B28" s="344" t="str">
        <f ca="1">CONCATENATE(WORLDCUP!AA92,"-",WORLDCUP!AF92)</f>
        <v>Inglaterra-Croacia</v>
      </c>
      <c r="C28" s="336" t="str">
        <f>CONCATENATE(IF(WORLDCUP!AC92&gt;WORLDCUP!AD92,1,IF(WORLDCUP!AC92&lt;WORLDCUP!AD92,2,IF(AND(WORLDCUP!AC92=WORLDCUP!AD92,WORLDCUP!AC92&lt;&gt;"",WORLDCUP!AD92&lt;&gt;""),"X",0))),"|",WORLDCUP!AC92,"-",WORLDCUP!AD92)</f>
        <v>X|1-1</v>
      </c>
      <c r="D28" s="724"/>
      <c r="E28" s="357"/>
      <c r="F28" s="357"/>
      <c r="G28" s="357"/>
      <c r="H28" s="357"/>
      <c r="I28" s="368"/>
      <c r="J28" s="357"/>
      <c r="K28" s="357"/>
      <c r="L28" s="357"/>
      <c r="M28" s="366"/>
      <c r="N28" s="364"/>
    </row>
    <row r="29" spans="1:14" ht="15" customHeight="1">
      <c r="A29" s="35" t="s">
        <v>1210</v>
      </c>
      <c r="B29" s="344" t="str">
        <f ca="1">CONCATENATE(WORLDCUP!AA93,"-",WORLDCUP!AF93)</f>
        <v>Ghana-Panamá</v>
      </c>
      <c r="C29" s="336" t="str">
        <f>CONCATENATE(IF(WORLDCUP!AC93&gt;WORLDCUP!AD93,1,IF(WORLDCUP!AC93&lt;WORLDCUP!AD93,2,IF(AND(WORLDCUP!AC93=WORLDCUP!AD93,WORLDCUP!AC93&lt;&gt;"",WORLDCUP!AD93&lt;&gt;""),"X",0))),"|",WORLDCUP!AC93,"-",WORLDCUP!AD93)</f>
        <v>1|2-1</v>
      </c>
      <c r="D29" s="725"/>
      <c r="E29" s="359"/>
      <c r="F29" s="359"/>
      <c r="G29" s="359"/>
      <c r="H29" s="359"/>
      <c r="I29" s="368"/>
      <c r="J29" s="357"/>
      <c r="K29" s="357"/>
      <c r="L29" s="357"/>
      <c r="M29" s="366"/>
      <c r="N29" s="364"/>
    </row>
    <row r="30" spans="1:14" ht="15" customHeight="1">
      <c r="A30" s="342" t="s">
        <v>120</v>
      </c>
      <c r="B30" s="343" t="str">
        <f ca="1">CONCATENATE(WORLDCUP!AA6,"-",WORLDCUP!AF6)</f>
        <v>República Checa-Sudáfrica</v>
      </c>
      <c r="C30" s="336" t="str">
        <f>CONCATENATE(IF(WORLDCUP!AC6&gt;WORLDCUP!AD6,1,IF(WORLDCUP!AC6&lt;WORLDCUP!AD6,2,IF(AND(WORLDCUP!AC6=WORLDCUP!AD6,WORLDCUP!AC6&lt;&gt;"",WORLDCUP!AD6&lt;&gt;""),"X",0))),"|",WORLDCUP!AC6,"-",WORLDCUP!AD6)</f>
        <v>1|2-0</v>
      </c>
      <c r="D30" s="726" t="str">
        <f>Idiomas!D123</f>
        <v>J2</v>
      </c>
      <c r="E30" s="729" t="str">
        <f>Idiomas!D111</f>
        <v>·Para la segunda jornada copiar de la C30 a la C53 y pega valores en la plantilla de administrador.</v>
      </c>
      <c r="F30" s="729"/>
      <c r="G30" s="729"/>
      <c r="H30" s="729"/>
      <c r="I30" s="367"/>
      <c r="J30" s="357"/>
      <c r="K30" s="357"/>
      <c r="L30" s="357"/>
      <c r="M30" s="366"/>
      <c r="N30" s="364"/>
    </row>
    <row r="31" spans="1:14" ht="15" customHeight="1">
      <c r="A31" s="342" t="s">
        <v>120</v>
      </c>
      <c r="B31" s="343" t="str">
        <f ca="1">CONCATENATE(WORLDCUP!AA7,"-",WORLDCUP!AF7)</f>
        <v>México-Corea del Sur</v>
      </c>
      <c r="C31" s="336" t="str">
        <f>CONCATENATE(IF(WORLDCUP!AC7&gt;WORLDCUP!AD7,1,IF(WORLDCUP!AC7&lt;WORLDCUP!AD7,2,IF(AND(WORLDCUP!AC7=WORLDCUP!AD7,WORLDCUP!AC7&lt;&gt;"",WORLDCUP!AD7&lt;&gt;""),"X",0))),"|",WORLDCUP!AC7,"-",WORLDCUP!AD7)</f>
        <v>X|1-1</v>
      </c>
      <c r="D31" s="726"/>
      <c r="E31" s="713"/>
      <c r="F31" s="713"/>
      <c r="G31" s="713"/>
      <c r="H31" s="713"/>
      <c r="I31" s="368"/>
      <c r="J31" s="357"/>
      <c r="K31" s="357"/>
      <c r="L31" s="357"/>
      <c r="M31" s="366"/>
      <c r="N31" s="364"/>
    </row>
    <row r="32" spans="1:14" ht="15" customHeight="1">
      <c r="A32" s="35" t="s">
        <v>121</v>
      </c>
      <c r="B32" s="344" t="str">
        <f ca="1">CONCATENATE(WORLDCUP!AA14,"-",WORLDCUP!AF14)</f>
        <v>Suiza-Bosnia y Herzegovina</v>
      </c>
      <c r="C32" s="336" t="str">
        <f>CONCATENATE(IF(WORLDCUP!AC14&gt;WORLDCUP!AD14,1,IF(WORLDCUP!AC14&lt;WORLDCUP!AD14,2,IF(AND(WORLDCUP!AC14=WORLDCUP!AD14,WORLDCUP!AC14&lt;&gt;"",WORLDCUP!AD14&lt;&gt;""),"X",0))),"|",WORLDCUP!AC14,"-",WORLDCUP!AD14)</f>
        <v>1|3-2</v>
      </c>
      <c r="D32" s="726"/>
      <c r="E32" s="713"/>
      <c r="F32" s="713"/>
      <c r="G32" s="713"/>
      <c r="H32" s="713"/>
      <c r="I32" s="368"/>
      <c r="J32" s="357"/>
      <c r="K32" s="357"/>
      <c r="L32" s="357"/>
      <c r="M32" s="366"/>
      <c r="N32" s="364"/>
    </row>
    <row r="33" spans="1:14" ht="15" customHeight="1">
      <c r="A33" s="35" t="s">
        <v>121</v>
      </c>
      <c r="B33" s="344" t="str">
        <f ca="1">CONCATENATE(WORLDCUP!AA15,"-",WORLDCUP!AF15)</f>
        <v>Canadá-Catar</v>
      </c>
      <c r="C33" s="336" t="str">
        <f>CONCATENATE(IF(WORLDCUP!AC15&gt;WORLDCUP!AD15,1,IF(WORLDCUP!AC15&lt;WORLDCUP!AD15,2,IF(AND(WORLDCUP!AC15=WORLDCUP!AD15,WORLDCUP!AC15&lt;&gt;"",WORLDCUP!AD15&lt;&gt;""),"X",0))),"|",WORLDCUP!AC15,"-",WORLDCUP!AD15)</f>
        <v>1|1-0</v>
      </c>
      <c r="D33" s="726"/>
      <c r="E33" s="713"/>
      <c r="F33" s="713"/>
      <c r="G33" s="713"/>
      <c r="H33" s="713"/>
      <c r="I33" s="368"/>
      <c r="J33" s="357"/>
      <c r="K33" s="357"/>
      <c r="L33" s="357"/>
      <c r="M33" s="366"/>
      <c r="N33" s="364"/>
    </row>
    <row r="34" spans="1:14" ht="15" customHeight="1">
      <c r="A34" s="342" t="s">
        <v>122</v>
      </c>
      <c r="B34" s="343" t="str">
        <f ca="1">CONCATENATE(WORLDCUP!AA22,"-",WORLDCUP!AF22)</f>
        <v>Escocia-Marruecos</v>
      </c>
      <c r="C34" s="336" t="str">
        <f>CONCATENATE(IF(WORLDCUP!AC22&gt;WORLDCUP!AD22,1,IF(WORLDCUP!AC22&lt;WORLDCUP!AD22,2,IF(AND(WORLDCUP!AC22=WORLDCUP!AD22,WORLDCUP!AC22&lt;&gt;"",WORLDCUP!AD22&lt;&gt;""),"X",0))),"|",WORLDCUP!AC22,"-",WORLDCUP!AD22)</f>
        <v>2|0-2</v>
      </c>
      <c r="D34" s="726"/>
      <c r="E34" s="357"/>
      <c r="F34" s="357"/>
      <c r="G34" s="357"/>
      <c r="H34" s="357"/>
      <c r="I34" s="368"/>
      <c r="J34" s="357"/>
      <c r="K34" s="357"/>
      <c r="L34" s="357"/>
      <c r="M34" s="366"/>
      <c r="N34" s="364"/>
    </row>
    <row r="35" spans="1:14" ht="15" customHeight="1">
      <c r="A35" s="342" t="s">
        <v>122</v>
      </c>
      <c r="B35" s="343" t="str">
        <f ca="1">CONCATENATE(WORLDCUP!AA23,"-",WORLDCUP!AF23)</f>
        <v>Brasil-Haití</v>
      </c>
      <c r="C35" s="336" t="str">
        <f>CONCATENATE(IF(WORLDCUP!AC23&gt;WORLDCUP!AD23,1,IF(WORLDCUP!AC23&lt;WORLDCUP!AD23,2,IF(AND(WORLDCUP!AC23=WORLDCUP!AD23,WORLDCUP!AC23&lt;&gt;"",WORLDCUP!AD23&lt;&gt;""),"X",0))),"|",WORLDCUP!AC23,"-",WORLDCUP!AD23)</f>
        <v>1|3-0</v>
      </c>
      <c r="D35" s="726"/>
      <c r="E35" s="357"/>
      <c r="F35" s="357"/>
      <c r="G35" s="357"/>
      <c r="H35" s="357"/>
      <c r="I35" s="368"/>
      <c r="J35" s="357"/>
      <c r="K35" s="357"/>
      <c r="L35" s="357"/>
      <c r="M35" s="366"/>
      <c r="N35" s="364"/>
    </row>
    <row r="36" spans="1:14" ht="15" customHeight="1">
      <c r="A36" s="35" t="s">
        <v>123</v>
      </c>
      <c r="B36" s="344" t="str">
        <f ca="1">CONCATENATE(WORLDCUP!AA30,"-",WORLDCUP!AF30)</f>
        <v>Estados Unidos-Australia</v>
      </c>
      <c r="C36" s="336" t="str">
        <f>CONCATENATE(IF(WORLDCUP!AC30&gt;WORLDCUP!AD30,1,IF(WORLDCUP!AC30&lt;WORLDCUP!AD30,2,IF(AND(WORLDCUP!AC30=WORLDCUP!AD30,WORLDCUP!AC30&lt;&gt;"",WORLDCUP!AD30&lt;&gt;""),"X",0))),"|",WORLDCUP!AC30,"-",WORLDCUP!AD30)</f>
        <v>1|1-0</v>
      </c>
      <c r="D36" s="726"/>
      <c r="E36" s="357"/>
      <c r="F36" s="357"/>
      <c r="G36" s="357"/>
      <c r="H36" s="357"/>
      <c r="I36" s="368"/>
      <c r="J36" s="357"/>
      <c r="K36" s="357"/>
      <c r="L36" s="357"/>
      <c r="M36" s="366"/>
      <c r="N36" s="364"/>
    </row>
    <row r="37" spans="1:14" ht="15" customHeight="1">
      <c r="A37" s="35" t="s">
        <v>123</v>
      </c>
      <c r="B37" s="344" t="str">
        <f ca="1">CONCATENATE(WORLDCUP!AA31,"-",WORLDCUP!AF31)</f>
        <v>Turquía-Paraguay</v>
      </c>
      <c r="C37" s="336" t="str">
        <f>CONCATENATE(IF(WORLDCUP!AC31&gt;WORLDCUP!AD31,1,IF(WORLDCUP!AC31&lt;WORLDCUP!AD31,2,IF(AND(WORLDCUP!AC31=WORLDCUP!AD31,WORLDCUP!AC31&lt;&gt;"",WORLDCUP!AD31&lt;&gt;""),"X",0))),"|",WORLDCUP!AC31,"-",WORLDCUP!AD31)</f>
        <v>X|1-1</v>
      </c>
      <c r="D37" s="726"/>
      <c r="E37" s="357"/>
      <c r="F37" s="357"/>
      <c r="G37" s="357"/>
      <c r="H37" s="357"/>
      <c r="I37" s="368"/>
      <c r="J37" s="357"/>
      <c r="K37" s="357"/>
      <c r="L37" s="357"/>
      <c r="M37" s="366"/>
      <c r="N37" s="364"/>
    </row>
    <row r="38" spans="1:14" ht="15" customHeight="1">
      <c r="A38" s="342" t="s">
        <v>124</v>
      </c>
      <c r="B38" s="343" t="str">
        <f ca="1">CONCATENATE(WORLDCUP!AA38,"-",WORLDCUP!AF38)</f>
        <v>Alemania-Costa de Marfil</v>
      </c>
      <c r="C38" s="336" t="str">
        <f>CONCATENATE(IF(WORLDCUP!AC38&gt;WORLDCUP!AD38,1,IF(WORLDCUP!AC38&lt;WORLDCUP!AD38,2,IF(AND(WORLDCUP!AC38=WORLDCUP!AD38,WORLDCUP!AC38&lt;&gt;"",WORLDCUP!AD38&lt;&gt;""),"X",0))),"|",WORLDCUP!AC38,"-",WORLDCUP!AD38)</f>
        <v>1|2-1</v>
      </c>
      <c r="D38" s="726"/>
      <c r="E38" s="357"/>
      <c r="F38" s="357"/>
      <c r="G38" s="357"/>
      <c r="H38" s="357"/>
      <c r="I38" s="368"/>
      <c r="J38" s="357"/>
      <c r="K38" s="357"/>
      <c r="L38" s="357"/>
      <c r="M38" s="366"/>
      <c r="N38" s="364"/>
    </row>
    <row r="39" spans="1:14" ht="15" customHeight="1">
      <c r="A39" s="342" t="s">
        <v>124</v>
      </c>
      <c r="B39" s="343" t="str">
        <f ca="1">CONCATENATE(WORLDCUP!AA39,"-",WORLDCUP!AF39)</f>
        <v>Ecuador-Curazao</v>
      </c>
      <c r="C39" s="336" t="str">
        <f>CONCATENATE(IF(WORLDCUP!AC39&gt;WORLDCUP!AD39,1,IF(WORLDCUP!AC39&lt;WORLDCUP!AD39,2,IF(AND(WORLDCUP!AC39=WORLDCUP!AD39,WORLDCUP!AC39&lt;&gt;"",WORLDCUP!AD39&lt;&gt;""),"X",0))),"|",WORLDCUP!AC39,"-",WORLDCUP!AD39)</f>
        <v>1|4-0</v>
      </c>
      <c r="D39" s="726"/>
      <c r="E39" s="357"/>
      <c r="F39" s="357"/>
      <c r="G39" s="357"/>
      <c r="H39" s="357"/>
      <c r="I39" s="368"/>
      <c r="J39" s="357"/>
      <c r="K39" s="357"/>
      <c r="L39" s="357"/>
      <c r="M39" s="366"/>
      <c r="N39" s="364"/>
    </row>
    <row r="40" spans="1:14" ht="15" customHeight="1">
      <c r="A40" s="35" t="s">
        <v>125</v>
      </c>
      <c r="B40" s="344" t="str">
        <f ca="1">CONCATENATE(WORLDCUP!AA46,"-",WORLDCUP!AF46)</f>
        <v>Países Bajos-Suecia</v>
      </c>
      <c r="C40" s="336" t="str">
        <f>CONCATENATE(IF(WORLDCUP!AC46&gt;WORLDCUP!AD46,1,IF(WORLDCUP!AC46&lt;WORLDCUP!AD46,2,IF(AND(WORLDCUP!AC46=WORLDCUP!AD46,WORLDCUP!AC46&lt;&gt;"",WORLDCUP!AD46&lt;&gt;""),"X",0))),"|",WORLDCUP!AC46,"-",WORLDCUP!AD46)</f>
        <v>1|3-2</v>
      </c>
      <c r="D40" s="726"/>
      <c r="E40" s="357"/>
      <c r="F40" s="357"/>
      <c r="G40" s="357"/>
      <c r="H40" s="357"/>
      <c r="I40" s="368"/>
      <c r="J40" s="357"/>
      <c r="K40" s="357"/>
      <c r="L40" s="357"/>
      <c r="M40" s="366"/>
      <c r="N40" s="364"/>
    </row>
    <row r="41" spans="1:14" ht="15" customHeight="1">
      <c r="A41" s="35" t="s">
        <v>125</v>
      </c>
      <c r="B41" s="344" t="str">
        <f ca="1">CONCATENATE(WORLDCUP!AA47,"-",WORLDCUP!AF47)</f>
        <v>Túnez-Japón</v>
      </c>
      <c r="C41" s="336" t="str">
        <f>CONCATENATE(IF(WORLDCUP!AC47&gt;WORLDCUP!AD47,1,IF(WORLDCUP!AC47&lt;WORLDCUP!AD47,2,IF(AND(WORLDCUP!AC47=WORLDCUP!AD47,WORLDCUP!AC47&lt;&gt;"",WORLDCUP!AD47&lt;&gt;""),"X",0))),"|",WORLDCUP!AC47,"-",WORLDCUP!AD47)</f>
        <v>2|1-3</v>
      </c>
      <c r="D41" s="726"/>
      <c r="E41" s="357"/>
      <c r="F41" s="357"/>
      <c r="G41" s="357"/>
      <c r="H41" s="357"/>
      <c r="I41" s="368"/>
      <c r="J41" s="357"/>
      <c r="K41" s="357"/>
      <c r="L41" s="357"/>
      <c r="M41" s="366"/>
      <c r="N41" s="364"/>
    </row>
    <row r="42" spans="1:14" ht="15" customHeight="1">
      <c r="A42" s="342" t="s">
        <v>522</v>
      </c>
      <c r="B42" s="343" t="str">
        <f ca="1">CONCATENATE(WORLDCUP!AA54,"-",WORLDCUP!AF54)</f>
        <v>Bélgica-Irán</v>
      </c>
      <c r="C42" s="336" t="str">
        <f>CONCATENATE(IF(WORLDCUP!AC54&gt;WORLDCUP!AD54,1,IF(WORLDCUP!AC54&lt;WORLDCUP!AD54,2,IF(AND(WORLDCUP!AC54=WORLDCUP!AD54,WORLDCUP!AC54&lt;&gt;"",WORLDCUP!AD54&lt;&gt;""),"X",0))),"|",WORLDCUP!AC54,"-",WORLDCUP!AD54)</f>
        <v>X|2-2</v>
      </c>
      <c r="D42" s="726"/>
      <c r="E42" s="357"/>
      <c r="F42" s="357"/>
      <c r="G42" s="357"/>
      <c r="H42" s="357"/>
      <c r="I42" s="368"/>
      <c r="J42" s="357"/>
      <c r="K42" s="357"/>
      <c r="L42" s="357"/>
      <c r="M42" s="366"/>
      <c r="N42" s="364"/>
    </row>
    <row r="43" spans="1:14" ht="15" customHeight="1">
      <c r="A43" s="342" t="s">
        <v>522</v>
      </c>
      <c r="B43" s="343" t="str">
        <f ca="1">CONCATENATE(WORLDCUP!AA55,"-",WORLDCUP!AF55)</f>
        <v>Nueva Zelanda-Egipto</v>
      </c>
      <c r="C43" s="336" t="str">
        <f>CONCATENATE(IF(WORLDCUP!AC55&gt;WORLDCUP!AD55,1,IF(WORLDCUP!AC55&lt;WORLDCUP!AD55,2,IF(AND(WORLDCUP!AC55=WORLDCUP!AD55,WORLDCUP!AC55&lt;&gt;"",WORLDCUP!AD55&lt;&gt;""),"X",0))),"|",WORLDCUP!AC55,"-",WORLDCUP!AD55)</f>
        <v>2|0-3</v>
      </c>
      <c r="D43" s="726"/>
      <c r="E43" s="357"/>
      <c r="F43" s="357"/>
      <c r="G43" s="357"/>
      <c r="H43" s="357"/>
      <c r="I43" s="368"/>
      <c r="J43" s="357"/>
      <c r="K43" s="357"/>
      <c r="L43" s="357"/>
      <c r="M43" s="366"/>
      <c r="N43" s="364"/>
    </row>
    <row r="44" spans="1:14" ht="15" customHeight="1">
      <c r="A44" s="35" t="s">
        <v>524</v>
      </c>
      <c r="B44" s="344" t="str">
        <f ca="1">CONCATENATE(WORLDCUP!AA62,"-",WORLDCUP!AF62)</f>
        <v>España-Arabia Saudita</v>
      </c>
      <c r="C44" s="336" t="str">
        <f>CONCATENATE(IF(WORLDCUP!AC62&gt;WORLDCUP!AD62,1,IF(WORLDCUP!AC62&lt;WORLDCUP!AD62,2,IF(AND(WORLDCUP!AC62=WORLDCUP!AD62,WORLDCUP!AC62&lt;&gt;"",WORLDCUP!AD62&lt;&gt;""),"X",0))),"|",WORLDCUP!AC62,"-",WORLDCUP!AD62)</f>
        <v>1|2-1</v>
      </c>
      <c r="D44" s="726"/>
      <c r="E44" s="357"/>
      <c r="F44" s="357"/>
      <c r="G44" s="357"/>
      <c r="H44" s="357"/>
      <c r="I44" s="368"/>
      <c r="J44" s="357"/>
      <c r="K44" s="357"/>
      <c r="L44" s="357"/>
      <c r="M44" s="366"/>
      <c r="N44" s="364"/>
    </row>
    <row r="45" spans="1:14" ht="15" customHeight="1">
      <c r="A45" s="35" t="s">
        <v>524</v>
      </c>
      <c r="B45" s="344" t="str">
        <f ca="1">CONCATENATE(WORLDCUP!AA63,"-",WORLDCUP!AF63)</f>
        <v>Uruguay-Cabo Verde</v>
      </c>
      <c r="C45" s="336" t="str">
        <f>CONCATENATE(IF(WORLDCUP!AC63&gt;WORLDCUP!AD63,1,IF(WORLDCUP!AC63&lt;WORLDCUP!AD63,2,IF(AND(WORLDCUP!AC63=WORLDCUP!AD63,WORLDCUP!AC63&lt;&gt;"",WORLDCUP!AD63&lt;&gt;""),"X",0))),"|",WORLDCUP!AC63,"-",WORLDCUP!AD63)</f>
        <v>1|3-0</v>
      </c>
      <c r="D45" s="726"/>
      <c r="E45" s="357"/>
      <c r="F45" s="357"/>
      <c r="G45" s="357"/>
      <c r="H45" s="357"/>
      <c r="I45" s="368"/>
      <c r="J45" s="357"/>
      <c r="K45" s="357"/>
      <c r="L45" s="357"/>
      <c r="M45" s="366"/>
      <c r="N45" s="364"/>
    </row>
    <row r="46" spans="1:14" ht="15" customHeight="1">
      <c r="A46" s="342" t="s">
        <v>525</v>
      </c>
      <c r="B46" s="343" t="str">
        <f ca="1">CONCATENATE(WORLDCUP!AA70,"-",WORLDCUP!AF70)</f>
        <v>Francia-Irak</v>
      </c>
      <c r="C46" s="336" t="str">
        <f>CONCATENATE(IF(WORLDCUP!AC70&gt;WORLDCUP!AD70,1,IF(WORLDCUP!AC70&lt;WORLDCUP!AD70,2,IF(AND(WORLDCUP!AC70=WORLDCUP!AD70,WORLDCUP!AC70&lt;&gt;"",WORLDCUP!AD70&lt;&gt;""),"X",0))),"|",WORLDCUP!AC70,"-",WORLDCUP!AD70)</f>
        <v>1|3-1</v>
      </c>
      <c r="D46" s="726"/>
      <c r="E46" s="357"/>
      <c r="F46" s="357"/>
      <c r="G46" s="357"/>
      <c r="H46" s="357"/>
      <c r="I46" s="368"/>
      <c r="J46" s="357"/>
      <c r="K46" s="357"/>
      <c r="L46" s="357"/>
      <c r="M46" s="366"/>
      <c r="N46" s="364"/>
    </row>
    <row r="47" spans="1:14" ht="15" customHeight="1">
      <c r="A47" s="342" t="s">
        <v>525</v>
      </c>
      <c r="B47" s="343" t="str">
        <f ca="1">CONCATENATE(WORLDCUP!AA71,"-",WORLDCUP!AF71)</f>
        <v>Noruega-Senegal</v>
      </c>
      <c r="C47" s="336" t="str">
        <f>CONCATENATE(IF(WORLDCUP!AC71&gt;WORLDCUP!AD71,1,IF(WORLDCUP!AC71&lt;WORLDCUP!AD71,2,IF(AND(WORLDCUP!AC71=WORLDCUP!AD71,WORLDCUP!AC71&lt;&gt;"",WORLDCUP!AD71&lt;&gt;""),"X",0))),"|",WORLDCUP!AC71,"-",WORLDCUP!AD71)</f>
        <v>1|3-2</v>
      </c>
      <c r="D47" s="726"/>
      <c r="E47" s="357"/>
      <c r="F47" s="357"/>
      <c r="G47" s="357"/>
      <c r="H47" s="357"/>
      <c r="I47" s="368"/>
      <c r="J47" s="357"/>
      <c r="K47" s="357"/>
      <c r="L47" s="357"/>
      <c r="M47" s="366"/>
      <c r="N47" s="364"/>
    </row>
    <row r="48" spans="1:14" ht="15" customHeight="1">
      <c r="A48" s="35" t="s">
        <v>29</v>
      </c>
      <c r="B48" s="344" t="str">
        <f ca="1">CONCATENATE(WORLDCUP!AA78,"-",WORLDCUP!AF78)</f>
        <v>Argentina-Austria</v>
      </c>
      <c r="C48" s="336" t="str">
        <f>CONCATENATE(IF(WORLDCUP!AC78&gt;WORLDCUP!AD78,1,IF(WORLDCUP!AC78&lt;WORLDCUP!AD78,2,IF(AND(WORLDCUP!AC78=WORLDCUP!AD78,WORLDCUP!AC78&lt;&gt;"",WORLDCUP!AD78&lt;&gt;""),"X",0))),"|",WORLDCUP!AC78,"-",WORLDCUP!AD78)</f>
        <v>1|2-0</v>
      </c>
      <c r="D48" s="726"/>
      <c r="E48" s="357"/>
      <c r="F48" s="357"/>
      <c r="G48" s="357"/>
      <c r="H48" s="357"/>
      <c r="I48" s="368"/>
      <c r="J48" s="357"/>
      <c r="K48" s="357"/>
      <c r="L48" s="357"/>
      <c r="M48" s="366"/>
      <c r="N48" s="364"/>
    </row>
    <row r="49" spans="1:14" ht="15" customHeight="1">
      <c r="A49" s="35" t="s">
        <v>29</v>
      </c>
      <c r="B49" s="344" t="str">
        <f ca="1">CONCATENATE(WORLDCUP!AA79,"-",WORLDCUP!AF79)</f>
        <v>Jordania-Argelia</v>
      </c>
      <c r="C49" s="336" t="str">
        <f>CONCATENATE(IF(WORLDCUP!AC79&gt;WORLDCUP!AD79,1,IF(WORLDCUP!AC79&lt;WORLDCUP!AD79,2,IF(AND(WORLDCUP!AC79=WORLDCUP!AD79,WORLDCUP!AC79&lt;&gt;"",WORLDCUP!AD79&lt;&gt;""),"X",0))),"|",WORLDCUP!AC79,"-",WORLDCUP!AD79)</f>
        <v>2|0-2</v>
      </c>
      <c r="D49" s="726"/>
      <c r="E49" s="357"/>
      <c r="F49" s="357"/>
      <c r="G49" s="357"/>
      <c r="H49" s="357"/>
      <c r="I49" s="368"/>
      <c r="J49" s="357"/>
      <c r="K49" s="357"/>
      <c r="L49" s="357"/>
      <c r="M49" s="366"/>
      <c r="N49" s="364"/>
    </row>
    <row r="50" spans="1:14" ht="15" customHeight="1">
      <c r="A50" s="342" t="s">
        <v>311</v>
      </c>
      <c r="B50" s="343" t="str">
        <f ca="1">CONCATENATE(WORLDCUP!AA86,"-",WORLDCUP!AF86)</f>
        <v>Portugal-Uzbekistán</v>
      </c>
      <c r="C50" s="336" t="str">
        <f>CONCATENATE(IF(WORLDCUP!AC86&gt;WORLDCUP!AD86,1,IF(WORLDCUP!AC86&lt;WORLDCUP!AD86,2,IF(AND(WORLDCUP!AC86=WORLDCUP!AD86,WORLDCUP!AC86&lt;&gt;"",WORLDCUP!AD86&lt;&gt;""),"X",0))),"|",WORLDCUP!AC86,"-",WORLDCUP!AD86)</f>
        <v>1|2-0</v>
      </c>
      <c r="D50" s="726"/>
      <c r="E50" s="357"/>
      <c r="F50" s="357"/>
      <c r="G50" s="357"/>
      <c r="H50" s="357"/>
      <c r="I50" s="368"/>
      <c r="J50" s="357"/>
      <c r="K50" s="357"/>
      <c r="L50" s="357"/>
      <c r="M50" s="366"/>
      <c r="N50" s="364"/>
    </row>
    <row r="51" spans="1:14" ht="15" customHeight="1">
      <c r="A51" s="342" t="s">
        <v>311</v>
      </c>
      <c r="B51" s="343" t="str">
        <f ca="1">CONCATENATE(WORLDCUP!AA87,"-",WORLDCUP!AF87)</f>
        <v>Colombia-RD Congo</v>
      </c>
      <c r="C51" s="336" t="str">
        <f>CONCATENATE(IF(WORLDCUP!AC87&gt;WORLDCUP!AD87,1,IF(WORLDCUP!AC87&lt;WORLDCUP!AD87,2,IF(AND(WORLDCUP!AC87=WORLDCUP!AD87,WORLDCUP!AC87&lt;&gt;"",WORLDCUP!AD87&lt;&gt;""),"X",0))),"|",WORLDCUP!AC87,"-",WORLDCUP!AD87)</f>
        <v>1|2-0</v>
      </c>
      <c r="D51" s="726"/>
      <c r="E51" s="357"/>
      <c r="F51" s="357"/>
      <c r="G51" s="357"/>
      <c r="H51" s="357"/>
      <c r="I51" s="368"/>
      <c r="J51" s="357"/>
      <c r="K51" s="357"/>
      <c r="L51" s="357"/>
      <c r="M51" s="366"/>
      <c r="N51" s="364"/>
    </row>
    <row r="52" spans="1:14" ht="15" customHeight="1">
      <c r="A52" s="35" t="s">
        <v>1211</v>
      </c>
      <c r="B52" s="344" t="str">
        <f ca="1">CONCATENATE(WORLDCUP!AA94,"-",WORLDCUP!AF94)</f>
        <v>Inglaterra-Ghana</v>
      </c>
      <c r="C52" s="336" t="str">
        <f>CONCATENATE(IF(WORLDCUP!AC94&gt;WORLDCUP!AD94,1,IF(WORLDCUP!AC94&lt;WORLDCUP!AD94,2,IF(AND(WORLDCUP!AC94=WORLDCUP!AD94,WORLDCUP!AC94&lt;&gt;"",WORLDCUP!AD94&lt;&gt;""),"X",0))),"|",WORLDCUP!AC94,"-",WORLDCUP!AD94)</f>
        <v>1|3-1</v>
      </c>
      <c r="D52" s="726"/>
      <c r="E52" s="357"/>
      <c r="F52" s="357"/>
      <c r="G52" s="357"/>
      <c r="H52" s="357"/>
      <c r="I52" s="368"/>
      <c r="J52" s="357"/>
      <c r="K52" s="357"/>
      <c r="L52" s="357"/>
      <c r="M52" s="366"/>
      <c r="N52" s="364"/>
    </row>
    <row r="53" spans="1:14" ht="15" customHeight="1">
      <c r="A53" s="35" t="s">
        <v>1211</v>
      </c>
      <c r="B53" s="344" t="str">
        <f ca="1">CONCATENATE(WORLDCUP!AA95,"-",WORLDCUP!AF95)</f>
        <v>Panamá-Croacia</v>
      </c>
      <c r="C53" s="336" t="str">
        <f>CONCATENATE(IF(WORLDCUP!AC95&gt;WORLDCUP!AD95,1,IF(WORLDCUP!AC95&lt;WORLDCUP!AD95,2,IF(AND(WORLDCUP!AC95=WORLDCUP!AD95,WORLDCUP!AC95&lt;&gt;"",WORLDCUP!AD95&lt;&gt;""),"X",0))),"|",WORLDCUP!AC95,"-",WORLDCUP!AD95)</f>
        <v>2|0-3</v>
      </c>
      <c r="D53" s="727"/>
      <c r="E53" s="359"/>
      <c r="F53" s="359"/>
      <c r="G53" s="359"/>
      <c r="H53" s="359"/>
      <c r="I53" s="369"/>
      <c r="J53" s="357"/>
      <c r="K53" s="357"/>
      <c r="L53" s="357"/>
      <c r="M53" s="366"/>
      <c r="N53" s="364"/>
    </row>
    <row r="54" spans="1:14" ht="15" customHeight="1">
      <c r="A54" s="342" t="s">
        <v>126</v>
      </c>
      <c r="B54" s="343" t="str">
        <f ca="1">CONCATENATE(WORLDCUP!AA8,"-",WORLDCUP!AF8)</f>
        <v>República Checa-México</v>
      </c>
      <c r="C54" s="336" t="str">
        <f>CONCATENATE(IF(WORLDCUP!AC8&gt;WORLDCUP!AD8,1,IF(WORLDCUP!AC8&lt;WORLDCUP!AD8,2,IF(AND(WORLDCUP!AC8=WORLDCUP!AD8,WORLDCUP!AC8&lt;&gt;"",WORLDCUP!AD8&lt;&gt;""),"X",0))),"|",WORLDCUP!AC8,"-",WORLDCUP!AD8)</f>
        <v>2|0-2</v>
      </c>
      <c r="D54" s="720" t="str">
        <f>Idiomas!D124</f>
        <v>J3</v>
      </c>
      <c r="E54" s="729" t="str">
        <f>Idiomas!D112</f>
        <v>·Para la tercera jornada copiar de la C54 a la C161 y pega valores en la plantilla de administrador.</v>
      </c>
      <c r="F54" s="729"/>
      <c r="G54" s="729"/>
      <c r="H54" s="729"/>
      <c r="I54" s="368"/>
      <c r="J54" s="357"/>
      <c r="K54" s="357"/>
      <c r="L54" s="357"/>
      <c r="M54" s="366"/>
      <c r="N54" s="364"/>
    </row>
    <row r="55" spans="1:14" ht="15" customHeight="1">
      <c r="A55" s="342" t="s">
        <v>126</v>
      </c>
      <c r="B55" s="343" t="str">
        <f ca="1">CONCATENATE(WORLDCUP!AA9,"-",WORLDCUP!AF9)</f>
        <v>Sudáfrica-Corea del Sur</v>
      </c>
      <c r="C55" s="336" t="str">
        <f>CONCATENATE(IF(WORLDCUP!AC9&gt;WORLDCUP!AD9,1,IF(WORLDCUP!AC9&lt;WORLDCUP!AD9,2,IF(AND(WORLDCUP!AC9=WORLDCUP!AD9,WORLDCUP!AC9&lt;&gt;"",WORLDCUP!AD9&lt;&gt;""),"X",0))),"|",WORLDCUP!AC9,"-",WORLDCUP!AD9)</f>
        <v>2|0-1</v>
      </c>
      <c r="D55" s="720"/>
      <c r="E55" s="713"/>
      <c r="F55" s="713"/>
      <c r="G55" s="713"/>
      <c r="H55" s="713"/>
      <c r="I55" s="368"/>
      <c r="J55" s="357"/>
      <c r="K55" s="357"/>
      <c r="L55" s="357"/>
      <c r="M55" s="366"/>
      <c r="N55" s="364"/>
    </row>
    <row r="56" spans="1:14" ht="15" customHeight="1">
      <c r="A56" s="35" t="s">
        <v>127</v>
      </c>
      <c r="B56" s="344" t="str">
        <f ca="1">CONCATENATE(WORLDCUP!AA16,"-",WORLDCUP!AF16)</f>
        <v>Suiza-Canadá</v>
      </c>
      <c r="C56" s="336" t="str">
        <f>CONCATENATE(IF(WORLDCUP!AC16&gt;WORLDCUP!AD16,1,IF(WORLDCUP!AC16&lt;WORLDCUP!AD16,2,IF(AND(WORLDCUP!AC16=WORLDCUP!AD16,WORLDCUP!AC16&lt;&gt;"",WORLDCUP!AD16&lt;&gt;""),"X",0))),"|",WORLDCUP!AC16,"-",WORLDCUP!AD16)</f>
        <v>2|2-3</v>
      </c>
      <c r="D56" s="720"/>
      <c r="E56" s="713"/>
      <c r="F56" s="713"/>
      <c r="G56" s="713"/>
      <c r="H56" s="713"/>
      <c r="I56" s="368"/>
      <c r="J56" s="357"/>
      <c r="K56" s="357"/>
      <c r="L56" s="357"/>
      <c r="M56" s="366"/>
      <c r="N56" s="364"/>
    </row>
    <row r="57" spans="1:14" ht="15" customHeight="1">
      <c r="A57" s="35" t="s">
        <v>127</v>
      </c>
      <c r="B57" s="344" t="str">
        <f ca="1">CONCATENATE(WORLDCUP!AA17,"-",WORLDCUP!AF17)</f>
        <v>Bosnia y Herzegovina-Catar</v>
      </c>
      <c r="C57" s="336" t="str">
        <f>CONCATENATE(IF(WORLDCUP!AC17&gt;WORLDCUP!AD17,1,IF(WORLDCUP!AC17&lt;WORLDCUP!AD17,2,IF(AND(WORLDCUP!AC17=WORLDCUP!AD17,WORLDCUP!AC17&lt;&gt;"",WORLDCUP!AD17&lt;&gt;""),"X",0))),"|",WORLDCUP!AC17,"-",WORLDCUP!AD17)</f>
        <v>1|1-0</v>
      </c>
      <c r="D57" s="720"/>
      <c r="E57" s="713"/>
      <c r="F57" s="713"/>
      <c r="G57" s="713"/>
      <c r="H57" s="713"/>
      <c r="I57" s="368"/>
      <c r="J57" s="357"/>
      <c r="K57" s="357"/>
      <c r="L57" s="357"/>
      <c r="M57" s="366"/>
      <c r="N57" s="364"/>
    </row>
    <row r="58" spans="1:14" ht="15" customHeight="1">
      <c r="A58" s="342" t="s">
        <v>128</v>
      </c>
      <c r="B58" s="343" t="str">
        <f ca="1">CONCATENATE(WORLDCUP!AA24,"-",WORLDCUP!AF24)</f>
        <v>Escocia-Brasil</v>
      </c>
      <c r="C58" s="336" t="str">
        <f>CONCATENATE(IF(WORLDCUP!AC24&gt;WORLDCUP!AD24,1,IF(WORLDCUP!AC24&lt;WORLDCUP!AD24,2,IF(AND(WORLDCUP!AC24=WORLDCUP!AD24,WORLDCUP!AC24&lt;&gt;"",WORLDCUP!AD24&lt;&gt;""),"X",0))),"|",WORLDCUP!AC24,"-",WORLDCUP!AD24)</f>
        <v>2|0-3</v>
      </c>
      <c r="D58" s="720"/>
      <c r="E58" s="357"/>
      <c r="F58" s="357"/>
      <c r="G58" s="357"/>
      <c r="H58" s="357"/>
      <c r="I58" s="368"/>
      <c r="J58" s="357"/>
      <c r="K58" s="357"/>
      <c r="L58" s="357"/>
      <c r="M58" s="366"/>
      <c r="N58" s="364"/>
    </row>
    <row r="59" spans="1:14" ht="15" customHeight="1">
      <c r="A59" s="342" t="s">
        <v>128</v>
      </c>
      <c r="B59" s="343" t="str">
        <f ca="1">CONCATENATE(WORLDCUP!AA25,"-",WORLDCUP!AF25)</f>
        <v>Marruecos-Haití</v>
      </c>
      <c r="C59" s="336" t="str">
        <f>CONCATENATE(IF(WORLDCUP!AC25&gt;WORLDCUP!AD25,1,IF(WORLDCUP!AC25&lt;WORLDCUP!AD25,2,IF(AND(WORLDCUP!AC25=WORLDCUP!AD25,WORLDCUP!AC25&lt;&gt;"",WORLDCUP!AD25&lt;&gt;""),"X",0))),"|",WORLDCUP!AC25,"-",WORLDCUP!AD25)</f>
        <v>1|2-0</v>
      </c>
      <c r="D59" s="720"/>
      <c r="E59" s="357"/>
      <c r="F59" s="357"/>
      <c r="G59" s="357"/>
      <c r="H59" s="357"/>
      <c r="I59" s="368"/>
      <c r="J59" s="357"/>
      <c r="K59" s="357"/>
      <c r="L59" s="357"/>
      <c r="M59" s="366"/>
      <c r="N59" s="364"/>
    </row>
    <row r="60" spans="1:14" ht="15" customHeight="1">
      <c r="A60" s="35" t="s">
        <v>129</v>
      </c>
      <c r="B60" s="344" t="str">
        <f ca="1">CONCATENATE(WORLDCUP!AA32,"-",WORLDCUP!AF32)</f>
        <v>Turquía-Estados Unidos</v>
      </c>
      <c r="C60" s="336" t="str">
        <f>CONCATENATE(IF(WORLDCUP!AC32&gt;WORLDCUP!AD32,1,IF(WORLDCUP!AC32&lt;WORLDCUP!AD32,2,IF(AND(WORLDCUP!AC32=WORLDCUP!AD32,WORLDCUP!AC32&lt;&gt;"",WORLDCUP!AD32&lt;&gt;""),"X",0))),"|",WORLDCUP!AC32,"-",WORLDCUP!AD32)</f>
        <v>1|2-0</v>
      </c>
      <c r="D60" s="720"/>
      <c r="E60" s="357"/>
      <c r="F60" s="357"/>
      <c r="G60" s="357"/>
      <c r="H60" s="357"/>
      <c r="I60" s="368"/>
      <c r="J60" s="357"/>
      <c r="K60" s="357"/>
      <c r="L60" s="357"/>
      <c r="M60" s="366"/>
      <c r="N60" s="364"/>
    </row>
    <row r="61" spans="1:14" ht="15" customHeight="1">
      <c r="A61" s="35" t="s">
        <v>129</v>
      </c>
      <c r="B61" s="344" t="str">
        <f ca="1">CONCATENATE(WORLDCUP!AA33,"-",WORLDCUP!AF33)</f>
        <v>Paraguay-Australia</v>
      </c>
      <c r="C61" s="336" t="str">
        <f>CONCATENATE(IF(WORLDCUP!AC33&gt;WORLDCUP!AD33,1,IF(WORLDCUP!AC33&lt;WORLDCUP!AD33,2,IF(AND(WORLDCUP!AC33=WORLDCUP!AD33,WORLDCUP!AC33&lt;&gt;"",WORLDCUP!AD33&lt;&gt;""),"X",0))),"|",WORLDCUP!AC33,"-",WORLDCUP!AD33)</f>
        <v>X|0-0</v>
      </c>
      <c r="D61" s="720"/>
      <c r="E61" s="357"/>
      <c r="F61" s="357"/>
      <c r="G61" s="357"/>
      <c r="H61" s="357"/>
      <c r="I61" s="368"/>
      <c r="J61" s="357"/>
      <c r="K61" s="357"/>
      <c r="L61" s="357"/>
      <c r="M61" s="366"/>
      <c r="N61" s="364"/>
    </row>
    <row r="62" spans="1:14" ht="15" customHeight="1">
      <c r="A62" s="342" t="s">
        <v>130</v>
      </c>
      <c r="B62" s="343" t="str">
        <f ca="1">CONCATENATE(WORLDCUP!AA40,"-",WORLDCUP!AF40)</f>
        <v>Curazao-Costa de Marfil</v>
      </c>
      <c r="C62" s="336" t="str">
        <f>CONCATENATE(IF(WORLDCUP!AC40&gt;WORLDCUP!AD40,1,IF(WORLDCUP!AC40&lt;WORLDCUP!AD40,2,IF(AND(WORLDCUP!AC40=WORLDCUP!AD40,WORLDCUP!AC40&lt;&gt;"",WORLDCUP!AD40&lt;&gt;""),"X",0))),"|",WORLDCUP!AC40,"-",WORLDCUP!AD40)</f>
        <v>2|1-3</v>
      </c>
      <c r="D62" s="720"/>
      <c r="E62" s="357"/>
      <c r="F62" s="357"/>
      <c r="G62" s="357"/>
      <c r="H62" s="357"/>
      <c r="I62" s="368"/>
      <c r="J62" s="357"/>
      <c r="K62" s="357"/>
      <c r="L62" s="357"/>
      <c r="M62" s="366"/>
      <c r="N62" s="364"/>
    </row>
    <row r="63" spans="1:14" ht="15" customHeight="1">
      <c r="A63" s="342" t="s">
        <v>130</v>
      </c>
      <c r="B63" s="343" t="str">
        <f ca="1">CONCATENATE(WORLDCUP!AA41,"-",WORLDCUP!AF41)</f>
        <v>Ecuador-Alemania</v>
      </c>
      <c r="C63" s="336" t="str">
        <f>CONCATENATE(IF(WORLDCUP!AC41&gt;WORLDCUP!AD41,1,IF(WORLDCUP!AC41&lt;WORLDCUP!AD41,2,IF(AND(WORLDCUP!AC41=WORLDCUP!AD41,WORLDCUP!AC41&lt;&gt;"",WORLDCUP!AD41&lt;&gt;""),"X",0))),"|",WORLDCUP!AC41,"-",WORLDCUP!AD41)</f>
        <v>X|1-1</v>
      </c>
      <c r="D63" s="720"/>
      <c r="E63" s="357"/>
      <c r="F63" s="357"/>
      <c r="G63" s="357"/>
      <c r="H63" s="357"/>
      <c r="I63" s="368"/>
      <c r="J63" s="357"/>
      <c r="K63" s="357"/>
      <c r="L63" s="357"/>
      <c r="M63" s="366"/>
      <c r="N63" s="364"/>
    </row>
    <row r="64" spans="1:14" ht="15" customHeight="1">
      <c r="A64" s="35" t="s">
        <v>131</v>
      </c>
      <c r="B64" s="344" t="str">
        <f ca="1">CONCATENATE(WORLDCUP!AA48,"-",WORLDCUP!AF48)</f>
        <v>Japón-Suecia</v>
      </c>
      <c r="C64" s="336" t="str">
        <f>CONCATENATE(IF(WORLDCUP!AC48&gt;WORLDCUP!AD48,1,IF(WORLDCUP!AC48&lt;WORLDCUP!AD48,2,IF(AND(WORLDCUP!AC48=WORLDCUP!AD48,WORLDCUP!AC48&lt;&gt;"",WORLDCUP!AD48&lt;&gt;""),"X",0))),"|",WORLDCUP!AC48,"-",WORLDCUP!AD48)</f>
        <v>1|4-1</v>
      </c>
      <c r="D64" s="720"/>
      <c r="E64" s="357"/>
      <c r="F64" s="357"/>
      <c r="G64" s="357"/>
      <c r="H64" s="357"/>
      <c r="I64" s="368"/>
      <c r="J64" s="357"/>
      <c r="K64" s="357"/>
      <c r="L64" s="357"/>
      <c r="M64" s="366"/>
      <c r="N64" s="364"/>
    </row>
    <row r="65" spans="1:14" ht="15" customHeight="1">
      <c r="A65" s="35" t="s">
        <v>131</v>
      </c>
      <c r="B65" s="344" t="str">
        <f ca="1">CONCATENATE(WORLDCUP!AA49,"-",WORLDCUP!AF49)</f>
        <v>Túnez-Países Bajos</v>
      </c>
      <c r="C65" s="336" t="str">
        <f>CONCATENATE(IF(WORLDCUP!AC49&gt;WORLDCUP!AD49,1,IF(WORLDCUP!AC49&lt;WORLDCUP!AD49,2,IF(AND(WORLDCUP!AC49=WORLDCUP!AD49,WORLDCUP!AC49&lt;&gt;"",WORLDCUP!AD49&lt;&gt;""),"X",0))),"|",WORLDCUP!AC49,"-",WORLDCUP!AD49)</f>
        <v>2|0-3</v>
      </c>
      <c r="D65" s="720"/>
      <c r="E65" s="357"/>
      <c r="F65" s="357"/>
      <c r="G65" s="357"/>
      <c r="H65" s="357"/>
      <c r="I65" s="368"/>
      <c r="J65" s="357"/>
      <c r="K65" s="357"/>
      <c r="L65" s="357"/>
      <c r="M65" s="366"/>
      <c r="N65" s="364"/>
    </row>
    <row r="66" spans="1:14" ht="15" customHeight="1">
      <c r="A66" s="342" t="s">
        <v>182</v>
      </c>
      <c r="B66" s="343" t="str">
        <f ca="1">CONCATENATE(WORLDCUP!AA56,"-",WORLDCUP!AF56)</f>
        <v>Egipto-Irán</v>
      </c>
      <c r="C66" s="336" t="str">
        <f>CONCATENATE(IF(WORLDCUP!AC56&gt;WORLDCUP!AD56,1,IF(WORLDCUP!AC56&lt;WORLDCUP!AD56,2,IF(AND(WORLDCUP!AC56=WORLDCUP!AD56,WORLDCUP!AC56&lt;&gt;"",WORLDCUP!AD56&lt;&gt;""),"X",0))),"|",WORLDCUP!AC56,"-",WORLDCUP!AD56)</f>
        <v>1|2-1</v>
      </c>
      <c r="D66" s="720"/>
      <c r="E66" s="357"/>
      <c r="F66" s="357"/>
      <c r="G66" s="357"/>
      <c r="H66" s="357"/>
      <c r="I66" s="368"/>
      <c r="J66" s="357"/>
      <c r="K66" s="357"/>
      <c r="L66" s="357"/>
      <c r="M66" s="366"/>
      <c r="N66" s="364"/>
    </row>
    <row r="67" spans="1:14" ht="15" customHeight="1">
      <c r="A67" s="342" t="s">
        <v>182</v>
      </c>
      <c r="B67" s="343" t="str">
        <f ca="1">CONCATENATE(WORLDCUP!AA57,"-",WORLDCUP!AF57)</f>
        <v>Nueva Zelanda-Bélgica</v>
      </c>
      <c r="C67" s="336" t="str">
        <f>CONCATENATE(IF(WORLDCUP!AC57&gt;WORLDCUP!AD57,1,IF(WORLDCUP!AC57&lt;WORLDCUP!AD57,2,IF(AND(WORLDCUP!AC57=WORLDCUP!AD57,WORLDCUP!AC57&lt;&gt;"",WORLDCUP!AD57&lt;&gt;""),"X",0))),"|",WORLDCUP!AC57,"-",WORLDCUP!AD57)</f>
        <v>2|0-4</v>
      </c>
      <c r="D67" s="720"/>
      <c r="E67" s="357"/>
      <c r="F67" s="357"/>
      <c r="G67" s="357"/>
      <c r="H67" s="357"/>
      <c r="I67" s="368"/>
      <c r="J67" s="357"/>
      <c r="K67" s="357"/>
      <c r="L67" s="357"/>
      <c r="M67" s="366"/>
      <c r="N67" s="364"/>
    </row>
    <row r="68" spans="1:14" ht="15" customHeight="1">
      <c r="A68" s="35" t="s">
        <v>183</v>
      </c>
      <c r="B68" s="344" t="str">
        <f ca="1">CONCATENATE(WORLDCUP!AA64,"-",WORLDCUP!AF64)</f>
        <v>Cabo Verde-Arabia Saudita</v>
      </c>
      <c r="C68" s="336" t="str">
        <f>CONCATENATE(IF(WORLDCUP!AC64&gt;WORLDCUP!AD64,1,IF(WORLDCUP!AC64&lt;WORLDCUP!AD64,2,IF(AND(WORLDCUP!AC64=WORLDCUP!AD64,WORLDCUP!AC64&lt;&gt;"",WORLDCUP!AD64&lt;&gt;""),"X",0))),"|",WORLDCUP!AC64,"-",WORLDCUP!AD64)</f>
        <v>2|0-1</v>
      </c>
      <c r="D68" s="720"/>
      <c r="E68" s="357"/>
      <c r="F68" s="357"/>
      <c r="G68" s="357"/>
      <c r="H68" s="357"/>
      <c r="I68" s="368"/>
      <c r="J68" s="357"/>
      <c r="K68" s="357"/>
      <c r="L68" s="357"/>
      <c r="M68" s="366"/>
      <c r="N68" s="364"/>
    </row>
    <row r="69" spans="1:14" ht="15" customHeight="1">
      <c r="A69" s="35" t="s">
        <v>183</v>
      </c>
      <c r="B69" s="344" t="str">
        <f ca="1">CONCATENATE(WORLDCUP!AA65,"-",WORLDCUP!AF65)</f>
        <v>Uruguay-España</v>
      </c>
      <c r="C69" s="336" t="str">
        <f>CONCATENATE(IF(WORLDCUP!AC65&gt;WORLDCUP!AD65,1,IF(WORLDCUP!AC65&lt;WORLDCUP!AD65,2,IF(AND(WORLDCUP!AC65=WORLDCUP!AD65,WORLDCUP!AC65&lt;&gt;"",WORLDCUP!AD65&lt;&gt;""),"X",0))),"|",WORLDCUP!AC65,"-",WORLDCUP!AD65)</f>
        <v>X|1-1</v>
      </c>
      <c r="D69" s="720"/>
      <c r="E69" s="357"/>
      <c r="F69" s="357"/>
      <c r="G69" s="357"/>
      <c r="H69" s="357"/>
      <c r="I69" s="368"/>
      <c r="J69" s="357"/>
      <c r="K69" s="357"/>
      <c r="L69" s="357"/>
      <c r="M69" s="366"/>
      <c r="N69" s="364"/>
    </row>
    <row r="70" spans="1:14" ht="15" customHeight="1">
      <c r="A70" s="342" t="s">
        <v>184</v>
      </c>
      <c r="B70" s="343" t="str">
        <f ca="1">CONCATENATE(WORLDCUP!AA72,"-",WORLDCUP!AF72)</f>
        <v>Noruega-Francia</v>
      </c>
      <c r="C70" s="336" t="str">
        <f>CONCATENATE(IF(WORLDCUP!AC72&gt;WORLDCUP!AD72,1,IF(WORLDCUP!AC72&lt;WORLDCUP!AD72,2,IF(AND(WORLDCUP!AC72=WORLDCUP!AD72,WORLDCUP!AC72&lt;&gt;"",WORLDCUP!AD72&lt;&gt;""),"X",0))),"|",WORLDCUP!AC72,"-",WORLDCUP!AD72)</f>
        <v>2|1-3</v>
      </c>
      <c r="D70" s="720"/>
      <c r="E70" s="357"/>
      <c r="F70" s="357"/>
      <c r="G70" s="357"/>
      <c r="H70" s="357"/>
      <c r="I70" s="368"/>
      <c r="J70" s="357"/>
      <c r="K70" s="357"/>
      <c r="L70" s="357"/>
      <c r="M70" s="366"/>
      <c r="N70" s="364"/>
    </row>
    <row r="71" spans="1:14" ht="15" customHeight="1">
      <c r="A71" s="342" t="s">
        <v>184</v>
      </c>
      <c r="B71" s="343" t="str">
        <f ca="1">CONCATENATE(WORLDCUP!AA73,"-",WORLDCUP!AF73)</f>
        <v>Senegal-Irak</v>
      </c>
      <c r="C71" s="336" t="str">
        <f>CONCATENATE(IF(WORLDCUP!AC73&gt;WORLDCUP!AD73,1,IF(WORLDCUP!AC73&lt;WORLDCUP!AD73,2,IF(AND(WORLDCUP!AC73=WORLDCUP!AD73,WORLDCUP!AC73&lt;&gt;"",WORLDCUP!AD73&lt;&gt;""),"X",0))),"|",WORLDCUP!AC73,"-",WORLDCUP!AD73)</f>
        <v>1|2-1</v>
      </c>
      <c r="D71" s="720"/>
      <c r="E71" s="357"/>
      <c r="F71" s="357"/>
      <c r="G71" s="357"/>
      <c r="H71" s="357"/>
      <c r="I71" s="368"/>
      <c r="J71" s="357"/>
      <c r="K71" s="357"/>
      <c r="L71" s="357"/>
      <c r="M71" s="366"/>
      <c r="N71" s="364"/>
    </row>
    <row r="72" spans="1:14" ht="15" customHeight="1">
      <c r="A72" s="35" t="s">
        <v>30</v>
      </c>
      <c r="B72" s="344" t="str">
        <f ca="1">CONCATENATE(WORLDCUP!AA80,"-",WORLDCUP!AF80)</f>
        <v>Argelia-Austria</v>
      </c>
      <c r="C72" s="336" t="str">
        <f>CONCATENATE(IF(WORLDCUP!AC80&gt;WORLDCUP!AD80,1,IF(WORLDCUP!AC80&lt;WORLDCUP!AD80,2,IF(AND(WORLDCUP!AC80=WORLDCUP!AD80,WORLDCUP!AC80&lt;&gt;"",WORLDCUP!AD80&lt;&gt;""),"X",0))),"|",WORLDCUP!AC80,"-",WORLDCUP!AD80)</f>
        <v>X|1-1</v>
      </c>
      <c r="D72" s="720"/>
      <c r="E72" s="357"/>
      <c r="F72" s="357"/>
      <c r="G72" s="357"/>
      <c r="H72" s="357"/>
      <c r="I72" s="368"/>
      <c r="J72" s="357"/>
      <c r="K72" s="357"/>
      <c r="L72" s="357"/>
      <c r="M72" s="366"/>
      <c r="N72" s="364"/>
    </row>
    <row r="73" spans="1:14" ht="15" customHeight="1">
      <c r="A73" s="35" t="s">
        <v>30</v>
      </c>
      <c r="B73" s="344" t="str">
        <f ca="1">CONCATENATE(WORLDCUP!AA81,"-",WORLDCUP!AF81)</f>
        <v>Jordania-Argentina</v>
      </c>
      <c r="C73" s="336" t="str">
        <f>CONCATENATE(IF(WORLDCUP!AC81&gt;WORLDCUP!AD81,1,IF(WORLDCUP!AC81&lt;WORLDCUP!AD81,2,IF(AND(WORLDCUP!AC81=WORLDCUP!AD81,WORLDCUP!AC81&lt;&gt;"",WORLDCUP!AD81&lt;&gt;""),"X",0))),"|",WORLDCUP!AC81,"-",WORLDCUP!AD81)</f>
        <v>2|0-3</v>
      </c>
      <c r="D73" s="720"/>
      <c r="E73" s="357"/>
      <c r="F73" s="357"/>
      <c r="G73" s="357"/>
      <c r="H73" s="357"/>
      <c r="I73" s="368"/>
      <c r="J73" s="357"/>
      <c r="K73" s="357"/>
      <c r="L73" s="357"/>
      <c r="M73" s="366"/>
      <c r="N73" s="364"/>
    </row>
    <row r="74" spans="1:14" ht="15" customHeight="1">
      <c r="A74" s="342" t="s">
        <v>190</v>
      </c>
      <c r="B74" s="343" t="str">
        <f ca="1">CONCATENATE(WORLDCUP!AA88,"-",WORLDCUP!AF88)</f>
        <v>Colombia-Portugal</v>
      </c>
      <c r="C74" s="336" t="str">
        <f>CONCATENATE(IF(WORLDCUP!AC88&gt;WORLDCUP!AD88,1,IF(WORLDCUP!AC88&lt;WORLDCUP!AD88,2,IF(AND(WORLDCUP!AC88=WORLDCUP!AD88,WORLDCUP!AC88&lt;&gt;"",WORLDCUP!AD88&lt;&gt;""),"X",0))),"|",WORLDCUP!AC88,"-",WORLDCUP!AD88)</f>
        <v>X|1-1</v>
      </c>
      <c r="D74" s="720"/>
      <c r="E74" s="357"/>
      <c r="F74" s="357"/>
      <c r="G74" s="357"/>
      <c r="H74" s="357"/>
      <c r="I74" s="368"/>
      <c r="J74" s="357"/>
      <c r="K74" s="357"/>
      <c r="L74" s="357"/>
      <c r="M74" s="366"/>
      <c r="N74" s="364"/>
    </row>
    <row r="75" spans="1:14" ht="15" customHeight="1">
      <c r="A75" s="342" t="s">
        <v>190</v>
      </c>
      <c r="B75" s="343" t="str">
        <f ca="1">CONCATENATE(WORLDCUP!AA89,"-",WORLDCUP!AF89)</f>
        <v>RD Congo-Uzbekistán</v>
      </c>
      <c r="C75" s="336" t="str">
        <f>CONCATENATE(IF(WORLDCUP!AC89&gt;WORLDCUP!AD89,1,IF(WORLDCUP!AC89&lt;WORLDCUP!AD89,2,IF(AND(WORLDCUP!AC89=WORLDCUP!AD89,WORLDCUP!AC89&lt;&gt;"",WORLDCUP!AD89&lt;&gt;""),"X",0))),"|",WORLDCUP!AC89,"-",WORLDCUP!AD89)</f>
        <v>X|1-1</v>
      </c>
      <c r="D75" s="720"/>
      <c r="E75" s="357"/>
      <c r="F75" s="357"/>
      <c r="G75" s="357"/>
      <c r="H75" s="357"/>
      <c r="I75" s="368"/>
      <c r="J75" s="357"/>
      <c r="K75" s="357"/>
      <c r="L75" s="357"/>
      <c r="M75" s="366"/>
      <c r="N75" s="364"/>
    </row>
    <row r="76" spans="1:14" ht="15" customHeight="1">
      <c r="A76" s="35" t="s">
        <v>1212</v>
      </c>
      <c r="B76" s="344" t="str">
        <f ca="1">CONCATENATE(WORLDCUP!AA96,"-",WORLDCUP!AF96)</f>
        <v>Panamá-Inglaterra</v>
      </c>
      <c r="C76" s="336" t="str">
        <f>CONCATENATE(IF(WORLDCUP!AC96&gt;WORLDCUP!AD96,1,IF(WORLDCUP!AC96&lt;WORLDCUP!AD96,2,IF(AND(WORLDCUP!AC96=WORLDCUP!AD96,WORLDCUP!AC96&lt;&gt;"",WORLDCUP!AD96&lt;&gt;""),"X",0))),"|",WORLDCUP!AC96,"-",WORLDCUP!AD96)</f>
        <v>2|0-2</v>
      </c>
      <c r="D76" s="720"/>
      <c r="E76" s="357"/>
      <c r="F76" s="357"/>
      <c r="G76" s="357"/>
      <c r="H76" s="357"/>
      <c r="I76" s="368"/>
      <c r="J76" s="357"/>
      <c r="K76" s="357"/>
      <c r="L76" s="357"/>
      <c r="M76" s="366"/>
      <c r="N76" s="364"/>
    </row>
    <row r="77" spans="1:14" ht="15" customHeight="1">
      <c r="A77" s="35" t="s">
        <v>1212</v>
      </c>
      <c r="B77" s="344" t="str">
        <f ca="1">CONCATENATE(WORLDCUP!AA97,"-",WORLDCUP!AF97)</f>
        <v>Croacia-Ghana</v>
      </c>
      <c r="C77" s="336" t="str">
        <f>CONCATENATE(IF(WORLDCUP!AC97&gt;WORLDCUP!AD97,1,IF(WORLDCUP!AC97&lt;WORLDCUP!AD97,2,IF(AND(WORLDCUP!AC97=WORLDCUP!AD97,WORLDCUP!AC97&lt;&gt;"",WORLDCUP!AD97&lt;&gt;""),"X",0))),"|",WORLDCUP!AC97,"-",WORLDCUP!AD97)</f>
        <v>1|1-0</v>
      </c>
      <c r="D77" s="720"/>
      <c r="E77" s="357"/>
      <c r="F77" s="357"/>
      <c r="G77" s="357"/>
      <c r="H77" s="357"/>
      <c r="I77" s="368"/>
      <c r="J77" s="357"/>
      <c r="K77" s="357"/>
      <c r="L77" s="357"/>
      <c r="M77" s="366"/>
      <c r="N77" s="364"/>
    </row>
    <row r="78" spans="1:14" ht="15" customHeight="1">
      <c r="A78" s="340"/>
      <c r="B78" s="340"/>
      <c r="C78" s="337"/>
      <c r="D78" s="720"/>
      <c r="E78" s="357"/>
      <c r="F78" s="357"/>
      <c r="G78" s="357"/>
      <c r="H78" s="357"/>
      <c r="I78" s="368"/>
      <c r="J78" s="357"/>
      <c r="K78" s="357"/>
      <c r="L78" s="357"/>
      <c r="M78" s="366"/>
      <c r="N78" s="364"/>
    </row>
    <row r="79" spans="1:14" ht="19.05" customHeight="1">
      <c r="A79" s="340"/>
      <c r="B79" s="345" t="str">
        <f>Idiomas!D126</f>
        <v>POSICIÓN GRUPOS</v>
      </c>
      <c r="C79" s="337"/>
      <c r="D79" s="720"/>
      <c r="E79" s="357"/>
      <c r="F79" s="357"/>
      <c r="G79" s="357"/>
      <c r="H79" s="357"/>
      <c r="I79" s="368"/>
      <c r="J79" s="357"/>
      <c r="K79" s="357"/>
      <c r="L79" s="357"/>
      <c r="M79" s="366"/>
      <c r="N79" s="364"/>
    </row>
    <row r="80" spans="1:14" ht="15" customHeight="1">
      <c r="A80" s="723" t="s">
        <v>0</v>
      </c>
      <c r="B80" s="346" t="str">
        <f>Idiomas!D140</f>
        <v>1º GRUPO A</v>
      </c>
      <c r="C80" s="336" t="str">
        <f ca="1">IF(OR(SUM(WORLDCUP!$AN$6:$AN$9)=12,WORLDCUP!$AJ$99=144),WORLDCUP!AL6,B80)</f>
        <v>México</v>
      </c>
      <c r="D80" s="720"/>
      <c r="E80" s="357"/>
      <c r="F80" s="357"/>
      <c r="G80" s="357"/>
      <c r="H80" s="357"/>
      <c r="I80" s="368"/>
      <c r="J80" s="357"/>
      <c r="K80" s="357"/>
      <c r="L80" s="357"/>
      <c r="M80" s="366"/>
      <c r="N80" s="364"/>
    </row>
    <row r="81" spans="1:14" ht="15" customHeight="1">
      <c r="A81" s="723"/>
      <c r="B81" s="346" t="str">
        <f>Idiomas!D141</f>
        <v>2º GRUPO A</v>
      </c>
      <c r="C81" s="336" t="str">
        <f ca="1">IF(OR(SUM(WORLDCUP!$AN$6:$AN$9)=12,WORLDCUP!$AJ$99=144),WORLDCUP!AL7,B81)</f>
        <v>Corea del Sur</v>
      </c>
      <c r="D81" s="720"/>
      <c r="E81" s="357"/>
      <c r="F81" s="357"/>
      <c r="G81" s="357"/>
      <c r="H81" s="357"/>
      <c r="I81" s="368"/>
      <c r="J81" s="357"/>
      <c r="K81" s="357"/>
      <c r="L81" s="357"/>
      <c r="M81" s="366"/>
      <c r="N81" s="364"/>
    </row>
    <row r="82" spans="1:14" ht="15" customHeight="1">
      <c r="A82" s="723"/>
      <c r="B82" s="346" t="str">
        <f>Idiomas!D142</f>
        <v>3º GRUPO A</v>
      </c>
      <c r="C82" s="336" t="str">
        <f ca="1">IF(OR(SUM(WORLDCUP!$AN$6:$AN$9)=12,WORLDCUP!$AJ$99=144),WORLDCUP!AL8,B82)</f>
        <v>República Checa</v>
      </c>
      <c r="D82" s="720"/>
      <c r="E82" s="357"/>
      <c r="F82" s="357"/>
      <c r="G82" s="357"/>
      <c r="H82" s="357"/>
      <c r="I82" s="368"/>
      <c r="J82" s="357"/>
      <c r="K82" s="357"/>
      <c r="L82" s="357"/>
      <c r="M82" s="366"/>
      <c r="N82" s="364"/>
    </row>
    <row r="83" spans="1:14" ht="15" customHeight="1">
      <c r="A83" s="723"/>
      <c r="B83" s="346" t="str">
        <f>Idiomas!D143</f>
        <v>4º GRUPO A</v>
      </c>
      <c r="C83" s="336" t="str">
        <f ca="1">IF(OR(SUM(WORLDCUP!$AN$6:$AN$9)=12,WORLDCUP!$AJ$99=144),WORLDCUP!AL9,B83)</f>
        <v>Sudáfrica</v>
      </c>
      <c r="D83" s="720"/>
      <c r="E83" s="357"/>
      <c r="F83" s="357"/>
      <c r="G83" s="357"/>
      <c r="H83" s="357"/>
      <c r="I83" s="368"/>
      <c r="J83" s="357"/>
      <c r="K83" s="357"/>
      <c r="L83" s="357"/>
      <c r="M83" s="366"/>
      <c r="N83" s="364"/>
    </row>
    <row r="84" spans="1:14" ht="15" customHeight="1">
      <c r="A84" s="722" t="s">
        <v>1</v>
      </c>
      <c r="B84" s="344" t="str">
        <f>Idiomas!D144</f>
        <v>1º GRUPO B</v>
      </c>
      <c r="C84" s="336" t="str">
        <f ca="1">IF(OR(SUM(WORLDCUP!$AN$14:$AN$17)=12,WORLDCUP!$AJ$99=144),WORLDCUP!AL14,B84)</f>
        <v>Canadá</v>
      </c>
      <c r="D84" s="720"/>
      <c r="E84" s="357"/>
      <c r="F84" s="357"/>
      <c r="G84" s="357"/>
      <c r="H84" s="357"/>
      <c r="I84" s="368"/>
      <c r="J84" s="357"/>
      <c r="K84" s="357"/>
      <c r="L84" s="357"/>
      <c r="M84" s="366"/>
      <c r="N84" s="364"/>
    </row>
    <row r="85" spans="1:14" ht="15" customHeight="1">
      <c r="A85" s="722"/>
      <c r="B85" s="344" t="str">
        <f>Idiomas!D145</f>
        <v>2º GRUPO B</v>
      </c>
      <c r="C85" s="336" t="str">
        <f ca="1">IF(OR(SUM(WORLDCUP!$AN$14:$AN$17)=12,WORLDCUP!$AJ$99=144),WORLDCUP!AL15,B85)</f>
        <v>Suiza</v>
      </c>
      <c r="D85" s="720"/>
      <c r="E85" s="357"/>
      <c r="F85" s="357"/>
      <c r="G85" s="357"/>
      <c r="H85" s="357"/>
      <c r="I85" s="368"/>
      <c r="J85" s="357"/>
      <c r="K85" s="357"/>
      <c r="L85" s="357"/>
      <c r="M85" s="366"/>
      <c r="N85" s="364"/>
    </row>
    <row r="86" spans="1:14" ht="15" customHeight="1">
      <c r="A86" s="722"/>
      <c r="B86" s="344" t="str">
        <f>Idiomas!D146</f>
        <v>3º GRUPO B</v>
      </c>
      <c r="C86" s="336" t="str">
        <f ca="1">IF(OR(SUM(WORLDCUP!$AN$14:$AN$17)=12,WORLDCUP!$AJ$99=144),WORLDCUP!AL16,B86)</f>
        <v>Bosnia y Herzegovina</v>
      </c>
      <c r="D86" s="720"/>
      <c r="E86" s="357"/>
      <c r="F86" s="357"/>
      <c r="G86" s="357"/>
      <c r="H86" s="357"/>
      <c r="I86" s="368"/>
      <c r="J86" s="357"/>
      <c r="K86" s="357"/>
      <c r="L86" s="357"/>
      <c r="M86" s="366"/>
      <c r="N86" s="364"/>
    </row>
    <row r="87" spans="1:14" ht="15" customHeight="1">
      <c r="A87" s="722"/>
      <c r="B87" s="344" t="str">
        <f>Idiomas!D147</f>
        <v>4º GRUPO B</v>
      </c>
      <c r="C87" s="336" t="str">
        <f ca="1">IF(OR(SUM(WORLDCUP!$AN$14:$AN$17)=12,WORLDCUP!$AJ$99=144),WORLDCUP!AL17,B87)</f>
        <v>Catar</v>
      </c>
      <c r="D87" s="720"/>
      <c r="E87" s="357"/>
      <c r="F87" s="357"/>
      <c r="G87" s="357"/>
      <c r="H87" s="357"/>
      <c r="I87" s="368"/>
      <c r="J87" s="357"/>
      <c r="K87" s="357"/>
      <c r="L87" s="357"/>
      <c r="M87" s="366"/>
      <c r="N87" s="364"/>
    </row>
    <row r="88" spans="1:14" ht="15" customHeight="1">
      <c r="A88" s="723" t="s">
        <v>2</v>
      </c>
      <c r="B88" s="346" t="str">
        <f>Idiomas!D148</f>
        <v>1º GRUPO C</v>
      </c>
      <c r="C88" s="336" t="str">
        <f ca="1">IF(OR(SUM(WORLDCUP!$AN$22:$AN$25)=12,WORLDCUP!$AJ$99=144),WORLDCUP!AL22,B88)</f>
        <v>Marruecos</v>
      </c>
      <c r="D88" s="720"/>
      <c r="E88" s="357"/>
      <c r="F88" s="357"/>
      <c r="G88" s="357"/>
      <c r="H88" s="357"/>
      <c r="I88" s="368"/>
      <c r="J88" s="357"/>
      <c r="K88" s="357"/>
      <c r="L88" s="357"/>
      <c r="M88" s="366"/>
      <c r="N88" s="364"/>
    </row>
    <row r="89" spans="1:14" ht="15" customHeight="1">
      <c r="A89" s="723"/>
      <c r="B89" s="346" t="str">
        <f>Idiomas!D149</f>
        <v>2º GRUPO C</v>
      </c>
      <c r="C89" s="336" t="str">
        <f ca="1">IF(OR(SUM(WORLDCUP!$AN$22:$AN$25)=12,WORLDCUP!$AJ$99=144),WORLDCUP!AL23,B89)</f>
        <v>Brasil</v>
      </c>
      <c r="D89" s="720"/>
      <c r="E89" s="357"/>
      <c r="F89" s="357"/>
      <c r="G89" s="357"/>
      <c r="H89" s="357"/>
      <c r="I89" s="368"/>
      <c r="J89" s="357"/>
      <c r="K89" s="357"/>
      <c r="L89" s="357"/>
      <c r="M89" s="366"/>
      <c r="N89" s="364"/>
    </row>
    <row r="90" spans="1:14" ht="15" customHeight="1">
      <c r="A90" s="723"/>
      <c r="B90" s="346" t="str">
        <f>Idiomas!D150</f>
        <v>3º GRUPO C</v>
      </c>
      <c r="C90" s="336" t="str">
        <f ca="1">IF(OR(SUM(WORLDCUP!$AN$22:$AN$25)=12,WORLDCUP!$AJ$99=144),WORLDCUP!AL24,B90)</f>
        <v>Escocia</v>
      </c>
      <c r="D90" s="720"/>
      <c r="E90" s="357"/>
      <c r="F90" s="357"/>
      <c r="G90" s="357"/>
      <c r="H90" s="357"/>
      <c r="I90" s="368"/>
      <c r="J90" s="357"/>
      <c r="K90" s="357"/>
      <c r="L90" s="357"/>
      <c r="M90" s="366"/>
      <c r="N90" s="364"/>
    </row>
    <row r="91" spans="1:14" ht="15" customHeight="1">
      <c r="A91" s="723"/>
      <c r="B91" s="346" t="str">
        <f>Idiomas!D151</f>
        <v>4º GRUPO C</v>
      </c>
      <c r="C91" s="336" t="str">
        <f ca="1">IF(OR(SUM(WORLDCUP!$AN$22:$AN$25)=12,WORLDCUP!$AJ$99=144),WORLDCUP!AL25,B91)</f>
        <v>Haití</v>
      </c>
      <c r="D91" s="720"/>
      <c r="E91" s="357"/>
      <c r="F91" s="357"/>
      <c r="G91" s="357"/>
      <c r="H91" s="357"/>
      <c r="I91" s="368"/>
      <c r="J91" s="357"/>
      <c r="K91" s="357"/>
      <c r="L91" s="357"/>
      <c r="M91" s="366"/>
      <c r="N91" s="364"/>
    </row>
    <row r="92" spans="1:14" ht="15" customHeight="1">
      <c r="A92" s="722" t="s">
        <v>74</v>
      </c>
      <c r="B92" s="344" t="str">
        <f>Idiomas!D152</f>
        <v>1º GRUPO D</v>
      </c>
      <c r="C92" s="336" t="str">
        <f ca="1">IF(OR(SUM(WORLDCUP!$AN$30:$AN$33)=12,WORLDCUP!$AJ$99=144),WORLDCUP!AL30,B92)</f>
        <v>Turquía</v>
      </c>
      <c r="D92" s="720"/>
      <c r="E92" s="357"/>
      <c r="F92" s="357"/>
      <c r="G92" s="357"/>
      <c r="H92" s="357"/>
      <c r="I92" s="368"/>
      <c r="J92" s="357"/>
      <c r="K92" s="357"/>
      <c r="L92" s="357"/>
      <c r="M92" s="366"/>
      <c r="N92" s="364"/>
    </row>
    <row r="93" spans="1:14" ht="15" customHeight="1">
      <c r="A93" s="722"/>
      <c r="B93" s="344" t="str">
        <f>Idiomas!D153</f>
        <v>2º GRUPO D</v>
      </c>
      <c r="C93" s="336" t="str">
        <f ca="1">IF(OR(SUM(WORLDCUP!$AN$30:$AN$33)=12,WORLDCUP!$AJ$99=144),WORLDCUP!AL31,B93)</f>
        <v>Paraguay</v>
      </c>
      <c r="D93" s="720"/>
      <c r="E93" s="357"/>
      <c r="F93" s="357"/>
      <c r="G93" s="357"/>
      <c r="H93" s="357"/>
      <c r="I93" s="368"/>
      <c r="J93" s="357"/>
      <c r="K93" s="357"/>
      <c r="L93" s="357"/>
      <c r="M93" s="366"/>
      <c r="N93" s="364"/>
    </row>
    <row r="94" spans="1:14" ht="15" customHeight="1">
      <c r="A94" s="722"/>
      <c r="B94" s="344" t="str">
        <f>Idiomas!D154</f>
        <v>3º GRUPO D</v>
      </c>
      <c r="C94" s="336" t="str">
        <f ca="1">IF(OR(SUM(WORLDCUP!$AN$30:$AN$33)=12,WORLDCUP!$AJ$99=144),WORLDCUP!AL32,B94)</f>
        <v>Estados Unidos</v>
      </c>
      <c r="D94" s="720"/>
      <c r="E94" s="357"/>
      <c r="F94" s="357"/>
      <c r="G94" s="357"/>
      <c r="H94" s="357"/>
      <c r="I94" s="368"/>
      <c r="J94" s="357"/>
      <c r="K94" s="357"/>
      <c r="L94" s="357"/>
      <c r="M94" s="366"/>
      <c r="N94" s="364"/>
    </row>
    <row r="95" spans="1:14" ht="15" customHeight="1">
      <c r="A95" s="722"/>
      <c r="B95" s="344" t="str">
        <f>Idiomas!D155</f>
        <v>4º GRUPO D</v>
      </c>
      <c r="C95" s="336" t="str">
        <f ca="1">IF(OR(SUM(WORLDCUP!$AN$30:$AN$33)=12,WORLDCUP!$AJ$99=144),WORLDCUP!AL33,B95)</f>
        <v>Australia</v>
      </c>
      <c r="D95" s="720"/>
      <c r="E95" s="357"/>
      <c r="F95" s="357"/>
      <c r="G95" s="357"/>
      <c r="H95" s="357"/>
      <c r="I95" s="368"/>
      <c r="J95" s="357"/>
      <c r="K95" s="357"/>
      <c r="L95" s="357"/>
      <c r="M95" s="366"/>
      <c r="N95" s="364"/>
    </row>
    <row r="96" spans="1:14" ht="15" customHeight="1">
      <c r="A96" s="723" t="s">
        <v>3</v>
      </c>
      <c r="B96" s="346" t="str">
        <f>Idiomas!D156</f>
        <v>1º GRUPO E</v>
      </c>
      <c r="C96" s="336" t="str">
        <f ca="1">IF(OR(SUM(WORLDCUP!$AN$38:$AN$41)=12,WORLDCUP!$AJ$99=144),WORLDCUP!AL38,B96)</f>
        <v>Ecuador</v>
      </c>
      <c r="D96" s="720"/>
      <c r="E96" s="357"/>
      <c r="F96" s="357"/>
      <c r="G96" s="357"/>
      <c r="H96" s="357"/>
      <c r="I96" s="368"/>
      <c r="J96" s="357"/>
      <c r="K96" s="357"/>
      <c r="L96" s="357"/>
      <c r="M96" s="366"/>
      <c r="N96" s="364"/>
    </row>
    <row r="97" spans="1:14" ht="15" customHeight="1">
      <c r="A97" s="723"/>
      <c r="B97" s="346" t="str">
        <f>Idiomas!D157</f>
        <v>2º GRUPO E</v>
      </c>
      <c r="C97" s="336" t="str">
        <f ca="1">IF(OR(SUM(WORLDCUP!$AN$38:$AN$41)=12,WORLDCUP!$AJ$99=144),WORLDCUP!AL39,B97)</f>
        <v>Alemania</v>
      </c>
      <c r="D97" s="720"/>
      <c r="E97" s="357"/>
      <c r="F97" s="357"/>
      <c r="G97" s="357"/>
      <c r="H97" s="357"/>
      <c r="I97" s="368"/>
      <c r="J97" s="357"/>
      <c r="K97" s="357"/>
      <c r="L97" s="357"/>
      <c r="M97" s="366"/>
      <c r="N97" s="364"/>
    </row>
    <row r="98" spans="1:14" ht="15" customHeight="1">
      <c r="A98" s="723"/>
      <c r="B98" s="346" t="str">
        <f>Idiomas!D158</f>
        <v>3º GRUPO E</v>
      </c>
      <c r="C98" s="336" t="str">
        <f ca="1">IF(OR(SUM(WORLDCUP!$AN$38:$AN$41)=12,WORLDCUP!$AJ$99=144),WORLDCUP!AL40,B98)</f>
        <v>Costa de Marfil</v>
      </c>
      <c r="D98" s="720"/>
      <c r="E98" s="357"/>
      <c r="F98" s="357"/>
      <c r="G98" s="357"/>
      <c r="H98" s="357"/>
      <c r="I98" s="368"/>
      <c r="J98" s="357"/>
      <c r="K98" s="357"/>
      <c r="L98" s="357"/>
      <c r="M98" s="366"/>
      <c r="N98" s="364"/>
    </row>
    <row r="99" spans="1:14" ht="15" customHeight="1">
      <c r="A99" s="723"/>
      <c r="B99" s="346" t="str">
        <f>Idiomas!D159</f>
        <v>4º GRUPO E</v>
      </c>
      <c r="C99" s="336" t="str">
        <f ca="1">IF(OR(SUM(WORLDCUP!$AN$38:$AN$41)=12,WORLDCUP!$AJ$99=144),WORLDCUP!AL41,B99)</f>
        <v>Curazao</v>
      </c>
      <c r="D99" s="720"/>
      <c r="E99" s="357"/>
      <c r="F99" s="357"/>
      <c r="G99" s="357"/>
      <c r="H99" s="357"/>
      <c r="I99" s="368"/>
      <c r="J99" s="357"/>
      <c r="K99" s="357"/>
      <c r="L99" s="357"/>
      <c r="M99" s="366"/>
      <c r="N99" s="364"/>
    </row>
    <row r="100" spans="1:14" ht="15" customHeight="1">
      <c r="A100" s="722" t="s">
        <v>4</v>
      </c>
      <c r="B100" s="344" t="str">
        <f>Idiomas!D160</f>
        <v>1º GRUPO F</v>
      </c>
      <c r="C100" s="336" t="str">
        <f ca="1">IF(OR(SUM(WORLDCUP!$AN$46:$AN$49)=12,WORLDCUP!$AJ$99=144),WORLDCUP!AL46,B100)</f>
        <v>Japón</v>
      </c>
      <c r="D100" s="720"/>
      <c r="E100" s="357"/>
      <c r="F100" s="357"/>
      <c r="G100" s="357"/>
      <c r="H100" s="357"/>
      <c r="I100" s="368"/>
      <c r="J100" s="357"/>
      <c r="K100" s="357"/>
      <c r="L100" s="357"/>
      <c r="M100" s="366"/>
      <c r="N100" s="364"/>
    </row>
    <row r="101" spans="1:14" ht="15" customHeight="1">
      <c r="A101" s="722"/>
      <c r="B101" s="344" t="str">
        <f>Idiomas!D161</f>
        <v>2º GRUPO F</v>
      </c>
      <c r="C101" s="336" t="str">
        <f ca="1">IF(OR(SUM(WORLDCUP!$AN$46:$AN$49)=12,WORLDCUP!$AJ$99=144),WORLDCUP!AL47,B101)</f>
        <v>Países Bajos</v>
      </c>
      <c r="D101" s="720"/>
      <c r="E101" s="357"/>
      <c r="F101" s="357"/>
      <c r="G101" s="357"/>
      <c r="H101" s="357"/>
      <c r="I101" s="368"/>
      <c r="J101" s="357"/>
      <c r="K101" s="357"/>
      <c r="L101" s="357"/>
      <c r="M101" s="366"/>
      <c r="N101" s="364"/>
    </row>
    <row r="102" spans="1:14" ht="15" customHeight="1">
      <c r="A102" s="722"/>
      <c r="B102" s="344" t="str">
        <f>Idiomas!D162</f>
        <v>3º GRUPO F</v>
      </c>
      <c r="C102" s="336" t="str">
        <f ca="1">IF(OR(SUM(WORLDCUP!$AN$46:$AN$49)=12,WORLDCUP!$AJ$99=144),WORLDCUP!AL48,B102)</f>
        <v>Suecia</v>
      </c>
      <c r="D102" s="720"/>
      <c r="E102" s="357"/>
      <c r="F102" s="357"/>
      <c r="G102" s="357"/>
      <c r="H102" s="357"/>
      <c r="I102" s="368"/>
      <c r="J102" s="357"/>
      <c r="K102" s="357"/>
      <c r="L102" s="357"/>
      <c r="M102" s="366"/>
      <c r="N102" s="364"/>
    </row>
    <row r="103" spans="1:14" ht="15" customHeight="1">
      <c r="A103" s="722"/>
      <c r="B103" s="344" t="str">
        <f>Idiomas!D163</f>
        <v>4º GRUPO F</v>
      </c>
      <c r="C103" s="336" t="str">
        <f ca="1">IF(OR(SUM(WORLDCUP!$AN$46:$AN$49)=12,WORLDCUP!$AJ$99=144),WORLDCUP!AL49,B103)</f>
        <v>Túnez</v>
      </c>
      <c r="D103" s="720"/>
      <c r="E103" s="357"/>
      <c r="F103" s="357"/>
      <c r="G103" s="357"/>
      <c r="H103" s="357"/>
      <c r="I103" s="368"/>
      <c r="J103" s="357"/>
      <c r="K103" s="357"/>
      <c r="L103" s="357"/>
      <c r="M103" s="366"/>
      <c r="N103" s="364"/>
    </row>
    <row r="104" spans="1:14" ht="15" customHeight="1">
      <c r="A104" s="723" t="s">
        <v>6</v>
      </c>
      <c r="B104" s="346" t="str">
        <f>Idiomas!D164</f>
        <v>1º GRUPO G</v>
      </c>
      <c r="C104" s="336" t="str">
        <f ca="1">IF(OR(SUM(WORLDCUP!$AN$54:$AN$57)=12,WORLDCUP!$AJ$99=144),WORLDCUP!AL54,B104)</f>
        <v>Egipto</v>
      </c>
      <c r="D104" s="720"/>
      <c r="E104" s="357"/>
      <c r="F104" s="357"/>
      <c r="G104" s="357"/>
      <c r="H104" s="357"/>
      <c r="I104" s="368"/>
      <c r="J104" s="357"/>
      <c r="K104" s="357"/>
      <c r="L104" s="357"/>
      <c r="M104" s="366"/>
      <c r="N104" s="364"/>
    </row>
    <row r="105" spans="1:14" ht="15" customHeight="1">
      <c r="A105" s="723"/>
      <c r="B105" s="346" t="str">
        <f>Idiomas!D165</f>
        <v>2º GRUPO G</v>
      </c>
      <c r="C105" s="336" t="str">
        <f ca="1">IF(OR(SUM(WORLDCUP!$AN$54:$AN$57)=12,WORLDCUP!$AJ$99=144),WORLDCUP!AL55,B105)</f>
        <v>Bélgica</v>
      </c>
      <c r="D105" s="720"/>
      <c r="E105" s="357"/>
      <c r="F105" s="357"/>
      <c r="G105" s="357"/>
      <c r="H105" s="357"/>
      <c r="I105" s="368"/>
      <c r="J105" s="357"/>
      <c r="K105" s="357"/>
      <c r="L105" s="357"/>
      <c r="M105" s="366"/>
      <c r="N105" s="364"/>
    </row>
    <row r="106" spans="1:14" ht="15" customHeight="1">
      <c r="A106" s="723"/>
      <c r="B106" s="346" t="str">
        <f>Idiomas!D166</f>
        <v>3º GRUPO G</v>
      </c>
      <c r="C106" s="336" t="str">
        <f ca="1">IF(OR(SUM(WORLDCUP!$AN$54:$AN$57)=12,WORLDCUP!$AJ$99=144),WORLDCUP!AL56,B106)</f>
        <v>Irán</v>
      </c>
      <c r="D106" s="720"/>
      <c r="E106" s="357"/>
      <c r="F106" s="357"/>
      <c r="G106" s="357"/>
      <c r="H106" s="357"/>
      <c r="I106" s="368"/>
      <c r="J106" s="357"/>
      <c r="K106" s="357"/>
      <c r="L106" s="357"/>
      <c r="M106" s="366"/>
      <c r="N106" s="364"/>
    </row>
    <row r="107" spans="1:14" ht="15" customHeight="1">
      <c r="A107" s="723"/>
      <c r="B107" s="346" t="str">
        <f>Idiomas!D167</f>
        <v>4º GRUPO G</v>
      </c>
      <c r="C107" s="336" t="str">
        <f ca="1">IF(OR(SUM(WORLDCUP!$AN$54:$AN$57)=12,WORLDCUP!$AJ$99=144),WORLDCUP!AL57,B107)</f>
        <v>Nueva Zelanda</v>
      </c>
      <c r="D107" s="720"/>
      <c r="E107" s="357"/>
      <c r="F107" s="357"/>
      <c r="G107" s="357"/>
      <c r="H107" s="357"/>
      <c r="I107" s="368"/>
      <c r="J107" s="357"/>
      <c r="K107" s="357"/>
      <c r="L107" s="357"/>
      <c r="M107" s="366"/>
      <c r="N107" s="364"/>
    </row>
    <row r="108" spans="1:14" ht="15" customHeight="1">
      <c r="A108" s="722" t="s">
        <v>447</v>
      </c>
      <c r="B108" s="344" t="str">
        <f>Idiomas!D168</f>
        <v>1º GRUPO H</v>
      </c>
      <c r="C108" s="336" t="str">
        <f ca="1">IF(OR(SUM(WORLDCUP!$AN$62:$AN$65)=12,WORLDCUP!$AJ$99=144),WORLDCUP!AL62,B108)</f>
        <v>España</v>
      </c>
      <c r="D108" s="720"/>
      <c r="E108" s="357"/>
      <c r="F108" s="357"/>
      <c r="G108" s="357"/>
      <c r="H108" s="357"/>
      <c r="I108" s="368"/>
      <c r="J108" s="357"/>
      <c r="K108" s="357"/>
      <c r="L108" s="357"/>
      <c r="M108" s="366"/>
      <c r="N108" s="364"/>
    </row>
    <row r="109" spans="1:14" ht="15" customHeight="1">
      <c r="A109" s="722"/>
      <c r="B109" s="344" t="str">
        <f>Idiomas!D169</f>
        <v>2º GRUPO H</v>
      </c>
      <c r="C109" s="336" t="str">
        <f ca="1">IF(OR(SUM(WORLDCUP!$AN$62:$AN$65)=12,WORLDCUP!$AJ$99=144),WORLDCUP!AL63,B109)</f>
        <v>Uruguay</v>
      </c>
      <c r="D109" s="720"/>
      <c r="E109" s="357"/>
      <c r="F109" s="357"/>
      <c r="G109" s="357"/>
      <c r="H109" s="357"/>
      <c r="I109" s="368"/>
      <c r="J109" s="357"/>
      <c r="K109" s="357"/>
      <c r="L109" s="357"/>
      <c r="M109" s="366"/>
      <c r="N109" s="364"/>
    </row>
    <row r="110" spans="1:14" ht="15" customHeight="1">
      <c r="A110" s="722"/>
      <c r="B110" s="344" t="str">
        <f>Idiomas!D170</f>
        <v>3º GRUPO H</v>
      </c>
      <c r="C110" s="336" t="str">
        <f ca="1">IF(OR(SUM(WORLDCUP!$AN$62:$AN$65)=12,WORLDCUP!$AJ$99=144),WORLDCUP!AL64,B110)</f>
        <v>Arabia Saudita</v>
      </c>
      <c r="D110" s="720"/>
      <c r="E110" s="357"/>
      <c r="F110" s="357"/>
      <c r="G110" s="357"/>
      <c r="H110" s="357"/>
      <c r="I110" s="368"/>
      <c r="J110" s="357"/>
      <c r="K110" s="357"/>
      <c r="L110" s="357"/>
      <c r="M110" s="366"/>
      <c r="N110" s="364"/>
    </row>
    <row r="111" spans="1:14" ht="15" customHeight="1">
      <c r="A111" s="722"/>
      <c r="B111" s="344" t="str">
        <f>Idiomas!D171</f>
        <v>4º GRUPO H</v>
      </c>
      <c r="C111" s="336" t="str">
        <f ca="1">IF(OR(SUM(WORLDCUP!$AN$62:$AN$65)=12,WORLDCUP!$AJ$99=144),WORLDCUP!AL65,B111)</f>
        <v>Cabo Verde</v>
      </c>
      <c r="D111" s="720"/>
      <c r="E111" s="357"/>
      <c r="F111" s="357"/>
      <c r="G111" s="357"/>
      <c r="H111" s="357"/>
      <c r="I111" s="368"/>
      <c r="J111" s="357"/>
      <c r="K111" s="357"/>
      <c r="L111" s="357"/>
      <c r="M111" s="366"/>
      <c r="N111" s="364"/>
    </row>
    <row r="112" spans="1:14" ht="15" customHeight="1">
      <c r="A112" s="723" t="s">
        <v>448</v>
      </c>
      <c r="B112" s="346" t="str">
        <f>Idiomas!D172</f>
        <v>1º GRUPO I</v>
      </c>
      <c r="C112" s="336" t="str">
        <f ca="1">IF(OR(SUM(WORLDCUP!$AN$70:$AN$73)=12,WORLDCUP!$AJ$99=144),WORLDCUP!AL70,B112)</f>
        <v>Francia</v>
      </c>
      <c r="D112" s="720"/>
      <c r="E112" s="357"/>
      <c r="F112" s="357"/>
      <c r="G112" s="357"/>
      <c r="H112" s="357"/>
      <c r="I112" s="368"/>
      <c r="J112" s="357"/>
      <c r="K112" s="357"/>
      <c r="L112" s="357"/>
      <c r="M112" s="366"/>
      <c r="N112" s="364"/>
    </row>
    <row r="113" spans="1:14" ht="15" customHeight="1">
      <c r="A113" s="723"/>
      <c r="B113" s="346" t="str">
        <f>Idiomas!D173</f>
        <v>2º GRUPO I</v>
      </c>
      <c r="C113" s="336" t="str">
        <f ca="1">IF(OR(SUM(WORLDCUP!$AN$70:$AN$73)=12,WORLDCUP!$AJ$99=144),WORLDCUP!AL71,B113)</f>
        <v>Noruega</v>
      </c>
      <c r="D113" s="720"/>
      <c r="E113" s="357"/>
      <c r="F113" s="357"/>
      <c r="G113" s="357"/>
      <c r="H113" s="357"/>
      <c r="I113" s="368"/>
      <c r="J113" s="357"/>
      <c r="K113" s="357"/>
      <c r="L113" s="357"/>
      <c r="M113" s="366"/>
      <c r="N113" s="364"/>
    </row>
    <row r="114" spans="1:14" ht="15" customHeight="1">
      <c r="A114" s="723"/>
      <c r="B114" s="346" t="str">
        <f>Idiomas!D174</f>
        <v>3º GRUPO I</v>
      </c>
      <c r="C114" s="336" t="str">
        <f ca="1">IF(OR(SUM(WORLDCUP!$AN$70:$AN$73)=12,WORLDCUP!$AJ$99=144),WORLDCUP!AL72,B114)</f>
        <v>Senegal</v>
      </c>
      <c r="D114" s="720"/>
      <c r="E114" s="357"/>
      <c r="F114" s="357"/>
      <c r="G114" s="357"/>
      <c r="H114" s="357"/>
      <c r="I114" s="368"/>
      <c r="J114" s="357"/>
      <c r="K114" s="357"/>
      <c r="L114" s="357"/>
      <c r="M114" s="366"/>
      <c r="N114" s="364"/>
    </row>
    <row r="115" spans="1:14" ht="15" customHeight="1">
      <c r="A115" s="723"/>
      <c r="B115" s="346" t="str">
        <f>Idiomas!D175</f>
        <v>4º GRUPO I</v>
      </c>
      <c r="C115" s="336" t="str">
        <f ca="1">IF(OR(SUM(WORLDCUP!$AN$70:$AN$73)=12,WORLDCUP!$AJ$99=144),WORLDCUP!AL73,B115)</f>
        <v>Irak</v>
      </c>
      <c r="D115" s="720"/>
      <c r="E115" s="357"/>
      <c r="F115" s="357"/>
      <c r="G115" s="357"/>
      <c r="H115" s="357"/>
      <c r="I115" s="368"/>
      <c r="J115" s="357"/>
      <c r="K115" s="357"/>
      <c r="L115" s="357"/>
      <c r="M115" s="366"/>
      <c r="N115" s="364"/>
    </row>
    <row r="116" spans="1:14" ht="15" customHeight="1">
      <c r="A116" s="722" t="s">
        <v>5</v>
      </c>
      <c r="B116" s="344" t="str">
        <f>Idiomas!D176</f>
        <v>1º GRUPO J</v>
      </c>
      <c r="C116" s="336" t="str">
        <f ca="1">IF(OR(SUM(WORLDCUP!$AN$78:$AN$81)=12,WORLDCUP!$AJ$99=144),WORLDCUP!AL78,B116)</f>
        <v>Argentina</v>
      </c>
      <c r="D116" s="720"/>
      <c r="E116" s="357"/>
      <c r="F116" s="357"/>
      <c r="G116" s="357"/>
      <c r="H116" s="357"/>
      <c r="I116" s="368"/>
      <c r="J116" s="357"/>
      <c r="K116" s="357"/>
      <c r="L116" s="357"/>
      <c r="M116" s="366"/>
      <c r="N116" s="364"/>
    </row>
    <row r="117" spans="1:14" ht="15" customHeight="1">
      <c r="A117" s="722"/>
      <c r="B117" s="344" t="str">
        <f>Idiomas!D177</f>
        <v>2º GRUPO J</v>
      </c>
      <c r="C117" s="336" t="str">
        <f ca="1">IF(OR(SUM(WORLDCUP!$AN$78:$AN$81)=12,WORLDCUP!$AJ$99=144),WORLDCUP!AL79,B117)</f>
        <v>Argelia</v>
      </c>
      <c r="D117" s="720"/>
      <c r="E117" s="357"/>
      <c r="F117" s="357"/>
      <c r="G117" s="357"/>
      <c r="H117" s="357"/>
      <c r="I117" s="368"/>
      <c r="J117" s="357"/>
      <c r="K117" s="357"/>
      <c r="L117" s="357"/>
      <c r="M117" s="366"/>
      <c r="N117" s="364"/>
    </row>
    <row r="118" spans="1:14" ht="15" customHeight="1">
      <c r="A118" s="722"/>
      <c r="B118" s="344" t="str">
        <f>Idiomas!D178</f>
        <v>3º GRUPO J</v>
      </c>
      <c r="C118" s="336" t="str">
        <f ca="1">IF(OR(SUM(WORLDCUP!$AN$78:$AN$81)=12,WORLDCUP!$AJ$99=144),WORLDCUP!AL80,B118)</f>
        <v>Austria</v>
      </c>
      <c r="D118" s="720"/>
      <c r="E118" s="357"/>
      <c r="F118" s="357"/>
      <c r="G118" s="357"/>
      <c r="H118" s="357"/>
      <c r="I118" s="368"/>
      <c r="J118" s="357"/>
      <c r="K118" s="357"/>
      <c r="L118" s="357"/>
      <c r="M118" s="366"/>
      <c r="N118" s="364"/>
    </row>
    <row r="119" spans="1:14" ht="15" customHeight="1">
      <c r="A119" s="722"/>
      <c r="B119" s="344" t="str">
        <f>Idiomas!D179</f>
        <v>4º GRUPO J</v>
      </c>
      <c r="C119" s="336" t="str">
        <f ca="1">IF(OR(SUM(WORLDCUP!$AN$78:$AN$81)=12,WORLDCUP!$AJ$99=144),WORLDCUP!AL81,B119)</f>
        <v>Jordania</v>
      </c>
      <c r="D119" s="720"/>
      <c r="E119" s="357"/>
      <c r="F119" s="357"/>
      <c r="G119" s="357"/>
      <c r="H119" s="357"/>
      <c r="I119" s="368"/>
      <c r="J119" s="357"/>
      <c r="K119" s="357"/>
      <c r="L119" s="357"/>
      <c r="M119" s="366"/>
      <c r="N119" s="364"/>
    </row>
    <row r="120" spans="1:14" ht="15" customHeight="1">
      <c r="A120" s="723" t="s">
        <v>449</v>
      </c>
      <c r="B120" s="346" t="str">
        <f>Idiomas!D180</f>
        <v>1º GRUPO K</v>
      </c>
      <c r="C120" s="336" t="str">
        <f ca="1">IF(OR(SUM(WORLDCUP!$AN$86:$AN$89)=12,WORLDCUP!$AJ$99=144),WORLDCUP!AL86,B120)</f>
        <v>Portugal</v>
      </c>
      <c r="D120" s="720"/>
      <c r="E120" s="357"/>
      <c r="F120" s="357"/>
      <c r="G120" s="357"/>
      <c r="H120" s="357"/>
      <c r="I120" s="368"/>
      <c r="J120" s="357"/>
      <c r="K120" s="357"/>
      <c r="L120" s="357"/>
      <c r="M120" s="366"/>
      <c r="N120" s="364"/>
    </row>
    <row r="121" spans="1:14" ht="15" customHeight="1">
      <c r="A121" s="723"/>
      <c r="B121" s="346" t="str">
        <f>Idiomas!D181</f>
        <v>2º GRUPO K</v>
      </c>
      <c r="C121" s="336" t="str">
        <f ca="1">IF(OR(SUM(WORLDCUP!$AN$86:$AN$89)=12,WORLDCUP!$AJ$99=144),WORLDCUP!AL87,B121)</f>
        <v>Colombia</v>
      </c>
      <c r="D121" s="720"/>
      <c r="E121" s="357"/>
      <c r="F121" s="357"/>
      <c r="G121" s="357"/>
      <c r="H121" s="357"/>
      <c r="I121" s="368"/>
      <c r="J121" s="357"/>
      <c r="K121" s="357"/>
      <c r="L121" s="357"/>
      <c r="M121" s="366"/>
      <c r="N121" s="364"/>
    </row>
    <row r="122" spans="1:14" ht="15" customHeight="1">
      <c r="A122" s="723"/>
      <c r="B122" s="346" t="str">
        <f>Idiomas!D182</f>
        <v>3º GRUPO K</v>
      </c>
      <c r="C122" s="336" t="str">
        <f ca="1">IF(OR(SUM(WORLDCUP!$AN$86:$AN$89)=12,WORLDCUP!$AJ$99=144),WORLDCUP!AL88,B122)</f>
        <v>Uzbekistán</v>
      </c>
      <c r="D122" s="720"/>
      <c r="E122" s="357"/>
      <c r="F122" s="357"/>
      <c r="G122" s="357"/>
      <c r="H122" s="357"/>
      <c r="I122" s="368"/>
      <c r="J122" s="357"/>
      <c r="K122" s="357"/>
      <c r="L122" s="357"/>
      <c r="M122" s="366"/>
      <c r="N122" s="364"/>
    </row>
    <row r="123" spans="1:14" ht="15" customHeight="1">
      <c r="A123" s="723"/>
      <c r="B123" s="346" t="str">
        <f>Idiomas!D183</f>
        <v>4º GRUPO K</v>
      </c>
      <c r="C123" s="336" t="str">
        <f ca="1">IF(OR(SUM(WORLDCUP!$AN$86:$AN$89)=12,WORLDCUP!$AJ$99=144),WORLDCUP!AL89,B123)</f>
        <v>RD Congo</v>
      </c>
      <c r="D123" s="720"/>
      <c r="E123" s="357"/>
      <c r="F123" s="357"/>
      <c r="G123" s="357"/>
      <c r="H123" s="357"/>
      <c r="I123" s="368"/>
      <c r="J123" s="357"/>
      <c r="K123" s="357"/>
      <c r="L123" s="357"/>
      <c r="M123" s="366"/>
      <c r="N123" s="364"/>
    </row>
    <row r="124" spans="1:14" ht="15" customHeight="1">
      <c r="A124" s="722" t="s">
        <v>247</v>
      </c>
      <c r="B124" s="344" t="str">
        <f>Idiomas!D184</f>
        <v>1º GRUPO L</v>
      </c>
      <c r="C124" s="336" t="str">
        <f ca="1">IF(OR(SUM(WORLDCUP!$AN$94:$AN$97)=12,WORLDCUP!$AJ$99=144),WORLDCUP!AL94,B124)</f>
        <v>Inglaterra</v>
      </c>
      <c r="D124" s="720"/>
      <c r="E124" s="357"/>
      <c r="F124" s="357"/>
      <c r="G124" s="357"/>
      <c r="H124" s="357"/>
      <c r="I124" s="368"/>
      <c r="J124" s="357"/>
      <c r="K124" s="357"/>
      <c r="L124" s="357"/>
      <c r="M124" s="366"/>
      <c r="N124" s="364"/>
    </row>
    <row r="125" spans="1:14" ht="15" customHeight="1">
      <c r="A125" s="722"/>
      <c r="B125" s="344" t="str">
        <f>Idiomas!D185</f>
        <v>2º GRUPO L</v>
      </c>
      <c r="C125" s="336" t="str">
        <f ca="1">IF(OR(SUM(WORLDCUP!$AN$94:$AN$97)=12,WORLDCUP!$AJ$99=144),WORLDCUP!AL95,B125)</f>
        <v>Croacia</v>
      </c>
      <c r="D125" s="720"/>
      <c r="E125" s="357"/>
      <c r="F125" s="357"/>
      <c r="G125" s="357"/>
      <c r="H125" s="357"/>
      <c r="I125" s="368"/>
      <c r="J125" s="357"/>
      <c r="K125" s="357"/>
      <c r="L125" s="357"/>
      <c r="M125" s="366"/>
      <c r="N125" s="364"/>
    </row>
    <row r="126" spans="1:14" ht="15" customHeight="1">
      <c r="A126" s="722"/>
      <c r="B126" s="344" t="str">
        <f>Idiomas!D186</f>
        <v>3º GRUPO L</v>
      </c>
      <c r="C126" s="336" t="str">
        <f ca="1">IF(OR(SUM(WORLDCUP!$AN$94:$AN$97)=12,WORLDCUP!$AJ$99=144),WORLDCUP!AL96,B126)</f>
        <v>Ghana</v>
      </c>
      <c r="D126" s="720"/>
      <c r="E126" s="357"/>
      <c r="F126" s="357"/>
      <c r="G126" s="357"/>
      <c r="H126" s="357"/>
      <c r="I126" s="368"/>
      <c r="J126" s="357"/>
      <c r="K126" s="357"/>
      <c r="L126" s="357"/>
      <c r="M126" s="366"/>
      <c r="N126" s="364"/>
    </row>
    <row r="127" spans="1:14" ht="15" customHeight="1">
      <c r="A127" s="722"/>
      <c r="B127" s="344" t="str">
        <f>Idiomas!D187</f>
        <v>4º GRUPO L</v>
      </c>
      <c r="C127" s="336" t="str">
        <f ca="1">IF(OR(SUM(WORLDCUP!$AN$94:$AN$97)=12,WORLDCUP!$AJ$99=144),WORLDCUP!AL97,B127)</f>
        <v>Panamá</v>
      </c>
      <c r="D127" s="720"/>
      <c r="E127" s="357"/>
      <c r="F127" s="357"/>
      <c r="G127" s="357"/>
      <c r="H127" s="357"/>
      <c r="I127" s="368"/>
      <c r="J127" s="357"/>
      <c r="K127" s="357"/>
      <c r="L127" s="357"/>
      <c r="M127" s="366"/>
      <c r="N127" s="364"/>
    </row>
    <row r="128" spans="1:14" ht="15" customHeight="1">
      <c r="A128" s="340"/>
      <c r="B128" s="340"/>
      <c r="C128" s="337"/>
      <c r="D128" s="720"/>
      <c r="E128" s="357"/>
      <c r="F128" s="357"/>
      <c r="G128" s="357"/>
      <c r="H128" s="357"/>
      <c r="I128" s="368"/>
      <c r="J128" s="357"/>
      <c r="K128" s="357"/>
      <c r="L128" s="357"/>
      <c r="M128" s="366"/>
      <c r="N128" s="364"/>
    </row>
    <row r="129" spans="1:14" ht="19.05" customHeight="1">
      <c r="A129" s="340"/>
      <c r="B129" s="345" t="str">
        <f>Idiomas!D127</f>
        <v>CLASIFICADOS PARA DIECISEISAVOS</v>
      </c>
      <c r="C129" s="337"/>
      <c r="D129" s="720"/>
      <c r="E129" s="357"/>
      <c r="F129" s="357"/>
      <c r="G129" s="357"/>
      <c r="H129" s="357"/>
      <c r="I129" s="368"/>
      <c r="J129" s="357"/>
      <c r="K129" s="357"/>
      <c r="L129" s="357"/>
      <c r="M129" s="366"/>
      <c r="N129" s="364"/>
    </row>
    <row r="130" spans="1:14" ht="15" customHeight="1">
      <c r="A130" s="717" t="s">
        <v>493</v>
      </c>
      <c r="B130" s="347" t="str">
        <f>Idiomas!$D$188</f>
        <v>Dieciseisavofinalista</v>
      </c>
      <c r="C130" s="336" t="str">
        <f ca="1">WORLDCUP!AA101</f>
        <v>Corea del Sur</v>
      </c>
      <c r="D130" s="720"/>
      <c r="E130" s="357"/>
      <c r="F130" s="357"/>
      <c r="G130" s="357"/>
      <c r="H130" s="357"/>
      <c r="I130" s="368"/>
      <c r="J130" s="357"/>
      <c r="K130" s="357"/>
      <c r="L130" s="357"/>
      <c r="M130" s="366"/>
      <c r="N130" s="364"/>
    </row>
    <row r="131" spans="1:14" ht="15" customHeight="1">
      <c r="A131" s="717"/>
      <c r="B131" s="347" t="str">
        <f>B130</f>
        <v>Dieciseisavofinalista</v>
      </c>
      <c r="C131" s="336" t="str">
        <f ca="1">WORLDCUP!AA102</f>
        <v>Marruecos</v>
      </c>
      <c r="D131" s="720"/>
      <c r="E131" s="357"/>
      <c r="F131" s="357"/>
      <c r="G131" s="357"/>
      <c r="H131" s="357"/>
      <c r="I131" s="368"/>
      <c r="J131" s="357"/>
      <c r="K131" s="357"/>
      <c r="L131" s="357"/>
      <c r="M131" s="366"/>
      <c r="N131" s="364"/>
    </row>
    <row r="132" spans="1:14" ht="15" customHeight="1">
      <c r="A132" s="717"/>
      <c r="B132" s="347" t="str">
        <f t="shared" ref="B132:B145" si="0">B131</f>
        <v>Dieciseisavofinalista</v>
      </c>
      <c r="C132" s="336" t="str">
        <f ca="1">WORLDCUP!AA103</f>
        <v>Ecuador</v>
      </c>
      <c r="D132" s="720"/>
      <c r="E132" s="357"/>
      <c r="F132" s="357"/>
      <c r="G132" s="357"/>
      <c r="H132" s="357"/>
      <c r="I132" s="368"/>
      <c r="J132" s="357"/>
      <c r="K132" s="357"/>
      <c r="L132" s="357"/>
      <c r="M132" s="366"/>
      <c r="N132" s="364"/>
    </row>
    <row r="133" spans="1:14" ht="15" customHeight="1">
      <c r="A133" s="717"/>
      <c r="B133" s="347" t="str">
        <f t="shared" si="0"/>
        <v>Dieciseisavofinalista</v>
      </c>
      <c r="C133" s="336" t="str">
        <f ca="1">WORLDCUP!AA104</f>
        <v>Japón</v>
      </c>
      <c r="D133" s="720"/>
      <c r="E133" s="357"/>
      <c r="F133" s="357"/>
      <c r="G133" s="357"/>
      <c r="H133" s="357"/>
      <c r="I133" s="368"/>
      <c r="J133" s="357"/>
      <c r="K133" s="357"/>
      <c r="L133" s="357"/>
      <c r="M133" s="366"/>
      <c r="N133" s="364"/>
    </row>
    <row r="134" spans="1:14" ht="15" customHeight="1">
      <c r="A134" s="717"/>
      <c r="B134" s="347" t="str">
        <f t="shared" si="0"/>
        <v>Dieciseisavofinalista</v>
      </c>
      <c r="C134" s="336" t="str">
        <f ca="1">WORLDCUP!AA105</f>
        <v>Alemania</v>
      </c>
      <c r="D134" s="720"/>
      <c r="E134" s="357"/>
      <c r="F134" s="357"/>
      <c r="G134" s="357"/>
      <c r="H134" s="357"/>
      <c r="I134" s="368"/>
      <c r="J134" s="357"/>
      <c r="K134" s="357"/>
      <c r="L134" s="357"/>
      <c r="M134" s="366"/>
      <c r="N134" s="364"/>
    </row>
    <row r="135" spans="1:14" ht="15" customHeight="1">
      <c r="A135" s="717"/>
      <c r="B135" s="347" t="str">
        <f t="shared" si="0"/>
        <v>Dieciseisavofinalista</v>
      </c>
      <c r="C135" s="336" t="str">
        <f ca="1">WORLDCUP!AA106</f>
        <v>Francia</v>
      </c>
      <c r="D135" s="720"/>
      <c r="E135" s="357"/>
      <c r="F135" s="357"/>
      <c r="G135" s="357"/>
      <c r="H135" s="357"/>
      <c r="I135" s="368"/>
      <c r="J135" s="357"/>
      <c r="K135" s="357"/>
      <c r="L135" s="357"/>
      <c r="M135" s="366"/>
      <c r="N135" s="364"/>
    </row>
    <row r="136" spans="1:14" ht="15" customHeight="1">
      <c r="A136" s="717"/>
      <c r="B136" s="347" t="str">
        <f t="shared" si="0"/>
        <v>Dieciseisavofinalista</v>
      </c>
      <c r="C136" s="336" t="str">
        <f ca="1">WORLDCUP!AA107</f>
        <v>México</v>
      </c>
      <c r="D136" s="720"/>
      <c r="E136" s="357"/>
      <c r="F136" s="357"/>
      <c r="G136" s="357"/>
      <c r="H136" s="357"/>
      <c r="I136" s="368"/>
      <c r="J136" s="357"/>
      <c r="K136" s="357"/>
      <c r="L136" s="357"/>
      <c r="M136" s="366"/>
      <c r="N136" s="364"/>
    </row>
    <row r="137" spans="1:14" ht="15" customHeight="1">
      <c r="A137" s="717"/>
      <c r="B137" s="347" t="str">
        <f t="shared" si="0"/>
        <v>Dieciseisavofinalista</v>
      </c>
      <c r="C137" s="336" t="str">
        <f ca="1">WORLDCUP!AA108</f>
        <v>Inglaterra</v>
      </c>
      <c r="D137" s="720"/>
      <c r="E137" s="357"/>
      <c r="F137" s="357"/>
      <c r="G137" s="357"/>
      <c r="H137" s="357"/>
      <c r="I137" s="368"/>
      <c r="J137" s="357"/>
      <c r="K137" s="357"/>
      <c r="L137" s="357"/>
      <c r="M137" s="366"/>
      <c r="N137" s="364"/>
    </row>
    <row r="138" spans="1:14" ht="15" customHeight="1">
      <c r="A138" s="717"/>
      <c r="B138" s="347" t="str">
        <f t="shared" si="0"/>
        <v>Dieciseisavofinalista</v>
      </c>
      <c r="C138" s="336" t="str">
        <f ca="1">WORLDCUP!AA109</f>
        <v>Egipto</v>
      </c>
      <c r="D138" s="720"/>
      <c r="E138" s="357"/>
      <c r="F138" s="357"/>
      <c r="G138" s="357"/>
      <c r="H138" s="357"/>
      <c r="I138" s="368"/>
      <c r="J138" s="357"/>
      <c r="K138" s="357"/>
      <c r="L138" s="357"/>
      <c r="M138" s="366"/>
      <c r="N138" s="364"/>
    </row>
    <row r="139" spans="1:14" ht="15" customHeight="1">
      <c r="A139" s="717"/>
      <c r="B139" s="347" t="str">
        <f t="shared" si="0"/>
        <v>Dieciseisavofinalista</v>
      </c>
      <c r="C139" s="336" t="str">
        <f ca="1">WORLDCUP!AA110</f>
        <v>Turquía</v>
      </c>
      <c r="D139" s="720"/>
      <c r="E139" s="357"/>
      <c r="F139" s="357"/>
      <c r="G139" s="357"/>
      <c r="H139" s="357"/>
      <c r="I139" s="368"/>
      <c r="J139" s="357"/>
      <c r="K139" s="357"/>
      <c r="L139" s="357"/>
      <c r="M139" s="366"/>
      <c r="N139" s="364"/>
    </row>
    <row r="140" spans="1:14" ht="15" customHeight="1">
      <c r="A140" s="717"/>
      <c r="B140" s="347" t="str">
        <f t="shared" si="0"/>
        <v>Dieciseisavofinalista</v>
      </c>
      <c r="C140" s="336" t="str">
        <f ca="1">WORLDCUP!AA111</f>
        <v>España</v>
      </c>
      <c r="D140" s="720"/>
      <c r="E140" s="357"/>
      <c r="F140" s="357"/>
      <c r="G140" s="357"/>
      <c r="H140" s="357"/>
      <c r="I140" s="368"/>
      <c r="J140" s="357"/>
      <c r="K140" s="357"/>
      <c r="L140" s="357"/>
      <c r="M140" s="366"/>
      <c r="N140" s="364"/>
    </row>
    <row r="141" spans="1:14" ht="15" customHeight="1">
      <c r="A141" s="717"/>
      <c r="B141" s="347" t="str">
        <f t="shared" si="0"/>
        <v>Dieciseisavofinalista</v>
      </c>
      <c r="C141" s="336" t="str">
        <f ca="1">WORLDCUP!AA112</f>
        <v>Colombia</v>
      </c>
      <c r="D141" s="720"/>
      <c r="E141" s="357"/>
      <c r="F141" s="357"/>
      <c r="G141" s="357"/>
      <c r="H141" s="357"/>
      <c r="I141" s="368"/>
      <c r="J141" s="357"/>
      <c r="K141" s="357"/>
      <c r="L141" s="357"/>
      <c r="M141" s="366"/>
      <c r="N141" s="364"/>
    </row>
    <row r="142" spans="1:14" ht="15" customHeight="1">
      <c r="A142" s="717"/>
      <c r="B142" s="347" t="str">
        <f t="shared" si="0"/>
        <v>Dieciseisavofinalista</v>
      </c>
      <c r="C142" s="336" t="str">
        <f ca="1">WORLDCUP!AA113</f>
        <v>Canadá</v>
      </c>
      <c r="D142" s="720"/>
      <c r="E142" s="357"/>
      <c r="F142" s="357"/>
      <c r="G142" s="357"/>
      <c r="H142" s="357"/>
      <c r="I142" s="368"/>
      <c r="J142" s="357"/>
      <c r="K142" s="357"/>
      <c r="L142" s="357"/>
      <c r="M142" s="366"/>
      <c r="N142" s="364"/>
    </row>
    <row r="143" spans="1:14" ht="15" customHeight="1">
      <c r="A143" s="717"/>
      <c r="B143" s="347" t="str">
        <f t="shared" si="0"/>
        <v>Dieciseisavofinalista</v>
      </c>
      <c r="C143" s="336" t="str">
        <f ca="1">WORLDCUP!AA114</f>
        <v>Paraguay</v>
      </c>
      <c r="D143" s="720"/>
      <c r="E143" s="357"/>
      <c r="F143" s="357"/>
      <c r="G143" s="357"/>
      <c r="H143" s="357"/>
      <c r="I143" s="368"/>
      <c r="J143" s="357"/>
      <c r="K143" s="357"/>
      <c r="L143" s="357"/>
      <c r="M143" s="366"/>
      <c r="N143" s="364"/>
    </row>
    <row r="144" spans="1:14" ht="15" customHeight="1">
      <c r="A144" s="717"/>
      <c r="B144" s="347" t="str">
        <f t="shared" si="0"/>
        <v>Dieciseisavofinalista</v>
      </c>
      <c r="C144" s="336" t="str">
        <f ca="1">WORLDCUP!AA115</f>
        <v>Argentina</v>
      </c>
      <c r="D144" s="720"/>
      <c r="E144" s="357"/>
      <c r="F144" s="357"/>
      <c r="G144" s="357"/>
      <c r="H144" s="357"/>
      <c r="I144" s="368"/>
      <c r="J144" s="357"/>
      <c r="K144" s="357"/>
      <c r="L144" s="357"/>
      <c r="M144" s="366"/>
      <c r="N144" s="364"/>
    </row>
    <row r="145" spans="1:14" ht="15" customHeight="1">
      <c r="A145" s="717"/>
      <c r="B145" s="347" t="str">
        <f t="shared" si="0"/>
        <v>Dieciseisavofinalista</v>
      </c>
      <c r="C145" s="336" t="str">
        <f ca="1">WORLDCUP!AA116</f>
        <v>Portugal</v>
      </c>
      <c r="D145" s="720"/>
      <c r="E145" s="357"/>
      <c r="F145" s="357"/>
      <c r="G145" s="357"/>
      <c r="H145" s="357"/>
      <c r="I145" s="368"/>
      <c r="J145" s="357"/>
      <c r="K145" s="357"/>
      <c r="L145" s="357"/>
      <c r="M145" s="366"/>
      <c r="N145" s="364"/>
    </row>
    <row r="146" spans="1:14" ht="15" customHeight="1">
      <c r="A146" s="717"/>
      <c r="B146" s="347" t="str">
        <f>Idiomas!$D$188</f>
        <v>Dieciseisavofinalista</v>
      </c>
      <c r="C146" s="336" t="str">
        <f ca="1">WORLDCUP!AF101</f>
        <v>Suiza</v>
      </c>
      <c r="D146" s="720"/>
      <c r="E146" s="357"/>
      <c r="F146" s="357"/>
      <c r="G146" s="357"/>
      <c r="H146" s="357"/>
      <c r="I146" s="368"/>
      <c r="J146" s="357"/>
      <c r="K146" s="357"/>
      <c r="L146" s="357"/>
      <c r="M146" s="366"/>
      <c r="N146" s="364"/>
    </row>
    <row r="147" spans="1:14" ht="15" customHeight="1">
      <c r="A147" s="717"/>
      <c r="B147" s="347" t="str">
        <f>B146</f>
        <v>Dieciseisavofinalista</v>
      </c>
      <c r="C147" s="336" t="str">
        <f ca="1">WORLDCUP!AF102</f>
        <v>Países Bajos</v>
      </c>
      <c r="D147" s="720"/>
      <c r="E147" s="357"/>
      <c r="F147" s="357"/>
      <c r="G147" s="357"/>
      <c r="H147" s="357"/>
      <c r="I147" s="368"/>
      <c r="J147" s="357"/>
      <c r="K147" s="357"/>
      <c r="L147" s="357"/>
      <c r="M147" s="366"/>
      <c r="N147" s="364"/>
    </row>
    <row r="148" spans="1:14" ht="15" customHeight="1">
      <c r="A148" s="717"/>
      <c r="B148" s="347" t="str">
        <f t="shared" ref="B148:B161" si="1">B147</f>
        <v>Dieciseisavofinalista</v>
      </c>
      <c r="C148" s="336" t="str">
        <f ca="1">WORLDCUP!AF103</f>
        <v>República Checa</v>
      </c>
      <c r="D148" s="720"/>
      <c r="E148" s="357"/>
      <c r="F148" s="357"/>
      <c r="G148" s="357"/>
      <c r="H148" s="357"/>
      <c r="I148" s="368"/>
      <c r="J148" s="357"/>
      <c r="K148" s="357"/>
      <c r="L148" s="357"/>
      <c r="M148" s="366"/>
      <c r="N148" s="364"/>
    </row>
    <row r="149" spans="1:14" ht="15" customHeight="1">
      <c r="A149" s="717"/>
      <c r="B149" s="347" t="str">
        <f t="shared" si="1"/>
        <v>Dieciseisavofinalista</v>
      </c>
      <c r="C149" s="336" t="str">
        <f ca="1">WORLDCUP!AF104</f>
        <v>Brasil</v>
      </c>
      <c r="D149" s="720"/>
      <c r="E149" s="357"/>
      <c r="F149" s="357"/>
      <c r="G149" s="357"/>
      <c r="H149" s="357"/>
      <c r="I149" s="368"/>
      <c r="J149" s="357"/>
      <c r="K149" s="357"/>
      <c r="L149" s="357"/>
      <c r="M149" s="366"/>
      <c r="N149" s="364"/>
    </row>
    <row r="150" spans="1:14" ht="15" customHeight="1">
      <c r="A150" s="717"/>
      <c r="B150" s="347" t="str">
        <f t="shared" si="1"/>
        <v>Dieciseisavofinalista</v>
      </c>
      <c r="C150" s="336" t="str">
        <f ca="1">WORLDCUP!AF105</f>
        <v>Noruega</v>
      </c>
      <c r="D150" s="720"/>
      <c r="E150" s="357"/>
      <c r="F150" s="357"/>
      <c r="G150" s="357"/>
      <c r="H150" s="357"/>
      <c r="I150" s="368"/>
      <c r="J150" s="357"/>
      <c r="K150" s="357"/>
      <c r="L150" s="357"/>
      <c r="M150" s="366"/>
      <c r="N150" s="364"/>
    </row>
    <row r="151" spans="1:14" ht="15" customHeight="1">
      <c r="A151" s="717"/>
      <c r="B151" s="347" t="str">
        <f t="shared" si="1"/>
        <v>Dieciseisavofinalista</v>
      </c>
      <c r="C151" s="336" t="str">
        <f ca="1">WORLDCUP!AF106</f>
        <v>Irán</v>
      </c>
      <c r="D151" s="720"/>
      <c r="E151" s="357"/>
      <c r="F151" s="357"/>
      <c r="G151" s="357"/>
      <c r="H151" s="357"/>
      <c r="I151" s="368"/>
      <c r="J151" s="357"/>
      <c r="K151" s="357"/>
      <c r="L151" s="357"/>
      <c r="M151" s="366"/>
      <c r="N151" s="364"/>
    </row>
    <row r="152" spans="1:14" ht="15" customHeight="1">
      <c r="A152" s="717"/>
      <c r="B152" s="347" t="str">
        <f t="shared" si="1"/>
        <v>Dieciseisavofinalista</v>
      </c>
      <c r="C152" s="336" t="str">
        <f ca="1">WORLDCUP!AF107</f>
        <v>Costa de Marfil</v>
      </c>
      <c r="D152" s="720"/>
      <c r="E152" s="357"/>
      <c r="F152" s="357"/>
      <c r="G152" s="357"/>
      <c r="H152" s="357"/>
      <c r="I152" s="368"/>
      <c r="J152" s="357"/>
      <c r="K152" s="357"/>
      <c r="L152" s="357"/>
      <c r="M152" s="366"/>
      <c r="N152" s="364"/>
    </row>
    <row r="153" spans="1:14" ht="15" customHeight="1">
      <c r="A153" s="717"/>
      <c r="B153" s="347" t="str">
        <f t="shared" si="1"/>
        <v>Dieciseisavofinalista</v>
      </c>
      <c r="C153" s="336" t="str">
        <f ca="1">WORLDCUP!AF108</f>
        <v>Senegal</v>
      </c>
      <c r="D153" s="720"/>
      <c r="E153" s="357"/>
      <c r="F153" s="357"/>
      <c r="G153" s="357"/>
      <c r="H153" s="357"/>
      <c r="I153" s="368"/>
      <c r="J153" s="357"/>
      <c r="K153" s="357"/>
      <c r="L153" s="357"/>
      <c r="M153" s="366"/>
      <c r="N153" s="364"/>
    </row>
    <row r="154" spans="1:14" ht="15" customHeight="1">
      <c r="A154" s="717"/>
      <c r="B154" s="347" t="str">
        <f t="shared" si="1"/>
        <v>Dieciseisavofinalista</v>
      </c>
      <c r="C154" s="336" t="str">
        <f ca="1">WORLDCUP!AF109</f>
        <v>Arabia Saudita</v>
      </c>
      <c r="D154" s="720"/>
      <c r="E154" s="357"/>
      <c r="F154" s="357"/>
      <c r="G154" s="357"/>
      <c r="H154" s="357"/>
      <c r="I154" s="368"/>
      <c r="J154" s="357"/>
      <c r="K154" s="357"/>
      <c r="L154" s="357"/>
      <c r="M154" s="366"/>
      <c r="N154" s="364"/>
    </row>
    <row r="155" spans="1:14" ht="15" customHeight="1">
      <c r="A155" s="717"/>
      <c r="B155" s="347" t="str">
        <f t="shared" si="1"/>
        <v>Dieciseisavofinalista</v>
      </c>
      <c r="C155" s="336" t="str">
        <f ca="1">WORLDCUP!AF110</f>
        <v>Bosnia y Herzegovina</v>
      </c>
      <c r="D155" s="720"/>
      <c r="E155" s="357"/>
      <c r="F155" s="357"/>
      <c r="G155" s="357"/>
      <c r="H155" s="357"/>
      <c r="I155" s="368"/>
      <c r="J155" s="357"/>
      <c r="K155" s="357"/>
      <c r="L155" s="357"/>
      <c r="M155" s="366"/>
      <c r="N155" s="364"/>
    </row>
    <row r="156" spans="1:14" ht="15" customHeight="1">
      <c r="A156" s="717"/>
      <c r="B156" s="347" t="str">
        <f t="shared" si="1"/>
        <v>Dieciseisavofinalista</v>
      </c>
      <c r="C156" s="336" t="str">
        <f ca="1">WORLDCUP!AF111</f>
        <v>Argelia</v>
      </c>
      <c r="D156" s="720"/>
      <c r="E156" s="357"/>
      <c r="F156" s="357"/>
      <c r="G156" s="357"/>
      <c r="H156" s="357"/>
      <c r="I156" s="368"/>
      <c r="J156" s="357"/>
      <c r="K156" s="357"/>
      <c r="L156" s="357"/>
      <c r="M156" s="366"/>
      <c r="N156" s="364"/>
    </row>
    <row r="157" spans="1:14" ht="15" customHeight="1">
      <c r="A157" s="717"/>
      <c r="B157" s="347" t="str">
        <f t="shared" si="1"/>
        <v>Dieciseisavofinalista</v>
      </c>
      <c r="C157" s="336" t="str">
        <f ca="1">WORLDCUP!AF112</f>
        <v>Croacia</v>
      </c>
      <c r="D157" s="720"/>
      <c r="E157" s="357"/>
      <c r="F157" s="357"/>
      <c r="G157" s="357"/>
      <c r="H157" s="357"/>
      <c r="I157" s="368"/>
      <c r="J157" s="357"/>
      <c r="K157" s="357"/>
      <c r="L157" s="357"/>
      <c r="M157" s="366"/>
      <c r="N157" s="364"/>
    </row>
    <row r="158" spans="1:14" ht="15" customHeight="1">
      <c r="A158" s="717"/>
      <c r="B158" s="347" t="str">
        <f t="shared" si="1"/>
        <v>Dieciseisavofinalista</v>
      </c>
      <c r="C158" s="336" t="str">
        <f ca="1">WORLDCUP!AF113</f>
        <v>Austria</v>
      </c>
      <c r="D158" s="720"/>
      <c r="E158" s="357"/>
      <c r="F158" s="357"/>
      <c r="G158" s="357"/>
      <c r="H158" s="357"/>
      <c r="I158" s="368"/>
      <c r="J158" s="357"/>
      <c r="K158" s="357"/>
      <c r="L158" s="357"/>
      <c r="M158" s="366"/>
      <c r="N158" s="364"/>
    </row>
    <row r="159" spans="1:14" ht="15" customHeight="1">
      <c r="A159" s="717"/>
      <c r="B159" s="347" t="str">
        <f t="shared" si="1"/>
        <v>Dieciseisavofinalista</v>
      </c>
      <c r="C159" s="336" t="str">
        <f ca="1">WORLDCUP!AF114</f>
        <v>Bélgica</v>
      </c>
      <c r="D159" s="720"/>
      <c r="E159" s="357"/>
      <c r="F159" s="357"/>
      <c r="G159" s="357"/>
      <c r="H159" s="357"/>
      <c r="I159" s="368"/>
      <c r="J159" s="357"/>
      <c r="K159" s="357"/>
      <c r="L159" s="357"/>
      <c r="M159" s="366"/>
      <c r="N159" s="364"/>
    </row>
    <row r="160" spans="1:14" ht="15" customHeight="1">
      <c r="A160" s="717"/>
      <c r="B160" s="347" t="str">
        <f t="shared" si="1"/>
        <v>Dieciseisavofinalista</v>
      </c>
      <c r="C160" s="336" t="str">
        <f ca="1">WORLDCUP!AF115</f>
        <v>Uruguay</v>
      </c>
      <c r="D160" s="720"/>
      <c r="E160" s="357"/>
      <c r="F160" s="357"/>
      <c r="G160" s="357"/>
      <c r="H160" s="357"/>
      <c r="I160" s="368"/>
      <c r="J160" s="357"/>
      <c r="K160" s="357"/>
      <c r="L160" s="357"/>
      <c r="M160" s="366"/>
      <c r="N160" s="364"/>
    </row>
    <row r="161" spans="1:14" ht="15" customHeight="1">
      <c r="A161" s="717"/>
      <c r="B161" s="347" t="str">
        <f t="shared" si="1"/>
        <v>Dieciseisavofinalista</v>
      </c>
      <c r="C161" s="336" t="str">
        <f ca="1">WORLDCUP!AF116</f>
        <v>Ghana</v>
      </c>
      <c r="D161" s="721"/>
      <c r="E161" s="359"/>
      <c r="F161" s="359"/>
      <c r="G161" s="359"/>
      <c r="H161" s="359"/>
      <c r="I161" s="369"/>
      <c r="J161" s="370"/>
      <c r="K161" s="359"/>
      <c r="L161" s="359"/>
      <c r="M161" s="371"/>
      <c r="N161" s="364"/>
    </row>
    <row r="162" spans="1:14" ht="19.95" customHeight="1">
      <c r="A162" s="340"/>
      <c r="B162" s="340"/>
      <c r="C162" s="337"/>
      <c r="D162" s="357"/>
      <c r="E162" s="734" t="str">
        <f>Idiomas!D113</f>
        <v>·Si haceis todas las eliminatorias de golpe, copiar de la C164 a la C252 y pegar valores en la plantilla de Administrador.</v>
      </c>
      <c r="F162" s="734"/>
      <c r="G162" s="734"/>
      <c r="H162" s="734"/>
      <c r="I162" s="734"/>
      <c r="J162" s="734"/>
      <c r="K162" s="734"/>
      <c r="L162" s="735"/>
      <c r="M162" s="372"/>
      <c r="N162" s="364"/>
    </row>
    <row r="163" spans="1:14" ht="22.95" customHeight="1">
      <c r="A163" s="340"/>
      <c r="B163" s="345" t="str">
        <f>Idiomas!D128</f>
        <v>ENFRENTAMIENTOS DIECISEISAVOS</v>
      </c>
      <c r="C163" s="337"/>
      <c r="D163" s="357"/>
      <c r="E163" s="733" t="str">
        <f>Idiomas!D114</f>
        <v>·Si haceis eliminatoria a eliminatoria seguir las instrucciones de cada eliminatoria.</v>
      </c>
      <c r="F163" s="733"/>
      <c r="G163" s="733"/>
      <c r="H163" s="733"/>
      <c r="I163" s="733"/>
      <c r="J163" s="733"/>
      <c r="K163" s="733"/>
      <c r="L163" s="736"/>
      <c r="M163" s="373"/>
      <c r="N163" s="364"/>
    </row>
    <row r="164" spans="1:14" ht="15" customHeight="1">
      <c r="A164" s="717" t="s">
        <v>493</v>
      </c>
      <c r="B164" s="347" t="str">
        <f ca="1">CONCATENATE(WORLDCUP!AA101,"-",WORLDCUP!AF101)</f>
        <v>Corea del Sur-Suiza</v>
      </c>
      <c r="C164" s="336" t="str">
        <f ca="1">CONCATENATE(WORLDCUP!AA101,"-",WORLDCUP!AF101,"·",IF(WORLDCUP!AC101&gt;WORLDCUP!AD101,1,IF(WORLDCUP!AC101&lt;WORLDCUP!AD101,2,IF(AND(WORLDCUP!AC101=WORLDCUP!AD101,WORLDCUP!AC101&lt;&gt;"",WORLDCUP!AD101&lt;&gt;""),"X",0))),"|",WORLDCUP!AC101,"-",WORLDCUP!AD101)</f>
        <v>Corea del Sur-Suiza·2|0-3</v>
      </c>
      <c r="D164" s="719" t="s">
        <v>493</v>
      </c>
      <c r="E164" s="737" t="str">
        <f>Idiomas!D115</f>
        <v>·Para los dieciseisavos copiar de la C164 a la C197 y pega valores en la plantilla de administrador.</v>
      </c>
      <c r="F164" s="737"/>
      <c r="G164" s="737"/>
      <c r="H164" s="737"/>
      <c r="I164" s="339"/>
      <c r="J164" s="357"/>
      <c r="K164" s="357"/>
      <c r="L164" s="357"/>
      <c r="M164" s="373"/>
      <c r="N164" s="364"/>
    </row>
    <row r="165" spans="1:14" ht="15" customHeight="1">
      <c r="A165" s="717"/>
      <c r="B165" s="347" t="str">
        <f ca="1">CONCATENATE(WORLDCUP!AA102,"-",WORLDCUP!AF102)</f>
        <v>Marruecos-Países Bajos</v>
      </c>
      <c r="C165" s="336" t="str">
        <f ca="1">CONCATENATE(WORLDCUP!AA102,"-",WORLDCUP!AF102,"·",IF(WORLDCUP!AC102&gt;WORLDCUP!AD102,1,IF(WORLDCUP!AC102&lt;WORLDCUP!AD102,2,IF(AND(WORLDCUP!AC102=WORLDCUP!AD102,WORLDCUP!AC102&lt;&gt;"",WORLDCUP!AD102&lt;&gt;""),"X",0))),"|",WORLDCUP!AC102,"-",WORLDCUP!AD102)</f>
        <v>Marruecos-Países Bajos·2|0-2</v>
      </c>
      <c r="D165" s="719"/>
      <c r="E165" s="738"/>
      <c r="F165" s="738"/>
      <c r="G165" s="738"/>
      <c r="H165" s="738"/>
      <c r="I165" s="339"/>
      <c r="J165" s="357"/>
      <c r="K165" s="357"/>
      <c r="L165" s="357"/>
      <c r="M165" s="373"/>
      <c r="N165" s="364"/>
    </row>
    <row r="166" spans="1:14" ht="15" customHeight="1">
      <c r="A166" s="717"/>
      <c r="B166" s="347" t="str">
        <f ca="1">CONCATENATE(WORLDCUP!AA103,"-",WORLDCUP!AF103)</f>
        <v>Ecuador-República Checa</v>
      </c>
      <c r="C166" s="336" t="str">
        <f ca="1">CONCATENATE(WORLDCUP!AA103,"-",WORLDCUP!AF103,"·",IF(WORLDCUP!AC103&gt;WORLDCUP!AD103,1,IF(WORLDCUP!AC103&lt;WORLDCUP!AD103,2,IF(AND(WORLDCUP!AC103=WORLDCUP!AD103,WORLDCUP!AC103&lt;&gt;"",WORLDCUP!AD103&lt;&gt;""),"X",0))),"|",WORLDCUP!AC103,"-",WORLDCUP!AD103)</f>
        <v>Ecuador-República Checa·1|2-0</v>
      </c>
      <c r="D166" s="719"/>
      <c r="E166" s="738"/>
      <c r="F166" s="738"/>
      <c r="G166" s="738"/>
      <c r="H166" s="738"/>
      <c r="I166" s="339"/>
      <c r="J166" s="357"/>
      <c r="K166" s="357"/>
      <c r="L166" s="357"/>
      <c r="M166" s="373"/>
      <c r="N166" s="364"/>
    </row>
    <row r="167" spans="1:14" ht="15" customHeight="1">
      <c r="A167" s="717"/>
      <c r="B167" s="347" t="str">
        <f ca="1">CONCATENATE(WORLDCUP!AA104,"-",WORLDCUP!AF104)</f>
        <v>Japón-Brasil</v>
      </c>
      <c r="C167" s="336" t="str">
        <f ca="1">CONCATENATE(WORLDCUP!AA104,"-",WORLDCUP!AF104,"·",IF(WORLDCUP!AC104&gt;WORLDCUP!AD104,1,IF(WORLDCUP!AC104&lt;WORLDCUP!AD104,2,IF(AND(WORLDCUP!AC104=WORLDCUP!AD104,WORLDCUP!AC104&lt;&gt;"",WORLDCUP!AD104&lt;&gt;""),"X",0))),"|",WORLDCUP!AC104,"-",WORLDCUP!AD104)</f>
        <v>Japón-Brasil·1|3-2</v>
      </c>
      <c r="D167" s="719"/>
      <c r="E167" s="738"/>
      <c r="F167" s="738"/>
      <c r="G167" s="738"/>
      <c r="H167" s="738"/>
      <c r="I167" s="339"/>
      <c r="J167" s="357"/>
      <c r="K167" s="357"/>
      <c r="L167" s="357"/>
      <c r="M167" s="373"/>
      <c r="N167" s="364"/>
    </row>
    <row r="168" spans="1:14" ht="15" customHeight="1">
      <c r="A168" s="717"/>
      <c r="B168" s="347" t="str">
        <f ca="1">CONCATENATE(WORLDCUP!AA105,"-",WORLDCUP!AF105)</f>
        <v>Alemania-Noruega</v>
      </c>
      <c r="C168" s="336" t="str">
        <f ca="1">CONCATENATE(WORLDCUP!AA105,"-",WORLDCUP!AF105,"·",IF(WORLDCUP!AC105&gt;WORLDCUP!AD105,1,IF(WORLDCUP!AC105&lt;WORLDCUP!AD105,2,IF(AND(WORLDCUP!AC105=WORLDCUP!AD105,WORLDCUP!AC105&lt;&gt;"",WORLDCUP!AD105&lt;&gt;""),"X",0))),"|",WORLDCUP!AC105,"-",WORLDCUP!AD105)</f>
        <v>Alemania-Noruega·X|1-1</v>
      </c>
      <c r="D168" s="719"/>
      <c r="E168" s="357"/>
      <c r="F168" s="357"/>
      <c r="G168" s="357"/>
      <c r="H168" s="357"/>
      <c r="I168" s="339"/>
      <c r="J168" s="357"/>
      <c r="K168" s="357"/>
      <c r="L168" s="357"/>
      <c r="M168" s="373"/>
      <c r="N168" s="364"/>
    </row>
    <row r="169" spans="1:14" ht="15" customHeight="1">
      <c r="A169" s="717"/>
      <c r="B169" s="347" t="str">
        <f ca="1">CONCATENATE(WORLDCUP!AA106,"-",WORLDCUP!AF106)</f>
        <v>Francia-Irán</v>
      </c>
      <c r="C169" s="336" t="str">
        <f ca="1">CONCATENATE(WORLDCUP!AA106,"-",WORLDCUP!AF106,"·",IF(WORLDCUP!AC106&gt;WORLDCUP!AD106,1,IF(WORLDCUP!AC106&lt;WORLDCUP!AD106,2,IF(AND(WORLDCUP!AC106=WORLDCUP!AD106,WORLDCUP!AC106&lt;&gt;"",WORLDCUP!AD106&lt;&gt;""),"X",0))),"|",WORLDCUP!AC106,"-",WORLDCUP!AD106)</f>
        <v>Francia-Irán·1|5-0</v>
      </c>
      <c r="D169" s="719"/>
      <c r="E169" s="357"/>
      <c r="F169" s="357"/>
      <c r="G169" s="357"/>
      <c r="H169" s="357"/>
      <c r="I169" s="339"/>
      <c r="J169" s="357"/>
      <c r="K169" s="357"/>
      <c r="L169" s="357"/>
      <c r="M169" s="373"/>
      <c r="N169" s="364"/>
    </row>
    <row r="170" spans="1:14" ht="15" customHeight="1">
      <c r="A170" s="717"/>
      <c r="B170" s="347" t="str">
        <f ca="1">CONCATENATE(WORLDCUP!AA107,"-",WORLDCUP!AF107)</f>
        <v>México-Costa de Marfil</v>
      </c>
      <c r="C170" s="336" t="str">
        <f ca="1">CONCATENATE(WORLDCUP!AA107,"-",WORLDCUP!AF107,"·",IF(WORLDCUP!AC107&gt;WORLDCUP!AD107,1,IF(WORLDCUP!AC107&lt;WORLDCUP!AD107,2,IF(AND(WORLDCUP!AC107=WORLDCUP!AD107,WORLDCUP!AC107&lt;&gt;"",WORLDCUP!AD107&lt;&gt;""),"X",0))),"|",WORLDCUP!AC107,"-",WORLDCUP!AD107)</f>
        <v>México-Costa de Marfil·2|0-2</v>
      </c>
      <c r="D170" s="719"/>
      <c r="E170" s="357"/>
      <c r="F170" s="357"/>
      <c r="G170" s="357"/>
      <c r="H170" s="357"/>
      <c r="I170" s="339"/>
      <c r="J170" s="357"/>
      <c r="K170" s="357"/>
      <c r="L170" s="357"/>
      <c r="M170" s="373"/>
      <c r="N170" s="364"/>
    </row>
    <row r="171" spans="1:14" ht="15" customHeight="1">
      <c r="A171" s="717"/>
      <c r="B171" s="347" t="str">
        <f ca="1">CONCATENATE(WORLDCUP!AA108,"-",WORLDCUP!AF108)</f>
        <v>Inglaterra-Senegal</v>
      </c>
      <c r="C171" s="336" t="str">
        <f ca="1">CONCATENATE(WORLDCUP!AA108,"-",WORLDCUP!AF108,"·",IF(WORLDCUP!AC108&gt;WORLDCUP!AD108,1,IF(WORLDCUP!AC108&lt;WORLDCUP!AD108,2,IF(AND(WORLDCUP!AC108=WORLDCUP!AD108,WORLDCUP!AC108&lt;&gt;"",WORLDCUP!AD108&lt;&gt;""),"X",0))),"|",WORLDCUP!AC108,"-",WORLDCUP!AD108)</f>
        <v>Inglaterra-Senegal·1|2-0</v>
      </c>
      <c r="D171" s="719"/>
      <c r="E171" s="357"/>
      <c r="F171" s="357"/>
      <c r="G171" s="357"/>
      <c r="H171" s="357"/>
      <c r="I171" s="339"/>
      <c r="J171" s="357"/>
      <c r="K171" s="357"/>
      <c r="L171" s="357"/>
      <c r="M171" s="373"/>
      <c r="N171" s="364"/>
    </row>
    <row r="172" spans="1:14" ht="15" customHeight="1">
      <c r="A172" s="717"/>
      <c r="B172" s="347" t="str">
        <f ca="1">CONCATENATE(WORLDCUP!AA109,"-",WORLDCUP!AF109)</f>
        <v>Egipto-Arabia Saudita</v>
      </c>
      <c r="C172" s="336" t="str">
        <f ca="1">CONCATENATE(WORLDCUP!AA109,"-",WORLDCUP!AF109,"·",IF(WORLDCUP!AC109&gt;WORLDCUP!AD109,1,IF(WORLDCUP!AC109&lt;WORLDCUP!AD109,2,IF(AND(WORLDCUP!AC109=WORLDCUP!AD109,WORLDCUP!AC109&lt;&gt;"",WORLDCUP!AD109&lt;&gt;""),"X",0))),"|",WORLDCUP!AC109,"-",WORLDCUP!AD109)</f>
        <v>Egipto-Arabia Saudita·X|1-1</v>
      </c>
      <c r="D172" s="719"/>
      <c r="E172" s="357"/>
      <c r="F172" s="357"/>
      <c r="G172" s="357"/>
      <c r="H172" s="357"/>
      <c r="I172" s="339"/>
      <c r="J172" s="357"/>
      <c r="K172" s="357"/>
      <c r="L172" s="357"/>
      <c r="M172" s="373"/>
      <c r="N172" s="364"/>
    </row>
    <row r="173" spans="1:14" ht="15" customHeight="1">
      <c r="A173" s="717"/>
      <c r="B173" s="347" t="str">
        <f ca="1">CONCATENATE(WORLDCUP!AA110,"-",WORLDCUP!AF110)</f>
        <v>Turquía-Bosnia y Herzegovina</v>
      </c>
      <c r="C173" s="336" t="str">
        <f ca="1">CONCATENATE(WORLDCUP!AA110,"-",WORLDCUP!AF110,"·",IF(WORLDCUP!AC110&gt;WORLDCUP!AD110,1,IF(WORLDCUP!AC110&lt;WORLDCUP!AD110,2,IF(AND(WORLDCUP!AC110=WORLDCUP!AD110,WORLDCUP!AC110&lt;&gt;"",WORLDCUP!AD110&lt;&gt;""),"X",0))),"|",WORLDCUP!AC110,"-",WORLDCUP!AD110)</f>
        <v>Turquía-Bosnia y Herzegovina·1|3-2</v>
      </c>
      <c r="D173" s="719"/>
      <c r="E173" s="357"/>
      <c r="F173" s="357"/>
      <c r="G173" s="357"/>
      <c r="H173" s="357"/>
      <c r="I173" s="339"/>
      <c r="J173" s="357"/>
      <c r="K173" s="357"/>
      <c r="L173" s="357"/>
      <c r="M173" s="373"/>
      <c r="N173" s="364"/>
    </row>
    <row r="174" spans="1:14" ht="15" customHeight="1">
      <c r="A174" s="717"/>
      <c r="B174" s="347" t="str">
        <f ca="1">CONCATENATE(WORLDCUP!AA111,"-",WORLDCUP!AF111)</f>
        <v>España-Argelia</v>
      </c>
      <c r="C174" s="336" t="str">
        <f ca="1">CONCATENATE(WORLDCUP!AA111,"-",WORLDCUP!AF111,"·",IF(WORLDCUP!AC111&gt;WORLDCUP!AD111,1,IF(WORLDCUP!AC111&lt;WORLDCUP!AD111,2,IF(AND(WORLDCUP!AC111=WORLDCUP!AD111,WORLDCUP!AC111&lt;&gt;"",WORLDCUP!AD111&lt;&gt;""),"X",0))),"|",WORLDCUP!AC111,"-",WORLDCUP!AD111)</f>
        <v>España-Argelia·1|4-1</v>
      </c>
      <c r="D174" s="719"/>
      <c r="E174" s="357"/>
      <c r="F174" s="357"/>
      <c r="G174" s="357"/>
      <c r="H174" s="357"/>
      <c r="I174" s="339"/>
      <c r="J174" s="357"/>
      <c r="K174" s="357"/>
      <c r="L174" s="357"/>
      <c r="M174" s="373"/>
      <c r="N174" s="364"/>
    </row>
    <row r="175" spans="1:14" ht="15" customHeight="1">
      <c r="A175" s="717"/>
      <c r="B175" s="347" t="str">
        <f ca="1">CONCATENATE(WORLDCUP!AA112,"-",WORLDCUP!AF112)</f>
        <v>Colombia-Croacia</v>
      </c>
      <c r="C175" s="336" t="str">
        <f ca="1">CONCATENATE(WORLDCUP!AA112,"-",WORLDCUP!AF112,"·",IF(WORLDCUP!AC112&gt;WORLDCUP!AD112,1,IF(WORLDCUP!AC112&lt;WORLDCUP!AD112,2,IF(AND(WORLDCUP!AC112=WORLDCUP!AD112,WORLDCUP!AC112&lt;&gt;"",WORLDCUP!AD112&lt;&gt;""),"X",0))),"|",WORLDCUP!AC112,"-",WORLDCUP!AD112)</f>
        <v>Colombia-Croacia·2|2-3</v>
      </c>
      <c r="D175" s="719"/>
      <c r="E175" s="357"/>
      <c r="F175" s="357"/>
      <c r="G175" s="357"/>
      <c r="H175" s="357"/>
      <c r="I175" s="339"/>
      <c r="J175" s="357"/>
      <c r="K175" s="357"/>
      <c r="L175" s="357"/>
      <c r="M175" s="373"/>
      <c r="N175" s="364"/>
    </row>
    <row r="176" spans="1:14" ht="15" customHeight="1">
      <c r="A176" s="717"/>
      <c r="B176" s="347" t="str">
        <f ca="1">CONCATENATE(WORLDCUP!AA113,"-",WORLDCUP!AF113)</f>
        <v>Canadá-Austria</v>
      </c>
      <c r="C176" s="336" t="str">
        <f ca="1">CONCATENATE(WORLDCUP!AA113,"-",WORLDCUP!AF113,"·",IF(WORLDCUP!AC113&gt;WORLDCUP!AD113,1,IF(WORLDCUP!AC113&lt;WORLDCUP!AD113,2,IF(AND(WORLDCUP!AC113=WORLDCUP!AD113,WORLDCUP!AC113&lt;&gt;"",WORLDCUP!AD113&lt;&gt;""),"X",0))),"|",WORLDCUP!AC113,"-",WORLDCUP!AD113)</f>
        <v>Canadá-Austria·2|1-2</v>
      </c>
      <c r="D176" s="719"/>
      <c r="E176" s="357"/>
      <c r="F176" s="357"/>
      <c r="G176" s="357"/>
      <c r="H176" s="357"/>
      <c r="I176" s="339"/>
      <c r="J176" s="357"/>
      <c r="K176" s="357"/>
      <c r="L176" s="357"/>
      <c r="M176" s="373"/>
      <c r="N176" s="364"/>
    </row>
    <row r="177" spans="1:14" ht="15" customHeight="1">
      <c r="A177" s="717"/>
      <c r="B177" s="347" t="str">
        <f ca="1">CONCATENATE(WORLDCUP!AA114,"-",WORLDCUP!AF114)</f>
        <v>Paraguay-Bélgica</v>
      </c>
      <c r="C177" s="336" t="str">
        <f ca="1">CONCATENATE(WORLDCUP!AA114,"-",WORLDCUP!AF114,"·",IF(WORLDCUP!AC114&gt;WORLDCUP!AD114,1,IF(WORLDCUP!AC114&lt;WORLDCUP!AD114,2,IF(AND(WORLDCUP!AC114=WORLDCUP!AD114,WORLDCUP!AC114&lt;&gt;"",WORLDCUP!AD114&lt;&gt;""),"X",0))),"|",WORLDCUP!AC114,"-",WORLDCUP!AD114)</f>
        <v>Paraguay-Bélgica·1|2-0</v>
      </c>
      <c r="D177" s="719"/>
      <c r="E177" s="357"/>
      <c r="F177" s="357"/>
      <c r="G177" s="357"/>
      <c r="H177" s="357"/>
      <c r="I177" s="339"/>
      <c r="J177" s="357"/>
      <c r="K177" s="357"/>
      <c r="L177" s="357"/>
      <c r="M177" s="373"/>
      <c r="N177" s="364"/>
    </row>
    <row r="178" spans="1:14" ht="15" customHeight="1">
      <c r="A178" s="717"/>
      <c r="B178" s="347" t="str">
        <f ca="1">CONCATENATE(WORLDCUP!AA115,"-",WORLDCUP!AF115)</f>
        <v>Argentina-Uruguay</v>
      </c>
      <c r="C178" s="336" t="str">
        <f ca="1">CONCATENATE(WORLDCUP!AA115,"-",WORLDCUP!AF115,"·",IF(WORLDCUP!AC115&gt;WORLDCUP!AD115,1,IF(WORLDCUP!AC115&lt;WORLDCUP!AD115,2,IF(AND(WORLDCUP!AC115=WORLDCUP!AD115,WORLDCUP!AC115&lt;&gt;"",WORLDCUP!AD115&lt;&gt;""),"X",0))),"|",WORLDCUP!AC115,"-",WORLDCUP!AD115)</f>
        <v>Argentina-Uruguay·1|3-2</v>
      </c>
      <c r="D178" s="719"/>
      <c r="E178" s="357"/>
      <c r="F178" s="357"/>
      <c r="G178" s="357"/>
      <c r="H178" s="357"/>
      <c r="I178" s="339"/>
      <c r="J178" s="357"/>
      <c r="K178" s="357"/>
      <c r="L178" s="357"/>
      <c r="M178" s="373"/>
      <c r="N178" s="364"/>
    </row>
    <row r="179" spans="1:14" ht="15" customHeight="1">
      <c r="A179" s="717"/>
      <c r="B179" s="347" t="str">
        <f ca="1">CONCATENATE(WORLDCUP!AA116,"-",WORLDCUP!AF116)</f>
        <v>Portugal-Ghana</v>
      </c>
      <c r="C179" s="336" t="str">
        <f ca="1">CONCATENATE(WORLDCUP!AA116,"-",WORLDCUP!AF116,"·",IF(WORLDCUP!AC116&gt;WORLDCUP!AD116,1,IF(WORLDCUP!AC116&lt;WORLDCUP!AD116,2,IF(AND(WORLDCUP!AC116=WORLDCUP!AD116,WORLDCUP!AC116&lt;&gt;"",WORLDCUP!AD116&lt;&gt;""),"X",0))),"|",WORLDCUP!AC116,"-",WORLDCUP!AD116)</f>
        <v>Portugal-Ghana·1|2-0</v>
      </c>
      <c r="D179" s="719"/>
      <c r="E179" s="357"/>
      <c r="F179" s="357"/>
      <c r="G179" s="357"/>
      <c r="H179" s="357"/>
      <c r="I179" s="339"/>
      <c r="J179" s="357"/>
      <c r="K179" s="357"/>
      <c r="L179" s="357"/>
      <c r="M179" s="373"/>
      <c r="N179" s="364"/>
    </row>
    <row r="180" spans="1:14" ht="15" customHeight="1">
      <c r="A180" s="340"/>
      <c r="B180" s="340"/>
      <c r="C180" s="337"/>
      <c r="D180" s="719"/>
      <c r="E180" s="357"/>
      <c r="F180" s="357"/>
      <c r="G180" s="357"/>
      <c r="H180" s="357"/>
      <c r="I180" s="339"/>
      <c r="J180" s="357"/>
      <c r="K180" s="357"/>
      <c r="L180" s="357"/>
      <c r="M180" s="373"/>
      <c r="N180" s="364"/>
    </row>
    <row r="181" spans="1:14" ht="19.05" customHeight="1">
      <c r="A181" s="340"/>
      <c r="B181" s="345" t="str">
        <f>Idiomas!D129</f>
        <v>CLASIFICADOS PARA OCTAVOS</v>
      </c>
      <c r="C181" s="337"/>
      <c r="D181" s="719"/>
      <c r="E181" s="357"/>
      <c r="F181" s="357"/>
      <c r="G181" s="357"/>
      <c r="H181" s="357"/>
      <c r="I181" s="339"/>
      <c r="J181" s="357"/>
      <c r="K181" s="357"/>
      <c r="L181" s="357"/>
      <c r="M181" s="373"/>
      <c r="N181" s="364"/>
    </row>
    <row r="182" spans="1:14" ht="15" customHeight="1">
      <c r="A182" s="717" t="s">
        <v>89</v>
      </c>
      <c r="B182" s="347" t="str">
        <f>Idiomas!$D$189</f>
        <v>Octavofinalista</v>
      </c>
      <c r="C182" s="336" t="str">
        <f ca="1">WORLDCUP!AA120</f>
        <v>Suiza</v>
      </c>
      <c r="D182" s="719"/>
      <c r="E182" s="357"/>
      <c r="F182" s="357"/>
      <c r="G182" s="357"/>
      <c r="H182" s="357"/>
      <c r="I182" s="339"/>
      <c r="J182" s="357"/>
      <c r="K182" s="357"/>
      <c r="L182" s="357"/>
      <c r="M182" s="373"/>
      <c r="N182" s="364"/>
    </row>
    <row r="183" spans="1:14" ht="15" customHeight="1">
      <c r="A183" s="717"/>
      <c r="B183" s="347" t="str">
        <f>B182</f>
        <v>Octavofinalista</v>
      </c>
      <c r="C183" s="336" t="str">
        <f ca="1">WORLDCUP!AA121</f>
        <v>Ecuador</v>
      </c>
      <c r="D183" s="719"/>
      <c r="E183" s="357"/>
      <c r="F183" s="357"/>
      <c r="G183" s="357"/>
      <c r="H183" s="357"/>
      <c r="I183" s="339"/>
      <c r="J183" s="357"/>
      <c r="K183" s="357"/>
      <c r="L183" s="357"/>
      <c r="M183" s="373"/>
      <c r="N183" s="364"/>
    </row>
    <row r="184" spans="1:14" ht="15" customHeight="1">
      <c r="A184" s="717"/>
      <c r="B184" s="347" t="str">
        <f t="shared" ref="B184:B197" si="2">B183</f>
        <v>Octavofinalista</v>
      </c>
      <c r="C184" s="336" t="str">
        <f ca="1">WORLDCUP!AA122</f>
        <v>Países Bajos</v>
      </c>
      <c r="D184" s="719"/>
      <c r="E184" s="357"/>
      <c r="F184" s="357"/>
      <c r="G184" s="357"/>
      <c r="H184" s="357"/>
      <c r="I184" s="339"/>
      <c r="J184" s="357"/>
      <c r="K184" s="357"/>
      <c r="L184" s="357"/>
      <c r="M184" s="373"/>
      <c r="N184" s="364"/>
    </row>
    <row r="185" spans="1:14" ht="15" customHeight="1">
      <c r="A185" s="717"/>
      <c r="B185" s="347" t="str">
        <f t="shared" si="2"/>
        <v>Octavofinalista</v>
      </c>
      <c r="C185" s="336" t="str">
        <f ca="1">WORLDCUP!AA123</f>
        <v>Costa de Marfil</v>
      </c>
      <c r="D185" s="719"/>
      <c r="E185" s="357"/>
      <c r="F185" s="357"/>
      <c r="G185" s="357"/>
      <c r="H185" s="357"/>
      <c r="I185" s="339"/>
      <c r="J185" s="357"/>
      <c r="K185" s="357"/>
      <c r="L185" s="357"/>
      <c r="M185" s="373"/>
      <c r="N185" s="364"/>
    </row>
    <row r="186" spans="1:14" ht="15" customHeight="1">
      <c r="A186" s="717"/>
      <c r="B186" s="347" t="str">
        <f t="shared" si="2"/>
        <v>Octavofinalista</v>
      </c>
      <c r="C186" s="336" t="str">
        <f ca="1">WORLDCUP!AA124</f>
        <v>Croacia</v>
      </c>
      <c r="D186" s="719"/>
      <c r="E186" s="357"/>
      <c r="F186" s="357"/>
      <c r="G186" s="357"/>
      <c r="H186" s="357"/>
      <c r="I186" s="339"/>
      <c r="J186" s="357"/>
      <c r="K186" s="357"/>
      <c r="L186" s="357"/>
      <c r="M186" s="373"/>
      <c r="N186" s="364"/>
    </row>
    <row r="187" spans="1:14" ht="15" customHeight="1">
      <c r="A187" s="717"/>
      <c r="B187" s="347" t="str">
        <f t="shared" si="2"/>
        <v>Octavofinalista</v>
      </c>
      <c r="C187" s="336" t="str">
        <f ca="1">WORLDCUP!AA125</f>
        <v>Turquía</v>
      </c>
      <c r="D187" s="719"/>
      <c r="E187" s="357"/>
      <c r="F187" s="357"/>
      <c r="G187" s="357"/>
      <c r="H187" s="357"/>
      <c r="I187" s="339"/>
      <c r="J187" s="357"/>
      <c r="K187" s="357"/>
      <c r="L187" s="357"/>
      <c r="M187" s="373"/>
      <c r="N187" s="364"/>
    </row>
    <row r="188" spans="1:14" ht="15" customHeight="1">
      <c r="A188" s="717"/>
      <c r="B188" s="347" t="str">
        <f t="shared" si="2"/>
        <v>Octavofinalista</v>
      </c>
      <c r="C188" s="336" t="str">
        <f ca="1">WORLDCUP!AA126</f>
        <v>Argentina</v>
      </c>
      <c r="D188" s="719"/>
      <c r="E188" s="357"/>
      <c r="F188" s="357"/>
      <c r="G188" s="357"/>
      <c r="H188" s="357"/>
      <c r="I188" s="339"/>
      <c r="J188" s="357"/>
      <c r="K188" s="357"/>
      <c r="L188" s="357"/>
      <c r="M188" s="373"/>
      <c r="N188" s="364"/>
    </row>
    <row r="189" spans="1:14" ht="15" customHeight="1">
      <c r="A189" s="717"/>
      <c r="B189" s="347" t="str">
        <f t="shared" si="2"/>
        <v>Octavofinalista</v>
      </c>
      <c r="C189" s="336" t="str">
        <f ca="1">WORLDCUP!AA127</f>
        <v>Austria</v>
      </c>
      <c r="D189" s="719"/>
      <c r="E189" s="357"/>
      <c r="F189" s="357"/>
      <c r="G189" s="357"/>
      <c r="H189" s="357"/>
      <c r="I189" s="339"/>
      <c r="J189" s="357"/>
      <c r="K189" s="357"/>
      <c r="L189" s="357"/>
      <c r="M189" s="373"/>
      <c r="N189" s="364"/>
    </row>
    <row r="190" spans="1:14" ht="15" customHeight="1">
      <c r="A190" s="717"/>
      <c r="B190" s="347" t="str">
        <f t="shared" si="2"/>
        <v>Octavofinalista</v>
      </c>
      <c r="C190" s="336" t="str">
        <f ca="1">WORLDCUP!AF120</f>
        <v>Japón</v>
      </c>
      <c r="D190" s="719"/>
      <c r="E190" s="357"/>
      <c r="F190" s="357"/>
      <c r="G190" s="357"/>
      <c r="H190" s="357"/>
      <c r="I190" s="339"/>
      <c r="J190" s="357"/>
      <c r="K190" s="357"/>
      <c r="L190" s="357"/>
      <c r="M190" s="373"/>
      <c r="N190" s="364"/>
    </row>
    <row r="191" spans="1:14" ht="15" customHeight="1">
      <c r="A191" s="717"/>
      <c r="B191" s="347" t="str">
        <f t="shared" si="2"/>
        <v>Octavofinalista</v>
      </c>
      <c r="C191" s="336" t="str">
        <f ca="1">WORLDCUP!AF121</f>
        <v>Francia</v>
      </c>
      <c r="D191" s="719"/>
      <c r="E191" s="357"/>
      <c r="F191" s="357"/>
      <c r="G191" s="357"/>
      <c r="H191" s="357"/>
      <c r="I191" s="339"/>
      <c r="J191" s="357"/>
      <c r="K191" s="357"/>
      <c r="L191" s="357"/>
      <c r="M191" s="373"/>
      <c r="N191" s="364"/>
    </row>
    <row r="192" spans="1:14" ht="15" customHeight="1">
      <c r="A192" s="717"/>
      <c r="B192" s="347" t="str">
        <f t="shared" si="2"/>
        <v>Octavofinalista</v>
      </c>
      <c r="C192" s="336" t="str">
        <f ca="1">WORLDCUP!AF122</f>
        <v>Alemania</v>
      </c>
      <c r="D192" s="719"/>
      <c r="E192" s="357"/>
      <c r="F192" s="357"/>
      <c r="G192" s="357"/>
      <c r="H192" s="357"/>
      <c r="I192" s="339"/>
      <c r="J192" s="357"/>
      <c r="K192" s="357"/>
      <c r="L192" s="357"/>
      <c r="M192" s="373"/>
      <c r="N192" s="364"/>
    </row>
    <row r="193" spans="1:14" ht="15" customHeight="1">
      <c r="A193" s="717"/>
      <c r="B193" s="347" t="str">
        <f t="shared" si="2"/>
        <v>Octavofinalista</v>
      </c>
      <c r="C193" s="336" t="str">
        <f ca="1">WORLDCUP!AF123</f>
        <v>Inglaterra</v>
      </c>
      <c r="D193" s="719"/>
      <c r="E193" s="357"/>
      <c r="F193" s="357"/>
      <c r="G193" s="357"/>
      <c r="H193" s="357"/>
      <c r="I193" s="339"/>
      <c r="J193" s="357"/>
      <c r="K193" s="357"/>
      <c r="L193" s="357"/>
      <c r="M193" s="373"/>
      <c r="N193" s="364"/>
    </row>
    <row r="194" spans="1:14" ht="15" customHeight="1">
      <c r="A194" s="717"/>
      <c r="B194" s="347" t="str">
        <f t="shared" si="2"/>
        <v>Octavofinalista</v>
      </c>
      <c r="C194" s="336" t="str">
        <f ca="1">WORLDCUP!AF124</f>
        <v>España</v>
      </c>
      <c r="D194" s="719"/>
      <c r="E194" s="357"/>
      <c r="F194" s="357"/>
      <c r="G194" s="357"/>
      <c r="H194" s="357"/>
      <c r="I194" s="339"/>
      <c r="J194" s="357"/>
      <c r="K194" s="357"/>
      <c r="L194" s="357"/>
      <c r="M194" s="373"/>
      <c r="N194" s="364"/>
    </row>
    <row r="195" spans="1:14" ht="15" customHeight="1">
      <c r="A195" s="717"/>
      <c r="B195" s="347" t="str">
        <f t="shared" si="2"/>
        <v>Octavofinalista</v>
      </c>
      <c r="C195" s="336" t="str">
        <f ca="1">WORLDCUP!AF125</f>
        <v>Egipto</v>
      </c>
      <c r="D195" s="719"/>
      <c r="E195" s="357"/>
      <c r="F195" s="357"/>
      <c r="G195" s="357"/>
      <c r="H195" s="357"/>
      <c r="I195" s="339"/>
      <c r="J195" s="357"/>
      <c r="K195" s="357"/>
      <c r="L195" s="357"/>
      <c r="M195" s="373"/>
      <c r="N195" s="364"/>
    </row>
    <row r="196" spans="1:14" ht="15" customHeight="1">
      <c r="A196" s="717"/>
      <c r="B196" s="347" t="str">
        <f t="shared" si="2"/>
        <v>Octavofinalista</v>
      </c>
      <c r="C196" s="336" t="str">
        <f ca="1">WORLDCUP!AF126</f>
        <v>Paraguay</v>
      </c>
      <c r="D196" s="719"/>
      <c r="E196" s="357"/>
      <c r="F196" s="357"/>
      <c r="G196" s="357"/>
      <c r="H196" s="357"/>
      <c r="I196" s="339"/>
      <c r="J196" s="357"/>
      <c r="K196" s="357"/>
      <c r="L196" s="357"/>
      <c r="M196" s="373"/>
      <c r="N196" s="364"/>
    </row>
    <row r="197" spans="1:14" ht="15" customHeight="1">
      <c r="A197" s="717"/>
      <c r="B197" s="347" t="str">
        <f t="shared" si="2"/>
        <v>Octavofinalista</v>
      </c>
      <c r="C197" s="336" t="str">
        <f ca="1">WORLDCUP!AF127</f>
        <v>Portugal</v>
      </c>
      <c r="D197" s="719"/>
      <c r="E197" s="360"/>
      <c r="F197" s="360"/>
      <c r="G197" s="360"/>
      <c r="H197" s="360"/>
      <c r="I197" s="339"/>
      <c r="J197" s="357"/>
      <c r="K197" s="357"/>
      <c r="L197" s="357"/>
      <c r="M197" s="373"/>
      <c r="N197" s="364"/>
    </row>
    <row r="198" spans="1:14">
      <c r="A198" s="340"/>
      <c r="B198" s="340"/>
      <c r="C198" s="337"/>
      <c r="D198" s="357"/>
      <c r="E198" s="357"/>
      <c r="F198" s="357"/>
      <c r="G198" s="357"/>
      <c r="H198" s="357"/>
      <c r="I198" s="374"/>
      <c r="J198" s="357"/>
      <c r="K198" s="357"/>
      <c r="L198" s="357"/>
      <c r="M198" s="373"/>
      <c r="N198" s="364"/>
    </row>
    <row r="199" spans="1:14" ht="19.05" customHeight="1">
      <c r="A199" s="340"/>
      <c r="B199" s="345" t="str">
        <f>Idiomas!D130</f>
        <v>ENFRENTAMIENTOS OCTAVOS</v>
      </c>
      <c r="C199" s="337"/>
      <c r="D199" s="357"/>
      <c r="E199" s="357"/>
      <c r="F199" s="357"/>
      <c r="G199" s="357"/>
      <c r="H199" s="357"/>
      <c r="I199" s="375"/>
      <c r="J199" s="357"/>
      <c r="K199" s="357"/>
      <c r="L199" s="357"/>
      <c r="M199" s="373"/>
      <c r="N199" s="364"/>
    </row>
    <row r="200" spans="1:14" ht="15" customHeight="1">
      <c r="A200" s="717" t="s">
        <v>89</v>
      </c>
      <c r="B200" s="348" t="str">
        <f ca="1">CONCATENATE(WORLDCUP!AA120,"-",WORLDCUP!AF120)</f>
        <v>Suiza-Japón</v>
      </c>
      <c r="C200" s="338" t="str">
        <f ca="1">CONCATENATE(WORLDCUP!AA120,"-",WORLDCUP!AF120,"·",IF(WORLDCUP!AC120&gt;WORLDCUP!AD120,1,IF(WORLDCUP!AC120&lt;WORLDCUP!AD120,2,IF(AND(WORLDCUP!AC120=WORLDCUP!AD120,WORLDCUP!AC120&lt;&gt;"",WORLDCUP!AD120&lt;&gt;""),"X",0))),"|",WORLDCUP!AC120,"-",WORLDCUP!AD120)</f>
        <v>Suiza-Japón·2|0-2</v>
      </c>
      <c r="D200" s="718" t="s">
        <v>89</v>
      </c>
      <c r="E200" s="713" t="str">
        <f>Idiomas!D116</f>
        <v>·Para los octavos de final copiar de la C200 a la C217 y pega valores en la plantilla de administrador.</v>
      </c>
      <c r="F200" s="713"/>
      <c r="G200" s="713"/>
      <c r="H200" s="713"/>
      <c r="I200" s="339"/>
      <c r="J200" s="357"/>
      <c r="K200" s="357"/>
      <c r="L200" s="357"/>
      <c r="M200" s="373"/>
      <c r="N200" s="364"/>
    </row>
    <row r="201" spans="1:14" ht="15" customHeight="1">
      <c r="A201" s="717"/>
      <c r="B201" s="348" t="str">
        <f ca="1">CONCATENATE(WORLDCUP!AA121,"-",WORLDCUP!AF121)</f>
        <v>Ecuador-Francia</v>
      </c>
      <c r="C201" s="338" t="str">
        <f ca="1">CONCATENATE(WORLDCUP!AA121,"-",WORLDCUP!AF121,"·",IF(WORLDCUP!AC121&gt;WORLDCUP!AD121,1,IF(WORLDCUP!AC121&lt;WORLDCUP!AD121,2,IF(AND(WORLDCUP!AC121=WORLDCUP!AD121,WORLDCUP!AC121&lt;&gt;"",WORLDCUP!AD121&lt;&gt;""),"X",0))),"|",WORLDCUP!AC121,"-",WORLDCUP!AD121)</f>
        <v>Ecuador-Francia·X|1-1</v>
      </c>
      <c r="D201" s="718"/>
      <c r="E201" s="713"/>
      <c r="F201" s="713"/>
      <c r="G201" s="713"/>
      <c r="H201" s="713"/>
      <c r="I201" s="339"/>
      <c r="J201" s="357"/>
      <c r="K201" s="357"/>
      <c r="L201" s="357"/>
      <c r="M201" s="373"/>
      <c r="N201" s="364"/>
    </row>
    <row r="202" spans="1:14" ht="15" customHeight="1">
      <c r="A202" s="717"/>
      <c r="B202" s="348" t="str">
        <f ca="1">CONCATENATE(WORLDCUP!AA122,"-",WORLDCUP!AF122)</f>
        <v>Países Bajos-Alemania</v>
      </c>
      <c r="C202" s="338" t="str">
        <f ca="1">CONCATENATE(WORLDCUP!AA122,"-",WORLDCUP!AF122,"·",IF(WORLDCUP!AC122&gt;WORLDCUP!AD122,1,IF(WORLDCUP!AC122&lt;WORLDCUP!AD122,2,IF(AND(WORLDCUP!AC122=WORLDCUP!AD122,WORLDCUP!AC122&lt;&gt;"",WORLDCUP!AD122&lt;&gt;""),"X",0))),"|",WORLDCUP!AC122,"-",WORLDCUP!AD122)</f>
        <v>Países Bajos-Alemania·2|0-1</v>
      </c>
      <c r="D202" s="718"/>
      <c r="E202" s="713"/>
      <c r="F202" s="713"/>
      <c r="G202" s="713"/>
      <c r="H202" s="713"/>
      <c r="I202" s="339"/>
      <c r="J202" s="357"/>
      <c r="K202" s="357"/>
      <c r="L202" s="357"/>
      <c r="M202" s="373"/>
      <c r="N202" s="364"/>
    </row>
    <row r="203" spans="1:14" ht="15" customHeight="1">
      <c r="A203" s="717"/>
      <c r="B203" s="348" t="str">
        <f ca="1">CONCATENATE(WORLDCUP!AA123,"-",WORLDCUP!AF123)</f>
        <v>Costa de Marfil-Inglaterra</v>
      </c>
      <c r="C203" s="338" t="str">
        <f ca="1">CONCATENATE(WORLDCUP!AA123,"-",WORLDCUP!AF123,"·",IF(WORLDCUP!AC123&gt;WORLDCUP!AD123,1,IF(WORLDCUP!AC123&lt;WORLDCUP!AD123,2,IF(AND(WORLDCUP!AC123=WORLDCUP!AD123,WORLDCUP!AC123&lt;&gt;"",WORLDCUP!AD123&lt;&gt;""),"X",0))),"|",WORLDCUP!AC123,"-",WORLDCUP!AD123)</f>
        <v>Costa de Marfil-Inglaterra·2|0-1</v>
      </c>
      <c r="D203" s="718"/>
      <c r="E203" s="713"/>
      <c r="F203" s="713"/>
      <c r="G203" s="713"/>
      <c r="H203" s="713"/>
      <c r="I203" s="339"/>
      <c r="J203" s="357"/>
      <c r="K203" s="357"/>
      <c r="L203" s="357"/>
      <c r="M203" s="373"/>
      <c r="N203" s="364"/>
    </row>
    <row r="204" spans="1:14" ht="15" customHeight="1">
      <c r="A204" s="717"/>
      <c r="B204" s="348" t="str">
        <f ca="1">CONCATENATE(WORLDCUP!AA124,"-",WORLDCUP!AF124)</f>
        <v>Croacia-España</v>
      </c>
      <c r="C204" s="338" t="str">
        <f ca="1">CONCATENATE(WORLDCUP!AA124,"-",WORLDCUP!AF124,"·",IF(WORLDCUP!AC124&gt;WORLDCUP!AD124,1,IF(WORLDCUP!AC124&lt;WORLDCUP!AD124,2,IF(AND(WORLDCUP!AC124=WORLDCUP!AD124,WORLDCUP!AC124&lt;&gt;"",WORLDCUP!AD124&lt;&gt;""),"X",0))),"|",WORLDCUP!AC124,"-",WORLDCUP!AD124)</f>
        <v>Croacia-España·2|0-2</v>
      </c>
      <c r="D204" s="718"/>
      <c r="E204" s="339"/>
      <c r="F204" s="339"/>
      <c r="G204" s="339"/>
      <c r="H204" s="339"/>
      <c r="I204" s="339"/>
      <c r="J204" s="357"/>
      <c r="K204" s="357"/>
      <c r="L204" s="357"/>
      <c r="M204" s="373"/>
      <c r="N204" s="364"/>
    </row>
    <row r="205" spans="1:14" ht="15" customHeight="1">
      <c r="A205" s="717"/>
      <c r="B205" s="348" t="str">
        <f ca="1">CONCATENATE(WORLDCUP!AA125,"-",WORLDCUP!AF125)</f>
        <v>Turquía-Egipto</v>
      </c>
      <c r="C205" s="338" t="str">
        <f ca="1">CONCATENATE(WORLDCUP!AA125,"-",WORLDCUP!AF125,"·",IF(WORLDCUP!AC125&gt;WORLDCUP!AD125,1,IF(WORLDCUP!AC125&lt;WORLDCUP!AD125,2,IF(AND(WORLDCUP!AC125=WORLDCUP!AD125,WORLDCUP!AC125&lt;&gt;"",WORLDCUP!AD125&lt;&gt;""),"X",0))),"|",WORLDCUP!AC125,"-",WORLDCUP!AD125)</f>
        <v>Turquía-Egipto·1|1-0</v>
      </c>
      <c r="D205" s="718"/>
      <c r="E205" s="339"/>
      <c r="F205" s="339"/>
      <c r="G205" s="339"/>
      <c r="H205" s="339"/>
      <c r="I205" s="339"/>
      <c r="J205" s="357"/>
      <c r="K205" s="357"/>
      <c r="L205" s="357"/>
      <c r="M205" s="373"/>
      <c r="N205" s="364"/>
    </row>
    <row r="206" spans="1:14" ht="15" customHeight="1">
      <c r="A206" s="717"/>
      <c r="B206" s="348" t="str">
        <f ca="1">CONCATENATE(WORLDCUP!AA126,"-",WORLDCUP!AF126)</f>
        <v>Argentina-Paraguay</v>
      </c>
      <c r="C206" s="338" t="str">
        <f ca="1">CONCATENATE(WORLDCUP!AA126,"-",WORLDCUP!AF126,"·",IF(WORLDCUP!AC126&gt;WORLDCUP!AD126,1,IF(WORLDCUP!AC126&lt;WORLDCUP!AD126,2,IF(AND(WORLDCUP!AC126=WORLDCUP!AD126,WORLDCUP!AC126&lt;&gt;"",WORLDCUP!AD126&lt;&gt;""),"X",0))),"|",WORLDCUP!AC126,"-",WORLDCUP!AD126)</f>
        <v>Argentina-Paraguay·1|2-0</v>
      </c>
      <c r="D206" s="718"/>
      <c r="E206" s="339"/>
      <c r="F206" s="339"/>
      <c r="G206" s="339"/>
      <c r="H206" s="339"/>
      <c r="I206" s="339"/>
      <c r="J206" s="357"/>
      <c r="K206" s="357"/>
      <c r="L206" s="357"/>
      <c r="M206" s="373"/>
      <c r="N206" s="364"/>
    </row>
    <row r="207" spans="1:14" ht="15" customHeight="1">
      <c r="A207" s="717"/>
      <c r="B207" s="348" t="str">
        <f ca="1">CONCATENATE(WORLDCUP!AA127,"-",WORLDCUP!AF127)</f>
        <v>Austria-Portugal</v>
      </c>
      <c r="C207" s="338" t="str">
        <f ca="1">CONCATENATE(WORLDCUP!AA127,"-",WORLDCUP!AF127,"·",IF(WORLDCUP!AC127&gt;WORLDCUP!AD127,1,IF(WORLDCUP!AC127&lt;WORLDCUP!AD127,2,IF(AND(WORLDCUP!AC127=WORLDCUP!AD127,WORLDCUP!AC127&lt;&gt;"",WORLDCUP!AD127&lt;&gt;""),"X",0))),"|",WORLDCUP!AC127,"-",WORLDCUP!AD127)</f>
        <v>Austria-Portugal·2|0-2</v>
      </c>
      <c r="D207" s="718"/>
      <c r="E207" s="339"/>
      <c r="F207" s="339"/>
      <c r="G207" s="339"/>
      <c r="H207" s="339"/>
      <c r="I207" s="339"/>
      <c r="J207" s="357"/>
      <c r="K207" s="357"/>
      <c r="L207" s="357"/>
      <c r="M207" s="373"/>
      <c r="N207" s="364"/>
    </row>
    <row r="208" spans="1:14" ht="15" customHeight="1">
      <c r="A208" s="340"/>
      <c r="B208" s="340"/>
      <c r="C208" s="337"/>
      <c r="D208" s="718"/>
      <c r="E208" s="357"/>
      <c r="F208" s="357"/>
      <c r="G208" s="357"/>
      <c r="H208" s="357"/>
      <c r="I208" s="339"/>
      <c r="J208" s="357"/>
      <c r="K208" s="357"/>
      <c r="L208" s="357"/>
      <c r="M208" s="373"/>
      <c r="N208" s="364"/>
    </row>
    <row r="209" spans="1:14" ht="19.05" customHeight="1">
      <c r="A209" s="340"/>
      <c r="B209" s="345" t="str">
        <f>Idiomas!D131</f>
        <v>CLASIFICADOS PARA CUARTOS</v>
      </c>
      <c r="C209" s="337"/>
      <c r="D209" s="718"/>
      <c r="E209" s="357"/>
      <c r="F209" s="357"/>
      <c r="G209" s="357"/>
      <c r="H209" s="357"/>
      <c r="I209" s="339"/>
      <c r="J209" s="357"/>
      <c r="K209" s="357"/>
      <c r="L209" s="357"/>
      <c r="M209" s="373"/>
      <c r="N209" s="364"/>
    </row>
    <row r="210" spans="1:14" ht="15" customHeight="1">
      <c r="A210" s="717" t="s">
        <v>36</v>
      </c>
      <c r="B210" s="347" t="str">
        <f>Idiomas!$D$190</f>
        <v>Cuartofinalista</v>
      </c>
      <c r="C210" s="336" t="str">
        <f ca="1">WORLDCUP!AA131</f>
        <v>Francia</v>
      </c>
      <c r="D210" s="718"/>
      <c r="E210" s="357"/>
      <c r="F210" s="357"/>
      <c r="G210" s="357"/>
      <c r="H210" s="357"/>
      <c r="I210" s="339"/>
      <c r="J210" s="357"/>
      <c r="K210" s="357"/>
      <c r="L210" s="357"/>
      <c r="M210" s="373"/>
      <c r="N210" s="364"/>
    </row>
    <row r="211" spans="1:14" ht="15" customHeight="1">
      <c r="A211" s="717"/>
      <c r="B211" s="347" t="str">
        <f>B210</f>
        <v>Cuartofinalista</v>
      </c>
      <c r="C211" s="336" t="str">
        <f ca="1">WORLDCUP!AA132</f>
        <v>España</v>
      </c>
      <c r="D211" s="718"/>
      <c r="E211" s="357"/>
      <c r="F211" s="357"/>
      <c r="G211" s="357"/>
      <c r="H211" s="357"/>
      <c r="I211" s="339"/>
      <c r="J211" s="357"/>
      <c r="K211" s="357"/>
      <c r="L211" s="357"/>
      <c r="M211" s="373"/>
      <c r="N211" s="364"/>
    </row>
    <row r="212" spans="1:14" ht="15" customHeight="1">
      <c r="A212" s="717"/>
      <c r="B212" s="347" t="str">
        <f t="shared" ref="B212:B217" si="3">B211</f>
        <v>Cuartofinalista</v>
      </c>
      <c r="C212" s="336" t="str">
        <f ca="1">WORLDCUP!AA133</f>
        <v>Alemania</v>
      </c>
      <c r="D212" s="718"/>
      <c r="E212" s="357"/>
      <c r="F212" s="357"/>
      <c r="G212" s="357"/>
      <c r="H212" s="357"/>
      <c r="I212" s="339"/>
      <c r="J212" s="357"/>
      <c r="K212" s="357"/>
      <c r="L212" s="357"/>
      <c r="M212" s="373"/>
      <c r="N212" s="364"/>
    </row>
    <row r="213" spans="1:14" ht="15" customHeight="1">
      <c r="A213" s="717"/>
      <c r="B213" s="347" t="str">
        <f t="shared" si="3"/>
        <v>Cuartofinalista</v>
      </c>
      <c r="C213" s="336" t="str">
        <f ca="1">WORLDCUP!AA134</f>
        <v>Argentina</v>
      </c>
      <c r="D213" s="718"/>
      <c r="E213" s="357"/>
      <c r="F213" s="357"/>
      <c r="G213" s="357"/>
      <c r="H213" s="357"/>
      <c r="I213" s="339"/>
      <c r="J213" s="357"/>
      <c r="K213" s="357"/>
      <c r="L213" s="357"/>
      <c r="M213" s="373"/>
      <c r="N213" s="364"/>
    </row>
    <row r="214" spans="1:14" ht="15" customHeight="1">
      <c r="A214" s="717"/>
      <c r="B214" s="347" t="str">
        <f t="shared" si="3"/>
        <v>Cuartofinalista</v>
      </c>
      <c r="C214" s="336" t="str">
        <f ca="1">WORLDCUP!AF131</f>
        <v>Japón</v>
      </c>
      <c r="D214" s="718"/>
      <c r="E214" s="357"/>
      <c r="F214" s="357"/>
      <c r="G214" s="357"/>
      <c r="H214" s="357"/>
      <c r="I214" s="339"/>
      <c r="J214" s="357"/>
      <c r="K214" s="357"/>
      <c r="L214" s="357"/>
      <c r="M214" s="373"/>
      <c r="N214" s="364"/>
    </row>
    <row r="215" spans="1:14" ht="15" customHeight="1">
      <c r="A215" s="717"/>
      <c r="B215" s="347" t="str">
        <f t="shared" si="3"/>
        <v>Cuartofinalista</v>
      </c>
      <c r="C215" s="336" t="str">
        <f ca="1">WORLDCUP!AF132</f>
        <v>Turquía</v>
      </c>
      <c r="D215" s="718"/>
      <c r="E215" s="357"/>
      <c r="F215" s="357"/>
      <c r="G215" s="357"/>
      <c r="H215" s="357"/>
      <c r="I215" s="339"/>
      <c r="J215" s="357"/>
      <c r="K215" s="357"/>
      <c r="L215" s="357"/>
      <c r="M215" s="373"/>
      <c r="N215" s="364"/>
    </row>
    <row r="216" spans="1:14" ht="15" customHeight="1">
      <c r="A216" s="717"/>
      <c r="B216" s="347" t="str">
        <f t="shared" si="3"/>
        <v>Cuartofinalista</v>
      </c>
      <c r="C216" s="336" t="str">
        <f ca="1">WORLDCUP!AF133</f>
        <v>Inglaterra</v>
      </c>
      <c r="D216" s="718"/>
      <c r="E216" s="357"/>
      <c r="F216" s="357"/>
      <c r="G216" s="357"/>
      <c r="H216" s="357"/>
      <c r="I216" s="339"/>
      <c r="J216" s="357"/>
      <c r="K216" s="357"/>
      <c r="L216" s="357"/>
      <c r="M216" s="373"/>
      <c r="N216" s="364"/>
    </row>
    <row r="217" spans="1:14" ht="15" customHeight="1">
      <c r="A217" s="717"/>
      <c r="B217" s="347" t="str">
        <f t="shared" si="3"/>
        <v>Cuartofinalista</v>
      </c>
      <c r="C217" s="336" t="str">
        <f ca="1">WORLDCUP!AF134</f>
        <v>Portugal</v>
      </c>
      <c r="D217" s="718"/>
      <c r="E217" s="360"/>
      <c r="F217" s="360"/>
      <c r="G217" s="360"/>
      <c r="H217" s="360"/>
      <c r="I217" s="339"/>
      <c r="J217" s="357"/>
      <c r="K217" s="357"/>
      <c r="L217" s="357"/>
      <c r="M217" s="373"/>
      <c r="N217" s="364"/>
    </row>
    <row r="218" spans="1:14">
      <c r="A218" s="340"/>
      <c r="B218" s="340"/>
      <c r="C218" s="337"/>
      <c r="D218" s="357"/>
      <c r="E218" s="357"/>
      <c r="F218" s="357"/>
      <c r="G218" s="357"/>
      <c r="H218" s="357"/>
      <c r="I218" s="374"/>
      <c r="J218" s="357"/>
      <c r="K218" s="357"/>
      <c r="L218" s="357"/>
      <c r="M218" s="373"/>
      <c r="N218" s="364"/>
    </row>
    <row r="219" spans="1:14" ht="18">
      <c r="A219" s="340"/>
      <c r="B219" s="345" t="str">
        <f>Idiomas!D132</f>
        <v>ENFRENTAMIENTOS CUARTOS</v>
      </c>
      <c r="C219" s="337"/>
      <c r="D219" s="357"/>
      <c r="E219" s="357"/>
      <c r="F219" s="357"/>
      <c r="G219" s="357"/>
      <c r="H219" s="357"/>
      <c r="I219" s="375"/>
      <c r="J219" s="357"/>
      <c r="K219" s="357"/>
      <c r="L219" s="357"/>
      <c r="M219" s="373"/>
      <c r="N219" s="364"/>
    </row>
    <row r="220" spans="1:14" ht="15" customHeight="1">
      <c r="A220" s="717" t="s">
        <v>36</v>
      </c>
      <c r="B220" s="347" t="str">
        <f ca="1">CONCATENATE(WORLDCUP!AA131,"-",WORLDCUP!AF131)</f>
        <v>Francia-Japón</v>
      </c>
      <c r="C220" s="336" t="str">
        <f ca="1">CONCATENATE(WORLDCUP!AA131,"-",WORLDCUP!AF131,"·",IF(WORLDCUP!AC131&gt;WORLDCUP!AD131,1,IF(WORLDCUP!AC131&lt;WORLDCUP!AD131,2,IF(AND(WORLDCUP!AC131=WORLDCUP!AD131,WORLDCUP!AC131&lt;&gt;"",WORLDCUP!AD131&lt;&gt;""),"X",0))),"|",WORLDCUP!AC131,"-",WORLDCUP!AD131)</f>
        <v>Francia-Japón·1|4-3</v>
      </c>
      <c r="D220" s="719" t="s">
        <v>36</v>
      </c>
      <c r="E220" s="713" t="str">
        <f>Idiomas!D117</f>
        <v>·Para los cuartos de final copiar de la C220 a la C229 y pega valores en la plantilla de administrador.</v>
      </c>
      <c r="F220" s="713"/>
      <c r="G220" s="713"/>
      <c r="H220" s="713"/>
      <c r="I220" s="339"/>
      <c r="J220" s="357"/>
      <c r="K220" s="357"/>
      <c r="L220" s="357"/>
      <c r="M220" s="373"/>
      <c r="N220" s="364"/>
    </row>
    <row r="221" spans="1:14" ht="15" customHeight="1">
      <c r="A221" s="717"/>
      <c r="B221" s="347" t="str">
        <f ca="1">CONCATENATE(WORLDCUP!AA132,"-",WORLDCUP!AF132)</f>
        <v>España-Turquía</v>
      </c>
      <c r="C221" s="336" t="str">
        <f ca="1">CONCATENATE(WORLDCUP!AA132,"-",WORLDCUP!AF132,"·",IF(WORLDCUP!AC132&gt;WORLDCUP!AD132,1,IF(WORLDCUP!AC132&lt;WORLDCUP!AD132,2,IF(AND(WORLDCUP!AC132=WORLDCUP!AD132,WORLDCUP!AC132&lt;&gt;"",WORLDCUP!AD132&lt;&gt;""),"X",0))),"|",WORLDCUP!AC132,"-",WORLDCUP!AD132)</f>
        <v>España-Turquía·1|3-0</v>
      </c>
      <c r="D221" s="719"/>
      <c r="E221" s="713"/>
      <c r="F221" s="713"/>
      <c r="G221" s="713"/>
      <c r="H221" s="713"/>
      <c r="I221" s="339"/>
      <c r="J221" s="357"/>
      <c r="K221" s="357"/>
      <c r="L221" s="357"/>
      <c r="M221" s="373"/>
      <c r="N221" s="364"/>
    </row>
    <row r="222" spans="1:14" ht="15" customHeight="1">
      <c r="A222" s="717"/>
      <c r="B222" s="347" t="str">
        <f ca="1">CONCATENATE(WORLDCUP!AA133,"-",WORLDCUP!AF133)</f>
        <v>Alemania-Inglaterra</v>
      </c>
      <c r="C222" s="336" t="str">
        <f ca="1">CONCATENATE(WORLDCUP!AA133,"-",WORLDCUP!AF133,"·",IF(WORLDCUP!AC133&gt;WORLDCUP!AD133,1,IF(WORLDCUP!AC133&lt;WORLDCUP!AD133,2,IF(AND(WORLDCUP!AC133=WORLDCUP!AD133,WORLDCUP!AC133&lt;&gt;"",WORLDCUP!AD133&lt;&gt;""),"X",0))),"|",WORLDCUP!AC133,"-",WORLDCUP!AD133)</f>
        <v>Alemania-Inglaterra·1|2-1</v>
      </c>
      <c r="D222" s="719"/>
      <c r="E222" s="713"/>
      <c r="F222" s="713"/>
      <c r="G222" s="713"/>
      <c r="H222" s="713"/>
      <c r="I222" s="339"/>
      <c r="J222" s="357"/>
      <c r="K222" s="357"/>
      <c r="L222" s="357"/>
      <c r="M222" s="373"/>
      <c r="N222" s="364"/>
    </row>
    <row r="223" spans="1:14" ht="15" customHeight="1">
      <c r="A223" s="717"/>
      <c r="B223" s="347" t="str">
        <f ca="1">CONCATENATE(WORLDCUP!AA134,"-",WORLDCUP!AF134)</f>
        <v>Argentina-Portugal</v>
      </c>
      <c r="C223" s="336" t="str">
        <f ca="1">CONCATENATE(WORLDCUP!AA134,"-",WORLDCUP!AF134,"·",IF(WORLDCUP!AC134&gt;WORLDCUP!AD134,1,IF(WORLDCUP!AC134&lt;WORLDCUP!AD134,2,IF(AND(WORLDCUP!AC134=WORLDCUP!AD134,WORLDCUP!AC134&lt;&gt;"",WORLDCUP!AD134&lt;&gt;""),"X",0))),"|",WORLDCUP!AC134,"-",WORLDCUP!AD134)</f>
        <v>Argentina-Portugal·2|1-2</v>
      </c>
      <c r="D223" s="719"/>
      <c r="E223" s="713"/>
      <c r="F223" s="713"/>
      <c r="G223" s="713"/>
      <c r="H223" s="713"/>
      <c r="I223" s="339"/>
      <c r="J223" s="357"/>
      <c r="K223" s="357"/>
      <c r="L223" s="357"/>
      <c r="M223" s="373"/>
      <c r="N223" s="364"/>
    </row>
    <row r="224" spans="1:14">
      <c r="A224" s="340"/>
      <c r="B224" s="340"/>
      <c r="C224" s="337"/>
      <c r="D224" s="719"/>
      <c r="E224" s="339"/>
      <c r="F224" s="339"/>
      <c r="G224" s="339"/>
      <c r="H224" s="339"/>
      <c r="I224" s="339"/>
      <c r="J224" s="357"/>
      <c r="K224" s="357"/>
      <c r="L224" s="357"/>
      <c r="M224" s="373"/>
      <c r="N224" s="364"/>
    </row>
    <row r="225" spans="1:14" ht="18">
      <c r="A225" s="340"/>
      <c r="B225" s="345" t="str">
        <f>Idiomas!D133</f>
        <v>CLASIFICADOS PARA SEMIFINALES</v>
      </c>
      <c r="C225" s="337"/>
      <c r="D225" s="719"/>
      <c r="E225" s="357"/>
      <c r="F225" s="357"/>
      <c r="G225" s="357"/>
      <c r="H225" s="357"/>
      <c r="I225" s="339"/>
      <c r="J225" s="357"/>
      <c r="K225" s="357"/>
      <c r="L225" s="357"/>
      <c r="M225" s="373"/>
      <c r="N225" s="364"/>
    </row>
    <row r="226" spans="1:14" ht="15" customHeight="1">
      <c r="A226" s="717" t="s">
        <v>37</v>
      </c>
      <c r="B226" s="347" t="str">
        <f>Idiomas!$D$191</f>
        <v>Semifinalista</v>
      </c>
      <c r="C226" s="336" t="str">
        <f ca="1">WORLDCUP!AA138</f>
        <v>Francia</v>
      </c>
      <c r="D226" s="719"/>
      <c r="E226" s="357"/>
      <c r="F226" s="357"/>
      <c r="G226" s="357"/>
      <c r="H226" s="357"/>
      <c r="I226" s="339"/>
      <c r="J226" s="357"/>
      <c r="K226" s="357"/>
      <c r="L226" s="357"/>
      <c r="M226" s="373"/>
      <c r="N226" s="364"/>
    </row>
    <row r="227" spans="1:14" ht="15" customHeight="1">
      <c r="A227" s="717"/>
      <c r="B227" s="347" t="str">
        <f>Idiomas!$D$191</f>
        <v>Semifinalista</v>
      </c>
      <c r="C227" s="336" t="str">
        <f ca="1">WORLDCUP!AA139</f>
        <v>Alemania</v>
      </c>
      <c r="D227" s="719"/>
      <c r="E227" s="357"/>
      <c r="F227" s="357"/>
      <c r="G227" s="357"/>
      <c r="H227" s="357"/>
      <c r="I227" s="339"/>
      <c r="J227" s="357"/>
      <c r="K227" s="357"/>
      <c r="L227" s="357"/>
      <c r="M227" s="373"/>
      <c r="N227" s="364"/>
    </row>
    <row r="228" spans="1:14" ht="15" customHeight="1">
      <c r="A228" s="717"/>
      <c r="B228" s="347" t="str">
        <f>Idiomas!$D$191</f>
        <v>Semifinalista</v>
      </c>
      <c r="C228" s="336" t="str">
        <f ca="1">WORLDCUP!AF138</f>
        <v>España</v>
      </c>
      <c r="D228" s="719"/>
      <c r="E228" s="357"/>
      <c r="F228" s="357"/>
      <c r="G228" s="357"/>
      <c r="H228" s="357"/>
      <c r="I228" s="339"/>
      <c r="J228" s="357"/>
      <c r="K228" s="357"/>
      <c r="L228" s="357"/>
      <c r="M228" s="373"/>
      <c r="N228" s="364"/>
    </row>
    <row r="229" spans="1:14" ht="15" customHeight="1">
      <c r="A229" s="717"/>
      <c r="B229" s="347" t="str">
        <f>Idiomas!$D$191</f>
        <v>Semifinalista</v>
      </c>
      <c r="C229" s="336" t="str">
        <f ca="1">WORLDCUP!AF139</f>
        <v>Portugal</v>
      </c>
      <c r="D229" s="719"/>
      <c r="E229" s="360"/>
      <c r="F229" s="360"/>
      <c r="G229" s="360"/>
      <c r="H229" s="360"/>
      <c r="I229" s="339"/>
      <c r="J229" s="357"/>
      <c r="K229" s="357"/>
      <c r="L229" s="357"/>
      <c r="M229" s="373"/>
      <c r="N229" s="364"/>
    </row>
    <row r="230" spans="1:14">
      <c r="A230" s="340"/>
      <c r="B230" s="340"/>
      <c r="C230" s="337"/>
      <c r="D230" s="357"/>
      <c r="E230" s="357"/>
      <c r="F230" s="357"/>
      <c r="G230" s="357"/>
      <c r="H230" s="357"/>
      <c r="I230" s="375"/>
      <c r="J230" s="357"/>
      <c r="K230" s="357"/>
      <c r="L230" s="357"/>
      <c r="M230" s="373"/>
      <c r="N230" s="364"/>
    </row>
    <row r="231" spans="1:14" ht="19.05" customHeight="1">
      <c r="A231" s="340"/>
      <c r="B231" s="345" t="str">
        <f>Idiomas!D134</f>
        <v>ENFRENTAMIENTOS SEMIFINALES</v>
      </c>
      <c r="C231" s="337"/>
      <c r="D231" s="357"/>
      <c r="E231" s="357"/>
      <c r="F231" s="357"/>
      <c r="G231" s="357"/>
      <c r="H231" s="357"/>
      <c r="I231" s="375"/>
      <c r="J231" s="357"/>
      <c r="K231" s="357"/>
      <c r="L231" s="357"/>
      <c r="M231" s="373"/>
      <c r="N231" s="364"/>
    </row>
    <row r="232" spans="1:14" ht="15" customHeight="1">
      <c r="A232" s="715" t="s">
        <v>37</v>
      </c>
      <c r="B232" s="347" t="str">
        <f ca="1">CONCATENATE(WORLDCUP!AA138,"-",WORLDCUP!AF138)</f>
        <v>Francia-España</v>
      </c>
      <c r="C232" s="338" t="str">
        <f ca="1">CONCATENATE(WORLDCUP!AA138,"-",WORLDCUP!AF138,"·",IF(WORLDCUP!AC138&gt;WORLDCUP!AD138,1,IF(WORLDCUP!AC138&lt;WORLDCUP!AD138,2,IF(AND(WORLDCUP!AC138=WORLDCUP!AD138,WORLDCUP!AC138&lt;&gt;"",WORLDCUP!AD138&lt;&gt;""),"X",0))),"|",WORLDCUP!AC138,"-",WORLDCUP!AD138)</f>
        <v>Francia-España·X|1-1</v>
      </c>
      <c r="D232" s="718" t="s">
        <v>37</v>
      </c>
      <c r="E232" s="713" t="str">
        <f>Idiomas!D118</f>
        <v>·Para las semifinales copiar de la C232 a la C241 y pega valores en la plantilla de administrador.</v>
      </c>
      <c r="F232" s="713"/>
      <c r="G232" s="713"/>
      <c r="H232" s="713"/>
      <c r="I232" s="339"/>
      <c r="J232" s="357"/>
      <c r="K232" s="357"/>
      <c r="L232" s="357"/>
      <c r="M232" s="373"/>
      <c r="N232" s="364"/>
    </row>
    <row r="233" spans="1:14" ht="15" customHeight="1">
      <c r="A233" s="715"/>
      <c r="B233" s="347" t="str">
        <f ca="1">CONCATENATE(WORLDCUP!AA139,"-",WORLDCUP!AF139)</f>
        <v>Alemania-Portugal</v>
      </c>
      <c r="C233" s="338" t="str">
        <f ca="1">CONCATENATE(WORLDCUP!AA139,"-",WORLDCUP!AF139,"·",IF(WORLDCUP!AC139&gt;WORLDCUP!AD139,1,IF(WORLDCUP!AC139&lt;WORLDCUP!AD139,2,IF(AND(WORLDCUP!AC139=WORLDCUP!AD139,WORLDCUP!AC139&lt;&gt;"",WORLDCUP!AD139&lt;&gt;""),"X",0))),"|",WORLDCUP!AC139,"-",WORLDCUP!AD139)</f>
        <v>Alemania-Portugal·2|1-2</v>
      </c>
      <c r="D233" s="718"/>
      <c r="E233" s="713"/>
      <c r="F233" s="713"/>
      <c r="G233" s="713"/>
      <c r="H233" s="713"/>
      <c r="I233" s="339"/>
      <c r="J233" s="357"/>
      <c r="K233" s="357"/>
      <c r="L233" s="357"/>
      <c r="M233" s="373"/>
      <c r="N233" s="364"/>
    </row>
    <row r="234" spans="1:14" ht="15" customHeight="1">
      <c r="A234" s="340"/>
      <c r="B234" s="340"/>
      <c r="C234" s="337"/>
      <c r="D234" s="718"/>
      <c r="E234" s="713"/>
      <c r="F234" s="713"/>
      <c r="G234" s="713"/>
      <c r="H234" s="713"/>
      <c r="I234" s="339"/>
      <c r="J234" s="357"/>
      <c r="K234" s="357"/>
      <c r="L234" s="357"/>
      <c r="M234" s="373"/>
      <c r="N234" s="364"/>
    </row>
    <row r="235" spans="1:14" ht="18">
      <c r="A235" s="340"/>
      <c r="B235" s="345" t="str">
        <f>Idiomas!D135</f>
        <v>CLASIFICADOS PARA EL 3º y 4º PUESTO</v>
      </c>
      <c r="C235" s="337"/>
      <c r="D235" s="718"/>
      <c r="E235" s="713"/>
      <c r="F235" s="713"/>
      <c r="G235" s="713"/>
      <c r="H235" s="713"/>
      <c r="I235" s="339"/>
      <c r="J235" s="357"/>
      <c r="K235" s="357"/>
      <c r="L235" s="357"/>
      <c r="M235" s="373"/>
      <c r="N235" s="364"/>
    </row>
    <row r="236" spans="1:14" s="1" customFormat="1" ht="15" customHeight="1">
      <c r="A236" s="715" t="s">
        <v>503</v>
      </c>
      <c r="B236" s="347" t="str">
        <f>Idiomas!D192</f>
        <v>3º y 4º puesto</v>
      </c>
      <c r="C236" s="336" t="str">
        <f ca="1">WORLDCUP!AA143</f>
        <v>Francia</v>
      </c>
      <c r="D236" s="718"/>
      <c r="E236" s="361"/>
      <c r="F236" s="361"/>
      <c r="G236" s="361"/>
      <c r="H236" s="361"/>
      <c r="I236" s="339"/>
      <c r="J236" s="357"/>
      <c r="K236" s="357"/>
      <c r="L236" s="357"/>
      <c r="M236" s="373"/>
      <c r="N236" s="364"/>
    </row>
    <row r="237" spans="1:14" s="1" customFormat="1" ht="15" customHeight="1">
      <c r="A237" s="715"/>
      <c r="B237" s="347" t="str">
        <f>Idiomas!D192</f>
        <v>3º y 4º puesto</v>
      </c>
      <c r="C237" s="336" t="str">
        <f ca="1">WORLDCUP!AF143</f>
        <v>Alemania</v>
      </c>
      <c r="D237" s="718"/>
      <c r="E237" s="361"/>
      <c r="F237" s="361"/>
      <c r="G237" s="361"/>
      <c r="H237" s="361"/>
      <c r="I237" s="339"/>
      <c r="J237" s="357"/>
      <c r="K237" s="357"/>
      <c r="L237" s="357"/>
      <c r="M237" s="373"/>
      <c r="N237" s="364"/>
    </row>
    <row r="238" spans="1:14" s="1" customFormat="1" ht="15" customHeight="1">
      <c r="A238" s="340"/>
      <c r="B238" s="340"/>
      <c r="C238" s="337"/>
      <c r="D238" s="718"/>
      <c r="E238" s="361"/>
      <c r="F238" s="361"/>
      <c r="G238" s="361"/>
      <c r="H238" s="361"/>
      <c r="I238" s="339"/>
      <c r="J238" s="357"/>
      <c r="K238" s="357"/>
      <c r="L238" s="357"/>
      <c r="M238" s="373"/>
      <c r="N238" s="364"/>
    </row>
    <row r="239" spans="1:14" s="1" customFormat="1" ht="19.05" customHeight="1">
      <c r="A239" s="340"/>
      <c r="B239" s="345" t="str">
        <f>Idiomas!D136</f>
        <v>CLASIFICADOS PARA LA FINAL</v>
      </c>
      <c r="C239" s="337"/>
      <c r="D239" s="718"/>
      <c r="E239" s="361"/>
      <c r="F239" s="361"/>
      <c r="G239" s="361"/>
      <c r="H239" s="361"/>
      <c r="I239" s="339"/>
      <c r="J239" s="357"/>
      <c r="K239" s="357"/>
      <c r="L239" s="357"/>
      <c r="M239" s="373"/>
      <c r="N239" s="364"/>
    </row>
    <row r="240" spans="1:14" s="1" customFormat="1" ht="15" customHeight="1">
      <c r="A240" s="715" t="s">
        <v>4</v>
      </c>
      <c r="B240" s="347" t="str">
        <f>Idiomas!D193</f>
        <v>Finalista</v>
      </c>
      <c r="C240" s="336" t="str">
        <f ca="1">WORLDCUP!AA147</f>
        <v>España</v>
      </c>
      <c r="D240" s="718"/>
      <c r="E240" s="357"/>
      <c r="F240" s="357"/>
      <c r="G240" s="357"/>
      <c r="H240" s="357"/>
      <c r="I240" s="339"/>
      <c r="J240" s="357"/>
      <c r="K240" s="357"/>
      <c r="L240" s="357"/>
      <c r="M240" s="373"/>
      <c r="N240" s="364"/>
    </row>
    <row r="241" spans="1:14" s="1" customFormat="1" ht="15" customHeight="1">
      <c r="A241" s="715"/>
      <c r="B241" s="347" t="str">
        <f>B240</f>
        <v>Finalista</v>
      </c>
      <c r="C241" s="336" t="str">
        <f ca="1">WORLDCUP!AF147</f>
        <v>Portugal</v>
      </c>
      <c r="D241" s="718"/>
      <c r="E241" s="362"/>
      <c r="F241" s="362"/>
      <c r="G241" s="362"/>
      <c r="H241" s="376"/>
      <c r="I241" s="377"/>
      <c r="J241" s="357"/>
      <c r="K241" s="357"/>
      <c r="L241" s="357"/>
      <c r="M241" s="373"/>
      <c r="N241" s="364"/>
    </row>
    <row r="242" spans="1:14" s="1" customFormat="1">
      <c r="A242" s="340"/>
      <c r="B242" s="340"/>
      <c r="C242" s="337"/>
      <c r="D242" s="357"/>
      <c r="E242" s="357"/>
      <c r="F242" s="357"/>
      <c r="G242" s="357"/>
      <c r="H242" s="357"/>
      <c r="I242" s="374"/>
      <c r="J242" s="357"/>
      <c r="K242" s="357"/>
      <c r="L242" s="357"/>
      <c r="M242" s="373"/>
      <c r="N242" s="364"/>
    </row>
    <row r="243" spans="1:14" s="1" customFormat="1" ht="18">
      <c r="A243" s="340"/>
      <c r="B243" s="345" t="str">
        <f>Idiomas!D137</f>
        <v>3º-4º puesto</v>
      </c>
      <c r="C243" s="337"/>
      <c r="D243" s="357"/>
      <c r="E243" s="357"/>
      <c r="F243" s="357"/>
      <c r="G243" s="357"/>
      <c r="H243" s="357"/>
      <c r="I243" s="375"/>
      <c r="J243" s="357"/>
      <c r="K243" s="357"/>
      <c r="L243" s="357"/>
      <c r="M243" s="373"/>
      <c r="N243" s="364"/>
    </row>
    <row r="244" spans="1:14" s="1" customFormat="1" ht="15" customHeight="1">
      <c r="A244" s="349" t="s">
        <v>503</v>
      </c>
      <c r="B244" s="347" t="str">
        <f ca="1">CONCATENATE(WORLDCUP!AA143,"-",WORLDCUP!AF143)</f>
        <v>Francia-Alemania</v>
      </c>
      <c r="C244" s="336" t="str">
        <f ca="1">CONCATENATE(WORLDCUP!AA143,"-",WORLDCUP!AF143,"·",IF(WORLDCUP!AC143&gt;WORLDCUP!AD143,1,IF(WORLDCUP!AC143&lt;WORLDCUP!AD143,2,IF(AND(WORLDCUP!AC143=WORLDCUP!AD143,WORLDCUP!AC143&lt;&gt;"",WORLDCUP!AD143&lt;&gt;""),"X",0))),"|",WORLDCUP!AC143,"-",WORLDCUP!AD143)</f>
        <v>Francia-Alemania·1|2-0</v>
      </c>
      <c r="D244" s="716" t="s">
        <v>583</v>
      </c>
      <c r="E244" s="714" t="str">
        <f>Idiomas!D119</f>
        <v>·Para el 3º y 4º puesto y la Final copiar de la C244 a la C252 y pega valores en la plantilla de administrador.</v>
      </c>
      <c r="F244" s="714"/>
      <c r="G244" s="714"/>
      <c r="H244" s="714"/>
      <c r="I244" s="368"/>
      <c r="J244" s="357"/>
      <c r="K244" s="357"/>
      <c r="L244" s="357"/>
      <c r="M244" s="373"/>
      <c r="N244" s="364"/>
    </row>
    <row r="245" spans="1:14" s="1" customFormat="1" ht="15" customHeight="1">
      <c r="A245" s="340"/>
      <c r="B245" s="340"/>
      <c r="C245" s="337"/>
      <c r="D245" s="716"/>
      <c r="E245" s="714"/>
      <c r="F245" s="714"/>
      <c r="G245" s="714"/>
      <c r="H245" s="714"/>
      <c r="I245" s="368"/>
      <c r="J245" s="357"/>
      <c r="K245" s="357"/>
      <c r="L245" s="357"/>
      <c r="M245" s="373"/>
      <c r="N245" s="364"/>
    </row>
    <row r="246" spans="1:14" s="1" customFormat="1" ht="21" customHeight="1">
      <c r="A246" s="340"/>
      <c r="B246" s="345" t="str">
        <f>Idiomas!D138</f>
        <v>ENFRENTAMIENTO FINAL</v>
      </c>
      <c r="C246" s="337"/>
      <c r="D246" s="716"/>
      <c r="E246" s="714"/>
      <c r="F246" s="714"/>
      <c r="G246" s="714"/>
      <c r="H246" s="714"/>
      <c r="I246" s="368"/>
      <c r="J246" s="357"/>
      <c r="K246" s="357"/>
      <c r="L246" s="357"/>
      <c r="M246" s="373"/>
      <c r="N246" s="364"/>
    </row>
    <row r="247" spans="1:14" s="1" customFormat="1" ht="15" customHeight="1">
      <c r="A247" s="349" t="s">
        <v>4</v>
      </c>
      <c r="B247" s="347" t="str">
        <f ca="1">CONCATENATE(WORLDCUP!AA147,"-",WORLDCUP!AF147)</f>
        <v>España-Portugal</v>
      </c>
      <c r="C247" s="338" t="str">
        <f ca="1">CONCATENATE(WORLDCUP!AA147,"-",WORLDCUP!AF147,"·",IF(WORLDCUP!AC147&gt;WORLDCUP!AD147,1,IF(WORLDCUP!AC147&lt;WORLDCUP!AD147,2,IF(AND(WORLDCUP!AC147=WORLDCUP!AD147,WORLDCUP!AC147&lt;&gt;"",WORLDCUP!AD147&lt;&gt;""),"X",0))),"|",WORLDCUP!AC147,"-",WORLDCUP!AD147)</f>
        <v>España-Portugal·1|3-2</v>
      </c>
      <c r="D247" s="716"/>
      <c r="E247" s="363"/>
      <c r="F247" s="363"/>
      <c r="G247" s="363"/>
      <c r="H247" s="363"/>
      <c r="I247" s="368"/>
      <c r="J247" s="357"/>
      <c r="K247" s="357"/>
      <c r="L247" s="357"/>
      <c r="M247" s="373"/>
      <c r="N247" s="364"/>
    </row>
    <row r="248" spans="1:14" s="1" customFormat="1" ht="15" customHeight="1">
      <c r="A248" s="340"/>
      <c r="B248" s="340"/>
      <c r="C248" s="337"/>
      <c r="D248" s="716"/>
      <c r="E248" s="361"/>
      <c r="F248" s="361"/>
      <c r="G248" s="361"/>
      <c r="H248" s="361"/>
      <c r="I248" s="368"/>
      <c r="J248" s="357"/>
      <c r="K248" s="357"/>
      <c r="L248" s="357"/>
      <c r="M248" s="373"/>
      <c r="N248" s="364"/>
    </row>
    <row r="249" spans="1:14" s="1" customFormat="1" ht="19.05" customHeight="1">
      <c r="A249" s="340"/>
      <c r="B249" s="345" t="str">
        <f>Idiomas!D139</f>
        <v>CUADRO DE HONOR</v>
      </c>
      <c r="C249" s="337"/>
      <c r="D249" s="716"/>
      <c r="E249" s="361"/>
      <c r="F249" s="361"/>
      <c r="G249" s="361"/>
      <c r="H249" s="361"/>
      <c r="I249" s="368"/>
      <c r="J249" s="357"/>
      <c r="K249" s="357"/>
      <c r="L249" s="357"/>
      <c r="M249" s="373"/>
      <c r="N249" s="364"/>
    </row>
    <row r="250" spans="1:14" s="1" customFormat="1" ht="15" customHeight="1">
      <c r="A250" s="350"/>
      <c r="B250" s="347" t="str">
        <f>WORLDCUP!W150</f>
        <v>🥇Campeón</v>
      </c>
      <c r="C250" s="336" t="str">
        <f ca="1">WORLDCUP!AA150</f>
        <v>España</v>
      </c>
      <c r="D250" s="716"/>
      <c r="E250" s="361"/>
      <c r="F250" s="361"/>
      <c r="G250" s="361"/>
      <c r="H250" s="361"/>
      <c r="I250" s="368"/>
      <c r="J250" s="357"/>
      <c r="K250" s="357"/>
      <c r="L250" s="357"/>
      <c r="M250" s="373"/>
      <c r="N250" s="364"/>
    </row>
    <row r="251" spans="1:14" s="1" customFormat="1" ht="15" customHeight="1">
      <c r="A251" s="351"/>
      <c r="B251" s="347" t="str">
        <f>WORLDCUP!W151</f>
        <v>🥈Subcampeón</v>
      </c>
      <c r="C251" s="336" t="str">
        <f ca="1">WORLDCUP!AA151</f>
        <v>Portugal</v>
      </c>
      <c r="D251" s="716"/>
      <c r="E251" s="361"/>
      <c r="F251" s="361"/>
      <c r="G251" s="361"/>
      <c r="H251" s="361"/>
      <c r="I251" s="377"/>
      <c r="J251" s="370"/>
      <c r="K251" s="359"/>
      <c r="L251" s="359"/>
      <c r="M251" s="373"/>
      <c r="N251" s="364"/>
    </row>
    <row r="252" spans="1:14" s="1" customFormat="1" ht="15" customHeight="1">
      <c r="A252" s="351"/>
      <c r="B252" s="347" t="str">
        <f>WORLDCUP!W152</f>
        <v>🥉3º puesto</v>
      </c>
      <c r="C252" s="336" t="str">
        <f ca="1">WORLDCUP!AA152</f>
        <v>Francia</v>
      </c>
      <c r="D252" s="716"/>
      <c r="E252" s="357"/>
      <c r="F252" s="357"/>
      <c r="G252" s="357"/>
      <c r="H252" s="357"/>
      <c r="I252" s="339"/>
      <c r="J252" s="357"/>
      <c r="K252" s="357"/>
      <c r="L252" s="357"/>
      <c r="M252" s="378"/>
      <c r="N252" s="364"/>
    </row>
    <row r="253" spans="1:14" s="1" customFormat="1" ht="15" customHeight="1">
      <c r="A253" s="352"/>
      <c r="B253" s="347" t="str">
        <f>WORLDCUP!W154</f>
        <v>Bota de Oro  (máximo goleador)</v>
      </c>
      <c r="C253" s="336" t="str">
        <f>WORLDCUP!AA154</f>
        <v>Kylian Mbappé</v>
      </c>
      <c r="D253" s="358"/>
      <c r="E253" s="712" t="str">
        <f>Idiomas!D120</f>
        <v>·Al inicio de la competición si se hace por fases copiar de la C253 a la C258 y pegarla al final del jugador en el archivo de administrador.</v>
      </c>
      <c r="F253" s="712"/>
      <c r="G253" s="712"/>
      <c r="H253" s="712"/>
      <c r="I253" s="379"/>
      <c r="J253" s="379"/>
      <c r="K253" s="379"/>
      <c r="L253" s="380"/>
      <c r="M253" s="380"/>
      <c r="N253" s="364"/>
    </row>
    <row r="254" spans="1:14" s="1" customFormat="1" ht="15" customHeight="1">
      <c r="A254" s="353"/>
      <c r="B254" s="347" t="str">
        <f>WORLDCUP!W155</f>
        <v>Bota de Plata (2º máximo goleador)</v>
      </c>
      <c r="C254" s="336" t="str">
        <f>WORLDCUP!AA155</f>
        <v>Ferran Torres</v>
      </c>
      <c r="D254" s="358"/>
      <c r="E254" s="712"/>
      <c r="F254" s="712"/>
      <c r="G254" s="712"/>
      <c r="H254" s="712"/>
      <c r="I254" s="379"/>
      <c r="J254" s="379"/>
      <c r="K254" s="379"/>
      <c r="L254" s="380"/>
      <c r="M254" s="380"/>
      <c r="N254" s="364"/>
    </row>
    <row r="255" spans="1:14" s="1" customFormat="1" ht="15" customHeight="1">
      <c r="A255" s="353"/>
      <c r="B255" s="347" t="str">
        <f>WORLDCUP!W156</f>
        <v>Bota de Bronce (3º máximo goleador)</v>
      </c>
      <c r="C255" s="336" t="str">
        <f>WORLDCUP!AA156</f>
        <v>Julián Álvarez</v>
      </c>
      <c r="D255" s="358"/>
      <c r="E255" s="712"/>
      <c r="F255" s="712"/>
      <c r="G255" s="712"/>
      <c r="H255" s="712"/>
      <c r="I255" s="379"/>
      <c r="J255" s="379"/>
      <c r="K255" s="379"/>
      <c r="L255" s="380"/>
      <c r="M255" s="380"/>
      <c r="N255" s="364"/>
    </row>
    <row r="256" spans="1:14" s="1" customFormat="1" ht="15" customHeight="1">
      <c r="A256" s="350"/>
      <c r="B256" s="347" t="str">
        <f>WORLDCUP!W158</f>
        <v>Balón de Oro  (mejor jugador)</v>
      </c>
      <c r="C256" s="336" t="str">
        <f>WORLDCUP!AA158</f>
        <v>Kylian Mbappé</v>
      </c>
      <c r="D256" s="358"/>
      <c r="E256" s="712"/>
      <c r="F256" s="712"/>
      <c r="G256" s="712"/>
      <c r="H256" s="712"/>
      <c r="I256" s="379"/>
      <c r="J256" s="379"/>
      <c r="K256" s="379"/>
      <c r="L256" s="380"/>
      <c r="M256" s="380"/>
      <c r="N256" s="364"/>
    </row>
    <row r="257" spans="1:16" ht="15" customHeight="1">
      <c r="A257" s="351"/>
      <c r="B257" s="347" t="str">
        <f>WORLDCUP!W159</f>
        <v>Balón de Plata (2º mejor jugador)</v>
      </c>
      <c r="C257" s="336" t="str">
        <f>WORLDCUP!AA159</f>
        <v>Vitinha</v>
      </c>
      <c r="D257" s="358"/>
      <c r="E257" s="358"/>
      <c r="F257" s="379"/>
      <c r="G257" s="379"/>
      <c r="H257" s="379"/>
      <c r="I257" s="379"/>
      <c r="J257" s="379"/>
      <c r="K257" s="379"/>
      <c r="L257" s="380"/>
      <c r="M257" s="380"/>
      <c r="N257" s="364"/>
      <c r="O257" s="1"/>
      <c r="P257" s="1"/>
    </row>
    <row r="258" spans="1:16" ht="15" customHeight="1">
      <c r="A258" s="351"/>
      <c r="B258" s="625" t="str">
        <f>WORLDCUP!W160</f>
        <v>Balón de Bronce (3º mejor jugador)</v>
      </c>
      <c r="C258" s="626" t="str">
        <f>WORLDCUP!AA160</f>
        <v>Julián Álvarez</v>
      </c>
      <c r="D258" s="358"/>
      <c r="E258" s="358"/>
      <c r="F258" s="379"/>
      <c r="G258" s="379"/>
      <c r="H258" s="379"/>
      <c r="I258" s="379"/>
      <c r="J258" s="379"/>
      <c r="K258" s="379"/>
      <c r="L258" s="380"/>
      <c r="M258" s="380"/>
      <c r="N258" s="364"/>
      <c r="O258" s="1"/>
      <c r="P258" s="1"/>
    </row>
    <row r="259" spans="1:16">
      <c r="B259" s="645"/>
      <c r="C259" s="627"/>
      <c r="O259" s="1"/>
      <c r="P259" s="1"/>
    </row>
    <row r="260" spans="1:16" ht="15.6">
      <c r="A260" s="351"/>
      <c r="B260" s="639" t="s">
        <v>1520</v>
      </c>
      <c r="C260" s="641" t="str">
        <f>WORLDCUP!AA162</f>
        <v>Pedri González</v>
      </c>
      <c r="O260" s="1"/>
      <c r="P260" s="1"/>
    </row>
    <row r="261" spans="1:16" ht="15.6">
      <c r="A261" s="351"/>
      <c r="B261" s="643" t="s">
        <v>1516</v>
      </c>
      <c r="C261" s="641" t="str">
        <f>WORLDCUP!AA163</f>
        <v>David Raya</v>
      </c>
      <c r="O261" s="1"/>
      <c r="P261" s="1"/>
    </row>
    <row r="262" spans="1:16" ht="15.6">
      <c r="A262" s="351"/>
      <c r="B262" s="644" t="s">
        <v>1517</v>
      </c>
      <c r="C262" s="641" t="str">
        <f>WORLDCUP!AA164</f>
        <v>Arda Guler</v>
      </c>
      <c r="O262" s="1"/>
      <c r="P262" s="1"/>
    </row>
    <row r="263" spans="1:16" ht="15.6">
      <c r="A263" s="351"/>
      <c r="B263" s="639" t="s">
        <v>1518</v>
      </c>
      <c r="C263" s="641" t="str">
        <f>WORLDCUP!AA166</f>
        <v>Turquía</v>
      </c>
      <c r="O263" s="1"/>
      <c r="P263" s="1"/>
    </row>
    <row r="264" spans="1:16" ht="15.6">
      <c r="A264" s="638"/>
      <c r="B264" s="644" t="s">
        <v>1519</v>
      </c>
      <c r="C264" s="642" t="str">
        <f>WORLDCUP!AA167</f>
        <v>Brasil</v>
      </c>
      <c r="O264" s="1"/>
      <c r="P264" s="1"/>
    </row>
    <row r="265" spans="1:16">
      <c r="B265" s="640"/>
    </row>
    <row r="267" spans="1:16">
      <c r="E267" s="636"/>
    </row>
    <row r="269" spans="1:16">
      <c r="C269" s="637"/>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7"/>
      <c r="O2" s="398"/>
      <c r="P2" s="144"/>
      <c r="Q2" s="149"/>
      <c r="R2" s="149"/>
      <c r="S2" s="399"/>
      <c r="T2" s="149"/>
      <c r="U2" s="144"/>
      <c r="V2" s="144"/>
      <c r="W2" s="144"/>
      <c r="X2" s="175"/>
      <c r="Y2" s="397"/>
      <c r="Z2" s="397"/>
      <c r="AA2" s="149"/>
      <c r="AB2" s="149"/>
      <c r="AC2" s="149"/>
      <c r="AD2" s="175"/>
      <c r="AE2" s="149"/>
      <c r="AF2" s="149"/>
      <c r="AG2" s="149"/>
      <c r="AH2" s="148"/>
      <c r="AI2" s="400"/>
      <c r="AJ2" s="400"/>
      <c r="AK2" s="400"/>
      <c r="AL2" s="401"/>
      <c r="AM2" s="400"/>
      <c r="AN2" s="400"/>
      <c r="AO2" s="400"/>
      <c r="AP2" s="177"/>
      <c r="AQ2" s="400"/>
      <c r="AR2" s="400"/>
      <c r="AS2" s="400"/>
      <c r="AT2" s="177"/>
      <c r="AU2" s="400"/>
      <c r="AV2" s="400"/>
      <c r="AW2" s="400"/>
      <c r="AX2" s="149"/>
      <c r="AY2" s="149"/>
      <c r="AZ2" s="149"/>
      <c r="BA2" s="149"/>
      <c r="BB2" s="149"/>
      <c r="BC2" s="149"/>
      <c r="BD2" s="149"/>
      <c r="BE2" s="149"/>
    </row>
    <row r="3" spans="1:67" ht="15" thickBot="1">
      <c r="A3" s="177">
        <v>1</v>
      </c>
      <c r="B3" s="402" t="s">
        <v>0</v>
      </c>
      <c r="C3" s="403" t="str">
        <f ca="1">+MID(INDEX(WORLDCUP!$AA$4:$AA$147,MATCH(A3,WORLDCUP!$AH$4:$AH$147,0)),1,3)</f>
        <v>Méx</v>
      </c>
      <c r="D3" s="404">
        <f>IF(ISBLANK(INDEX(WORLDCUP!$AC$4:$AC$147,MATCH(A3,WORLDCUP!$AH$4:$AH$147,0))),"",INDEX(WORLDCUP!$AC$4:$AC$147,MATCH(A3,WORLDCUP!$AH$4:$AH$147,0)))</f>
        <v>2</v>
      </c>
      <c r="E3" s="404">
        <f>IF(ISBLANK(INDEX(WORLDCUP!$AD$4:$AD$147,MATCH(A3,WORLDCUP!$AH$4:$AH$147,0))),"",INDEX(WORLDCUP!$AD$4:$AD$147,MATCH(A3,WORLDCUP!$AH$4:$AH$147,0)))</f>
        <v>1</v>
      </c>
      <c r="F3" s="405" t="str">
        <f ca="1">+MID(INDEX(WORLDCUP!$AF$4:$AF$147,MATCH(A3,WORLDCUP!$AH$4:$AH$147,0)),1,3)</f>
        <v>Sud</v>
      </c>
      <c r="G3" s="406"/>
      <c r="H3" s="407" t="str">
        <f>MID(WORLDCUP!AL5,1,3)</f>
        <v>Sel</v>
      </c>
      <c r="I3" s="408" t="s">
        <v>34</v>
      </c>
      <c r="J3" s="408" t="str">
        <f>WORLDCUP!AT5</f>
        <v>DG</v>
      </c>
      <c r="K3" s="409" t="str">
        <f>WORLDCUP!AR5&amp;"-"&amp;WORLDCUP!AS5</f>
        <v>GF-GC</v>
      </c>
      <c r="L3" s="177"/>
      <c r="M3" s="177">
        <v>16</v>
      </c>
      <c r="N3" s="410" t="s">
        <v>6</v>
      </c>
      <c r="O3" s="403" t="str">
        <f ca="1">+MID(INDEX(WORLDCUP!$AA$4:$AA$147,MATCH(M3,WORLDCUP!$AH$4:$AH$147,0)),1,3)</f>
        <v>Bél</v>
      </c>
      <c r="P3" s="404">
        <f>IF(ISBLANK(INDEX(WORLDCUP!$AC$4:$AC$147,MATCH(M3,WORLDCUP!$AH$4:$AH$147,0))),"",INDEX(WORLDCUP!$AC$4:$AC$147,MATCH(M3,WORLDCUP!$AH$4:$AH$147,0)))</f>
        <v>1</v>
      </c>
      <c r="Q3" s="404">
        <f>IF(ISBLANK(INDEX(WORLDCUP!$AD$4:$AD$147,MATCH(M3,WORLDCUP!$AH$4:$AH$147,0))),"",INDEX(WORLDCUP!$AD$4:$AD$147,MATCH(M3,WORLDCUP!$AH$4:$AH$147,0)))</f>
        <v>1</v>
      </c>
      <c r="R3" s="405" t="str">
        <f ca="1">+MID(INDEX(WORLDCUP!$AF$4:$AF$147,MATCH(M3,WORLDCUP!$AH$4:$AH$147,0)),1,3)</f>
        <v>Egi</v>
      </c>
      <c r="S3" s="406"/>
      <c r="T3" s="407" t="str">
        <f>+H43</f>
        <v>Sel</v>
      </c>
      <c r="U3" s="408" t="str">
        <f>+I43</f>
        <v>Pts</v>
      </c>
      <c r="V3" s="408" t="str">
        <f>+J43</f>
        <v>DG</v>
      </c>
      <c r="W3" s="409" t="str">
        <f>+K43</f>
        <v>GF-GC</v>
      </c>
      <c r="X3" s="177"/>
      <c r="Y3" s="177">
        <v>74</v>
      </c>
      <c r="Z3" s="411" t="s">
        <v>673</v>
      </c>
      <c r="AA3" s="412" t="str">
        <f ca="1">+MID(INDEX(WORLDCUP!$AA$101:$AA$147,MATCH(Y3,WORLDCUP!$Z$101:$Z$147,0)),1,3)</f>
        <v>Ecu</v>
      </c>
      <c r="AB3" s="413">
        <f>+IF(ISBLANK(INDEX(WORLDCUP!$AC$101:$AC$147,MATCH(Y3,WORLDCUP!$Z$101:$Z$147,0))),"",INDEX(WORLDCUP!$AC$101:$AC$147,MATCH(Y3,WORLDCUP!$Z$101:$Z$147,0)))</f>
        <v>2</v>
      </c>
      <c r="AC3" s="414" t="str">
        <f>+IF(ISBLANK(INDEX(WORLDCUP!$AB$101:$AB$147,MATCH(Y3,WORLDCUP!$Z$101:$Z$147,0))),"","( "&amp;INDEX(WORLDCUP!$AB$101:$AB$147,MATCH(Y3,WORLDCUP!$Z$101:$Z$147,0))&amp;" )")</f>
        <v/>
      </c>
      <c r="AD3" s="175"/>
      <c r="AE3" s="415"/>
      <c r="AF3" s="415"/>
      <c r="AG3" s="415"/>
      <c r="AH3" s="177"/>
      <c r="AI3" s="416"/>
      <c r="AJ3" s="416"/>
      <c r="AK3" s="416"/>
      <c r="AL3" s="401"/>
      <c r="AM3" s="417"/>
      <c r="AN3" s="417"/>
      <c r="AO3" s="417"/>
      <c r="AP3" s="177"/>
      <c r="AQ3" s="418"/>
      <c r="AR3" s="418"/>
      <c r="AS3" s="418"/>
      <c r="AT3" s="177"/>
      <c r="AU3" s="419"/>
      <c r="AV3" s="419"/>
      <c r="AW3" s="419"/>
      <c r="AX3" s="177"/>
      <c r="AY3" s="149"/>
      <c r="AZ3" s="149"/>
      <c r="BA3" s="149"/>
      <c r="BB3" s="149"/>
      <c r="BC3" s="149"/>
      <c r="BD3" s="149"/>
      <c r="BE3" s="149"/>
      <c r="BG3" s="420"/>
      <c r="BH3" s="421" t="s">
        <v>6</v>
      </c>
      <c r="BI3" s="422" t="s">
        <v>493</v>
      </c>
      <c r="BJ3" s="423" t="s">
        <v>89</v>
      </c>
      <c r="BK3" s="424" t="s">
        <v>36</v>
      </c>
      <c r="BL3" s="425" t="s">
        <v>37</v>
      </c>
      <c r="BM3" s="426" t="s">
        <v>1354</v>
      </c>
      <c r="BN3" s="427" t="s">
        <v>1355</v>
      </c>
      <c r="BO3" s="428" t="s">
        <v>1356</v>
      </c>
    </row>
    <row r="4" spans="1:67" ht="15" thickBot="1">
      <c r="A4" s="177">
        <v>2</v>
      </c>
      <c r="B4" s="429"/>
      <c r="C4" s="430" t="str">
        <f ca="1">+MID(INDEX(WORLDCUP!$AA$4:$AA$147,MATCH(A4,WORLDCUP!$AH$4:$AH$147,0)),1,3)</f>
        <v>Cor</v>
      </c>
      <c r="D4" s="431">
        <f>IF(ISBLANK(INDEX(WORLDCUP!$AC$4:$AC$147,MATCH(A4,WORLDCUP!$AH$4:$AH$147,0))),"",INDEX(WORLDCUP!$AC$4:$AC$147,MATCH(A4,WORLDCUP!$AH$4:$AH$147,0)))</f>
        <v>1</v>
      </c>
      <c r="E4" s="431">
        <f>IF(ISBLANK(INDEX(WORLDCUP!$AD$4:$AD$147,MATCH(A4,WORLDCUP!$AH$4:$AH$147,0))),"",INDEX(WORLDCUP!$AD$4:$AD$147,MATCH(A4,WORLDCUP!$AH$4:$AH$147,0)))</f>
        <v>0</v>
      </c>
      <c r="F4" s="432" t="str">
        <f ca="1">+MID(INDEX(WORLDCUP!$AF$4:$AF$147,MATCH(A4,WORLDCUP!$AH$4:$AH$147,0)),1,3)</f>
        <v>Rep</v>
      </c>
      <c r="G4" s="433">
        <v>1</v>
      </c>
      <c r="H4" s="434" t="str">
        <f ca="1">+MID(INDEX(WORLDCUP!$AL$6:$AL$97,MATCH(L4,WORLDCUP!$AI$6:$AI$97,0)),1,3)</f>
        <v>Méx</v>
      </c>
      <c r="I4" s="435">
        <f ca="1">+INDEX(WORLDCUP!$AM$6:$AM$97,MATCH(L4,WORLDCUP!$AI$6:$AI$97,0))</f>
        <v>7</v>
      </c>
      <c r="J4" s="436">
        <f ca="1">+INDEX(WORLDCUP!$AT$6:$AT$97,MATCH(L4,WORLDCUP!$AI$6:$AI$97,0))</f>
        <v>3</v>
      </c>
      <c r="K4" s="437" t="str">
        <f ca="1">+INDEX(WORLDCUP!$AR$6:$AR$97,MATCH(L4,WORLDCUP!$AI$6:$AI$97,0))&amp;"-"&amp;INDEX(WORLDCUP!$AS$6:$AS$97,MATCH(L4,WORLDCUP!$AI$6:$AI$97,0))</f>
        <v>5-2</v>
      </c>
      <c r="L4" s="177" t="s">
        <v>657</v>
      </c>
      <c r="M4" s="177">
        <v>15</v>
      </c>
      <c r="N4" s="438"/>
      <c r="O4" s="430" t="str">
        <f ca="1">+MID(INDEX(WORLDCUP!$AA$4:$AA$147,MATCH(M4,WORLDCUP!$AH$4:$AH$147,0)),1,3)</f>
        <v>Irá</v>
      </c>
      <c r="P4" s="431">
        <f>IF(ISBLANK(INDEX(WORLDCUP!$AC$4:$AC$147,MATCH(M4,WORLDCUP!$AH$4:$AH$147,0))),"",INDEX(WORLDCUP!$AC$4:$AC$147,MATCH(M4,WORLDCUP!$AH$4:$AH$147,0)))</f>
        <v>2</v>
      </c>
      <c r="Q4" s="431">
        <f>IF(ISBLANK(INDEX(WORLDCUP!$AD$4:$AD$147,MATCH(M4,WORLDCUP!$AH$4:$AH$147,0))),"",INDEX(WORLDCUP!$AD$4:$AD$147,MATCH(M4,WORLDCUP!$AH$4:$AH$147,0)))</f>
        <v>0</v>
      </c>
      <c r="R4" s="432" t="str">
        <f ca="1">+MID(INDEX(WORLDCUP!$AF$4:$AF$147,MATCH(M4,WORLDCUP!$AH$4:$AH$147,0)),1,3)</f>
        <v>Nue</v>
      </c>
      <c r="S4" s="433">
        <v>1</v>
      </c>
      <c r="T4" s="434" t="str">
        <f ca="1">+MID(INDEX(WORLDCUP!$AL$6:$AL$97,MATCH(X4,WORLDCUP!$AI$6:$AI$97,0)),1,3)</f>
        <v>Egi</v>
      </c>
      <c r="U4" s="435">
        <f ca="1">+INDEX(WORLDCUP!$AM$6:$AM$97,MATCH(X4,WORLDCUP!$AI$6:$AI$97,0))</f>
        <v>7</v>
      </c>
      <c r="V4" s="436">
        <f ca="1">+INDEX(WORLDCUP!$AT$6:$AT$97,MATCH(X4,WORLDCUP!$AI$6:$AI$97,0))</f>
        <v>4</v>
      </c>
      <c r="W4" s="437" t="str">
        <f ca="1">+INDEX(WORLDCUP!$AR$6:$AR$97,MATCH(X4,WORLDCUP!$AI$6:$AI$97,0))&amp;"-"&amp;INDEX(WORLDCUP!$AS$6:$AS$97,MATCH(X4,WORLDCUP!$AI$6:$AI$97,0))</f>
        <v>6-2</v>
      </c>
      <c r="X4" s="177" t="s">
        <v>679</v>
      </c>
      <c r="Y4" s="177">
        <v>74</v>
      </c>
      <c r="Z4" s="411" t="s">
        <v>734</v>
      </c>
      <c r="AA4" s="412" t="str">
        <f ca="1">+MID(INDEX(WORLDCUP!$AF$101:$AF$147,MATCH(Y4,WORLDCUP!$Z$101:$Z$147,0)),1,IF(WORLDCUP!$H$113&lt;144,6,3))</f>
        <v>Rep</v>
      </c>
      <c r="AB4" s="439">
        <f>+IF(ISBLANK(INDEX(WORLDCUP!$AD$101:$AD$147,MATCH(Y4,WORLDCUP!$Z$101:$Z$147,0))),"",INDEX(WORLDCUP!$AD$101:$AD$147,MATCH(Y4,WORLDCUP!$Z$101:$Z$147,0)))</f>
        <v>0</v>
      </c>
      <c r="AC4" s="440" t="str">
        <f>+IF(ISBLANK(INDEX(WORLDCUP!$AE$101:$AE$147,MATCH(Y4,WORLDCUP!$Z$101:$Z$147,0))),"","( "&amp;INDEX(WORLDCUP!$AE$101:$AE$147,MATCH(Y4,WORLDCUP!$Z$101:$Z$147,0))&amp;" )")</f>
        <v/>
      </c>
      <c r="AD4" s="441">
        <v>89</v>
      </c>
      <c r="AE4" s="442" t="str">
        <f ca="1">+MID(INDEX(WORLDCUP!$AA$101:$AA$147,MATCH(AD4,WORLDCUP!$Z$101:$Z$147,0)),1,3)</f>
        <v>Ecu</v>
      </c>
      <c r="AF4" s="443">
        <f>+IF(ISBLANK(INDEX(WORLDCUP!$AC$101:$AC$147,MATCH(AD4,WORLDCUP!$Z$101:$Z$147,0))),"",INDEX(WORLDCUP!$AC$101:$AC$147,MATCH(AD4,WORLDCUP!$Z$101:$Z$147,0)))</f>
        <v>1</v>
      </c>
      <c r="AG4" s="444" t="str">
        <f>+IF(ISBLANK(INDEX(WORLDCUP!$AB$101:$AB$147,MATCH(AD4,WORLDCUP!$Z$101:$Z$147,0))),"","( "&amp;INDEX(WORLDCUP!$AB$101:$AB$147,MATCH(AD4,WORLDCUP!$Z$101:$Z$147,0))&amp;" )")</f>
        <v>( 2 )</v>
      </c>
      <c r="AH4" s="177"/>
      <c r="AI4" s="445"/>
      <c r="AJ4" s="445"/>
      <c r="AK4" s="445"/>
      <c r="AL4" s="401"/>
      <c r="AM4" s="417"/>
      <c r="AN4" s="417"/>
      <c r="AO4" s="417"/>
      <c r="AP4" s="177"/>
      <c r="AQ4" s="446"/>
      <c r="AR4" s="446"/>
      <c r="AS4" s="446"/>
      <c r="AT4" s="177"/>
      <c r="AU4" s="419"/>
      <c r="AV4" s="419"/>
      <c r="AW4" s="419"/>
      <c r="AX4" s="177"/>
      <c r="AY4" s="447"/>
      <c r="AZ4" s="149"/>
      <c r="BA4" s="149"/>
      <c r="BB4" s="149"/>
      <c r="BC4" s="149"/>
      <c r="BD4" s="149"/>
      <c r="BE4" s="149"/>
      <c r="BG4" s="448" t="str">
        <f ca="1">Horarios!Q3</f>
        <v>Alemania</v>
      </c>
      <c r="BH4" s="449">
        <f ca="1">1-SUM(BI4:BO4)</f>
        <v>0</v>
      </c>
      <c r="BI4" s="449">
        <f ca="1">COUNTIF(Pool!$C$130:$C$161,Fixture!BG4)-BJ4-BK4-BL4-BM4-BN4-BO4</f>
        <v>0</v>
      </c>
      <c r="BJ4" s="450">
        <f ca="1">COUNTIF(Pool!$C$182:$C$197,Fixture!BG4)-BK4-BL4-BM4-BN4-BO4</f>
        <v>0</v>
      </c>
      <c r="BK4" s="451">
        <f ca="1">COUNTIF(Pool!$C$210:$C$217,Fixture!BG4)-BL4-BM4-BN4-BO4</f>
        <v>0</v>
      </c>
      <c r="BL4" s="451">
        <f ca="1">COUNTIF(Pool!$C$226:$C$229,Fixture!BG4)-BM4-BN4-BO4</f>
        <v>1</v>
      </c>
      <c r="BM4" s="449">
        <f ca="1">COUNTIF(Pool!$C$252,Fixture!BG4)</f>
        <v>0</v>
      </c>
      <c r="BN4" s="449">
        <f ca="1">COUNTIF(Pool!$C$251,Fixture!BG4)</f>
        <v>0</v>
      </c>
      <c r="BO4" s="452">
        <f ca="1">COUNTIF(Pool!$C$250,Fixture!BG4)</f>
        <v>0</v>
      </c>
    </row>
    <row r="5" spans="1:67">
      <c r="A5" s="177">
        <v>25</v>
      </c>
      <c r="B5" s="429"/>
      <c r="C5" s="430" t="str">
        <f ca="1">+MID(INDEX(WORLDCUP!$AA$4:$AA$147,MATCH(A5,WORLDCUP!$AH$4:$AH$147,0)),1,3)</f>
        <v>Rep</v>
      </c>
      <c r="D5" s="431">
        <f>IF(ISBLANK(INDEX(WORLDCUP!$AC$4:$AC$147,MATCH(A5,WORLDCUP!$AH$4:$AH$147,0))),"",INDEX(WORLDCUP!$AC$4:$AC$147,MATCH(A5,WORLDCUP!$AH$4:$AH$147,0)))</f>
        <v>2</v>
      </c>
      <c r="E5" s="431">
        <f>IF(ISBLANK(INDEX(WORLDCUP!$AD$4:$AD$147,MATCH(A5,WORLDCUP!$AH$4:$AH$147,0))),"",INDEX(WORLDCUP!$AD$4:$AD$147,MATCH(A5,WORLDCUP!$AH$4:$AH$147,0)))</f>
        <v>0</v>
      </c>
      <c r="F5" s="432" t="str">
        <f ca="1">+MID(INDEX(WORLDCUP!$AF$4:$AF$147,MATCH(A5,WORLDCUP!$AH$4:$AH$147,0)),1,3)</f>
        <v>Sud</v>
      </c>
      <c r="G5" s="453">
        <v>2</v>
      </c>
      <c r="H5" s="454" t="str">
        <f ca="1">+MID(INDEX(WORLDCUP!$AL$6:$AL$97,MATCH(L5,WORLDCUP!$AI$6:$AI$97,0)),1,3)</f>
        <v>Cor</v>
      </c>
      <c r="I5" s="35">
        <f ca="1">+INDEX(WORLDCUP!$AM$6:$AM$97,MATCH(L5,WORLDCUP!$AI$6:$AI$97,0))</f>
        <v>7</v>
      </c>
      <c r="J5" s="36">
        <f ca="1">+INDEX(WORLDCUP!$AT$6:$AT$97,MATCH(L5,WORLDCUP!$AI$6:$AI$97,0))</f>
        <v>2</v>
      </c>
      <c r="K5" s="40" t="str">
        <f ca="1">+INDEX(WORLDCUP!$AR$6:$AR$97,MATCH(L5,WORLDCUP!$AI$6:$AI$97,0))&amp;"-"&amp;INDEX(WORLDCUP!$AS$6:$AS$97,MATCH(L5,WORLDCUP!$AI$6:$AI$97,0))</f>
        <v>3-1</v>
      </c>
      <c r="L5" s="177" t="s">
        <v>658</v>
      </c>
      <c r="M5" s="177">
        <v>39</v>
      </c>
      <c r="N5" s="438"/>
      <c r="O5" s="430" t="str">
        <f ca="1">+MID(INDEX(WORLDCUP!$AA$4:$AA$147,MATCH(M5,WORLDCUP!$AH$4:$AH$147,0)),1,3)</f>
        <v>Bél</v>
      </c>
      <c r="P5" s="431">
        <f>IF(ISBLANK(INDEX(WORLDCUP!$AC$4:$AC$147,MATCH(M5,WORLDCUP!$AH$4:$AH$147,0))),"",INDEX(WORLDCUP!$AC$4:$AC$147,MATCH(M5,WORLDCUP!$AH$4:$AH$147,0)))</f>
        <v>2</v>
      </c>
      <c r="Q5" s="431">
        <f>IF(ISBLANK(INDEX(WORLDCUP!$AD$4:$AD$147,MATCH(M5,WORLDCUP!$AH$4:$AH$147,0))),"",INDEX(WORLDCUP!$AD$4:$AD$147,MATCH(M5,WORLDCUP!$AH$4:$AH$147,0)))</f>
        <v>2</v>
      </c>
      <c r="R5" s="432" t="str">
        <f ca="1">+MID(INDEX(WORLDCUP!$AF$4:$AF$147,MATCH(M5,WORLDCUP!$AH$4:$AH$147,0)),1,3)</f>
        <v>Irá</v>
      </c>
      <c r="S5" s="453">
        <v>2</v>
      </c>
      <c r="T5" s="454" t="str">
        <f ca="1">+MID(INDEX(WORLDCUP!$AL$6:$AL$97,MATCH(X5,WORLDCUP!$AI$6:$AI$97,0)),1,3)</f>
        <v>Bél</v>
      </c>
      <c r="U5" s="35">
        <f ca="1">+INDEX(WORLDCUP!$AM$6:$AM$97,MATCH(X5,WORLDCUP!$AI$6:$AI$97,0))</f>
        <v>5</v>
      </c>
      <c r="V5" s="36">
        <f ca="1">+INDEX(WORLDCUP!$AT$6:$AT$97,MATCH(X5,WORLDCUP!$AI$6:$AI$97,0))</f>
        <v>4</v>
      </c>
      <c r="W5" s="40" t="str">
        <f ca="1">+INDEX(WORLDCUP!$AR$6:$AR$97,MATCH(X5,WORLDCUP!$AI$6:$AI$97,0))&amp;"-"&amp;INDEX(WORLDCUP!$AS$6:$AS$97,MATCH(X5,WORLDCUP!$AI$6:$AI$97,0))</f>
        <v>7-3</v>
      </c>
      <c r="X5" s="177" t="s">
        <v>680</v>
      </c>
      <c r="Y5" s="177"/>
      <c r="Z5" s="411"/>
      <c r="AA5" s="455"/>
      <c r="AB5" s="455"/>
      <c r="AC5" s="456"/>
      <c r="AD5" s="177">
        <v>89</v>
      </c>
      <c r="AE5" s="442" t="str">
        <f ca="1">+MID(INDEX(WORLDCUP!$AF$101:$AF$147,MATCH(AD5,WORLDCUP!$Z$101:$Z$147,0)),1,3)</f>
        <v>Fra</v>
      </c>
      <c r="AF5" s="443">
        <f>+IF(ISBLANK(INDEX(WORLDCUP!$AD$101:$AD$147,MATCH(AD5,WORLDCUP!$Z$101:$Z$147,0))),"",INDEX(WORLDCUP!$AD$101:$AD$147,MATCH(AD5,WORLDCUP!$Z$101:$Z$147,0)))</f>
        <v>1</v>
      </c>
      <c r="AG5" s="457" t="str">
        <f>+IF(ISBLANK(INDEX(WORLDCUP!$AE$101:$AE$147,MATCH(AD5,WORLDCUP!$Z$101:$Z$147,0))),"","( "&amp;INDEX(WORLDCUP!$AE$101:$AE$147,MATCH(AD5,WORLDCUP!$Z$101:$Z$147,0))&amp;" )")</f>
        <v>( 3 )</v>
      </c>
      <c r="AH5" s="177"/>
      <c r="AI5" s="445"/>
      <c r="AJ5" s="445"/>
      <c r="AK5" s="445"/>
      <c r="AL5" s="401"/>
      <c r="AM5" s="417"/>
      <c r="AN5" s="417"/>
      <c r="AO5" s="417"/>
      <c r="AP5" s="177"/>
      <c r="AQ5" s="446"/>
      <c r="AR5" s="446"/>
      <c r="AS5" s="446"/>
      <c r="AT5" s="177"/>
      <c r="AU5" s="419"/>
      <c r="AV5" s="419"/>
      <c r="AW5" s="419"/>
      <c r="AX5" s="177"/>
      <c r="AY5" s="149"/>
      <c r="AZ5" s="149"/>
      <c r="BA5" s="149"/>
      <c r="BB5" s="149"/>
      <c r="BC5" s="149"/>
      <c r="BD5" s="149"/>
      <c r="BE5" s="149"/>
      <c r="BG5" s="448" t="str">
        <f ca="1">Horarios!Q4</f>
        <v>Arabia Saudita</v>
      </c>
      <c r="BH5" s="449">
        <f t="shared" ref="BH5:BH51" ca="1" si="0">1-SUM(BI5:BO5)</f>
        <v>0</v>
      </c>
      <c r="BI5" s="449">
        <f ca="1">COUNTIF(Pool!$C$130:$C$161,Fixture!BG5)-BJ5-BK5-BL5-BM5-BN5-BO5</f>
        <v>1</v>
      </c>
      <c r="BJ5" s="450">
        <f ca="1">COUNTIF(Pool!$C$182:$C$197,Fixture!BG5)-BK5-BL5-BM5-BN5-BO5</f>
        <v>0</v>
      </c>
      <c r="BK5" s="451">
        <f ca="1">COUNTIF(Pool!$C$210:$C$217,Fixture!BG5)-BL5-BM5-BN5-BO5</f>
        <v>0</v>
      </c>
      <c r="BL5" s="451">
        <f ca="1">COUNTIF(Pool!$C$226:$C$229,Fixture!BG5)-BM5-BN5-BO5</f>
        <v>0</v>
      </c>
      <c r="BM5" s="449">
        <f ca="1">COUNTIF(Pool!$C$252,Fixture!BG5)</f>
        <v>0</v>
      </c>
      <c r="BN5" s="449">
        <f ca="1">COUNTIF(Pool!$C$251,Fixture!BG5)</f>
        <v>0</v>
      </c>
      <c r="BO5" s="452">
        <f ca="1">COUNTIF(Pool!$C$250,Fixture!BG5)</f>
        <v>0</v>
      </c>
    </row>
    <row r="6" spans="1:67" ht="15" thickBot="1">
      <c r="A6" s="177">
        <v>28</v>
      </c>
      <c r="B6" s="429"/>
      <c r="C6" s="430" t="str">
        <f ca="1">+MID(INDEX(WORLDCUP!$AA$4:$AA$147,MATCH(A6,WORLDCUP!$AH$4:$AH$147,0)),1,3)</f>
        <v>Méx</v>
      </c>
      <c r="D6" s="431">
        <f>IF(ISBLANK(INDEX(WORLDCUP!$AC$4:$AC$147,MATCH(A6,WORLDCUP!$AH$4:$AH$147,0))),"",INDEX(WORLDCUP!$AC$4:$AC$147,MATCH(A6,WORLDCUP!$AH$4:$AH$147,0)))</f>
        <v>1</v>
      </c>
      <c r="E6" s="431">
        <f>IF(ISBLANK(INDEX(WORLDCUP!$AD$4:$AD$147,MATCH(A6,WORLDCUP!$AH$4:$AH$147,0))),"",INDEX(WORLDCUP!$AD$4:$AD$147,MATCH(A6,WORLDCUP!$AH$4:$AH$147,0)))</f>
        <v>1</v>
      </c>
      <c r="F6" s="432" t="str">
        <f ca="1">+MID(INDEX(WORLDCUP!$AF$4:$AF$147,MATCH(A6,WORLDCUP!$AH$4:$AH$147,0)),1,3)</f>
        <v>Cor</v>
      </c>
      <c r="G6" s="453">
        <v>3</v>
      </c>
      <c r="H6" s="454" t="str">
        <f ca="1">+MID(INDEX(WORLDCUP!$AL$6:$AL$97,MATCH(L6,WORLDCUP!$AI$6:$AI$97,0)),1,3)</f>
        <v>Rep</v>
      </c>
      <c r="I6" s="35">
        <f ca="1">+INDEX(WORLDCUP!$AM$6:$AM$97,MATCH(L6,WORLDCUP!$AI$6:$AI$97,0))</f>
        <v>3</v>
      </c>
      <c r="J6" s="36">
        <f ca="1">+INDEX(WORLDCUP!$AT$6:$AT$97,MATCH(L6,WORLDCUP!$AI$6:$AI$97,0))</f>
        <v>-1</v>
      </c>
      <c r="K6" s="40" t="str">
        <f ca="1">+INDEX(WORLDCUP!$AR$6:$AR$97,MATCH(L6,WORLDCUP!$AI$6:$AI$97,0))&amp;"-"&amp;INDEX(WORLDCUP!$AS$6:$AS$97,MATCH(L6,WORLDCUP!$AI$6:$AI$97,0))</f>
        <v>2-3</v>
      </c>
      <c r="L6" s="177" t="s">
        <v>90</v>
      </c>
      <c r="M6" s="177">
        <v>40</v>
      </c>
      <c r="N6" s="438"/>
      <c r="O6" s="430" t="str">
        <f ca="1">+MID(INDEX(WORLDCUP!$AA$4:$AA$147,MATCH(M6,WORLDCUP!$AH$4:$AH$147,0)),1,3)</f>
        <v>Nue</v>
      </c>
      <c r="P6" s="431">
        <f>IF(ISBLANK(INDEX(WORLDCUP!$AC$4:$AC$147,MATCH(M6,WORLDCUP!$AH$4:$AH$147,0))),"",INDEX(WORLDCUP!$AC$4:$AC$147,MATCH(M6,WORLDCUP!$AH$4:$AH$147,0)))</f>
        <v>0</v>
      </c>
      <c r="Q6" s="431">
        <f>IF(ISBLANK(INDEX(WORLDCUP!$AD$4:$AD$147,MATCH(M6,WORLDCUP!$AH$4:$AH$147,0))),"",INDEX(WORLDCUP!$AD$4:$AD$147,MATCH(M6,WORLDCUP!$AH$4:$AH$147,0)))</f>
        <v>3</v>
      </c>
      <c r="R6" s="432" t="str">
        <f ca="1">+MID(INDEX(WORLDCUP!$AF$4:$AF$147,MATCH(M6,WORLDCUP!$AH$4:$AH$147,0)),1,3)</f>
        <v>Egi</v>
      </c>
      <c r="S6" s="453">
        <v>3</v>
      </c>
      <c r="T6" s="454" t="str">
        <f ca="1">+MID(INDEX(WORLDCUP!$AL$6:$AL$97,MATCH(X6,WORLDCUP!$AI$6:$AI$97,0)),1,3)</f>
        <v>Irá</v>
      </c>
      <c r="U6" s="35">
        <f ca="1">+INDEX(WORLDCUP!$AM$6:$AM$97,MATCH(X6,WORLDCUP!$AI$6:$AI$97,0))</f>
        <v>4</v>
      </c>
      <c r="V6" s="36">
        <f ca="1">+INDEX(WORLDCUP!$AT$6:$AT$97,MATCH(X6,WORLDCUP!$AI$6:$AI$97,0))</f>
        <v>1</v>
      </c>
      <c r="W6" s="40" t="str">
        <f ca="1">+INDEX(WORLDCUP!$AR$6:$AR$97,MATCH(X6,WORLDCUP!$AI$6:$AI$97,0))&amp;"-"&amp;INDEX(WORLDCUP!$AS$6:$AS$97,MATCH(X6,WORLDCUP!$AI$6:$AI$97,0))</f>
        <v>5-4</v>
      </c>
      <c r="X6" s="177" t="s">
        <v>445</v>
      </c>
      <c r="Y6" s="177">
        <v>77</v>
      </c>
      <c r="Z6" s="411" t="s">
        <v>685</v>
      </c>
      <c r="AA6" s="412" t="str">
        <f ca="1">+MID(INDEX(WORLDCUP!$AA$101:$AA$147,MATCH(Y6,WORLDCUP!$Z$101:$Z$147,0)),1,3)</f>
        <v>Fra</v>
      </c>
      <c r="AB6" s="458">
        <f>+IF(ISBLANK(INDEX(WORLDCUP!$AC$101:$AC$147,MATCH(Y6,WORLDCUP!$Z$101:$Z$147,0))),"",INDEX(WORLDCUP!$AC$101:$AC$147,MATCH(Y6,WORLDCUP!$Z$101:$Z$147,0)))</f>
        <v>5</v>
      </c>
      <c r="AC6" s="459" t="str">
        <f>+IF(ISBLANK(INDEX(WORLDCUP!$AB$101:$AB$147,MATCH(Y6,WORLDCUP!$Z$101:$Z$147,0))),"","( "&amp;INDEX(WORLDCUP!$AB$101:$AB$147,MATCH(Y6,WORLDCUP!$Z$101:$Z$147,0))&amp;" )")</f>
        <v/>
      </c>
      <c r="AD6" s="177"/>
      <c r="AE6" s="460"/>
      <c r="AF6" s="460"/>
      <c r="AG6" s="461"/>
      <c r="AH6" s="177"/>
      <c r="AI6" s="445"/>
      <c r="AJ6" s="445"/>
      <c r="AK6" s="445"/>
      <c r="AL6" s="401"/>
      <c r="AM6" s="417"/>
      <c r="AN6" s="417"/>
      <c r="AO6" s="417"/>
      <c r="AP6" s="177"/>
      <c r="AQ6" s="446"/>
      <c r="AR6" s="446"/>
      <c r="AS6" s="446"/>
      <c r="AT6" s="177"/>
      <c r="AU6" s="419"/>
      <c r="AV6" s="419"/>
      <c r="AW6" s="419"/>
      <c r="AX6" s="177"/>
      <c r="AY6" s="149"/>
      <c r="AZ6" s="149"/>
      <c r="BA6" s="149"/>
      <c r="BB6" s="149"/>
      <c r="BC6" s="149"/>
      <c r="BD6" s="149"/>
      <c r="BE6" s="149"/>
      <c r="BG6" s="448" t="str">
        <f ca="1">Horarios!Q5</f>
        <v>Argelia</v>
      </c>
      <c r="BH6" s="449">
        <f t="shared" ca="1" si="0"/>
        <v>0</v>
      </c>
      <c r="BI6" s="449">
        <f ca="1">COUNTIF(Pool!$C$130:$C$161,Fixture!BG6)-BJ6-BK6-BL6-BM6-BN6-BO6</f>
        <v>1</v>
      </c>
      <c r="BJ6" s="450">
        <f ca="1">COUNTIF(Pool!$C$182:$C$197,Fixture!BG6)-BK6-BL6-BM6-BN6-BO6</f>
        <v>0</v>
      </c>
      <c r="BK6" s="451">
        <f ca="1">COUNTIF(Pool!$C$210:$C$217,Fixture!BG6)-BL6-BM6-BN6-BO6</f>
        <v>0</v>
      </c>
      <c r="BL6" s="451">
        <f ca="1">COUNTIF(Pool!$C$226:$C$229,Fixture!BG6)-BM6-BN6-BO6</f>
        <v>0</v>
      </c>
      <c r="BM6" s="449">
        <f ca="1">COUNTIF(Pool!$C$252,Fixture!BG6)</f>
        <v>0</v>
      </c>
      <c r="BN6" s="449">
        <f ca="1">COUNTIF(Pool!$C$251,Fixture!BG6)</f>
        <v>0</v>
      </c>
      <c r="BO6" s="452">
        <f ca="1">COUNTIF(Pool!$C$250,Fixture!BG6)</f>
        <v>0</v>
      </c>
    </row>
    <row r="7" spans="1:67" ht="15" thickBot="1">
      <c r="A7" s="177">
        <v>53</v>
      </c>
      <c r="B7" s="429"/>
      <c r="C7" s="430" t="str">
        <f ca="1">+MID(INDEX(WORLDCUP!$AA$4:$AA$147,MATCH(A7,WORLDCUP!$AH$4:$AH$147,0)),1,3)</f>
        <v>Rep</v>
      </c>
      <c r="D7" s="431">
        <f>IF(ISBLANK(INDEX(WORLDCUP!$AC$4:$AC$147,MATCH(A7,WORLDCUP!$AH$4:$AH$147,0))),"",INDEX(WORLDCUP!$AC$4:$AC$147,MATCH(A7,WORLDCUP!$AH$4:$AH$147,0)))</f>
        <v>0</v>
      </c>
      <c r="E7" s="431">
        <f>IF(ISBLANK(INDEX(WORLDCUP!$AD$4:$AD$147,MATCH(A7,WORLDCUP!$AH$4:$AH$147,0))),"",INDEX(WORLDCUP!$AD$4:$AD$147,MATCH(A7,WORLDCUP!$AH$4:$AH$147,0)))</f>
        <v>2</v>
      </c>
      <c r="F7" s="432" t="str">
        <f ca="1">+MID(INDEX(WORLDCUP!$AF$4:$AF$147,MATCH(A7,WORLDCUP!$AH$4:$AH$147,0)),1,3)</f>
        <v>Méx</v>
      </c>
      <c r="G7" s="453">
        <v>4</v>
      </c>
      <c r="H7" s="462" t="str">
        <f ca="1">+MID(INDEX(WORLDCUP!$AL$6:$AL$97,MATCH(L7,WORLDCUP!$AI$6:$AI$97,0)),1,3)</f>
        <v>Sud</v>
      </c>
      <c r="I7" s="463">
        <f ca="1">+INDEX(WORLDCUP!$AM$6:$AM$97,MATCH(L7,WORLDCUP!$AI$6:$AI$97,0))</f>
        <v>0</v>
      </c>
      <c r="J7" s="464">
        <f ca="1">+INDEX(WORLDCUP!$AT$6:$AT$97,MATCH(L7,WORLDCUP!$AI$6:$AI$97,0))</f>
        <v>-4</v>
      </c>
      <c r="K7" s="465" t="str">
        <f ca="1">+INDEX(WORLDCUP!$AR$6:$AR$97,MATCH(L7,WORLDCUP!$AI$6:$AI$97,0))&amp;"-"&amp;INDEX(WORLDCUP!$AS$6:$AS$97,MATCH(L7,WORLDCUP!$AI$6:$AI$97,0))</f>
        <v>1-5</v>
      </c>
      <c r="L7" s="177" t="s">
        <v>659</v>
      </c>
      <c r="M7" s="177">
        <v>63</v>
      </c>
      <c r="N7" s="438"/>
      <c r="O7" s="430" t="str">
        <f ca="1">+MID(INDEX(WORLDCUP!$AA$4:$AA$147,MATCH(M7,WORLDCUP!$AH$4:$AH$147,0)),1,3)</f>
        <v>Egi</v>
      </c>
      <c r="P7" s="431">
        <f>IF(ISBLANK(INDEX(WORLDCUP!$AC$4:$AC$147,MATCH(M7,WORLDCUP!$AH$4:$AH$147,0))),"",INDEX(WORLDCUP!$AC$4:$AC$147,MATCH(M7,WORLDCUP!$AH$4:$AH$147,0)))</f>
        <v>2</v>
      </c>
      <c r="Q7" s="431">
        <f>IF(ISBLANK(INDEX(WORLDCUP!$AD$4:$AD$147,MATCH(M7,WORLDCUP!$AH$4:$AH$147,0))),"",INDEX(WORLDCUP!$AD$4:$AD$147,MATCH(M7,WORLDCUP!$AH$4:$AH$147,0)))</f>
        <v>1</v>
      </c>
      <c r="R7" s="432" t="str">
        <f ca="1">+MID(INDEX(WORLDCUP!$AF$4:$AF$147,MATCH(M7,WORLDCUP!$AH$4:$AH$147,0)),1,3)</f>
        <v>Irá</v>
      </c>
      <c r="S7" s="453">
        <v>4</v>
      </c>
      <c r="T7" s="462" t="str">
        <f ca="1">+MID(INDEX(WORLDCUP!$AL$6:$AL$97,MATCH(X7,WORLDCUP!$AI$6:$AI$97,0)),1,3)</f>
        <v>Nue</v>
      </c>
      <c r="U7" s="463">
        <f ca="1">+INDEX(WORLDCUP!$AM$6:$AM$97,MATCH(X7,WORLDCUP!$AI$6:$AI$97,0))</f>
        <v>0</v>
      </c>
      <c r="V7" s="464">
        <f ca="1">+INDEX(WORLDCUP!$AT$6:$AT$97,MATCH(X7,WORLDCUP!$AI$6:$AI$97,0))</f>
        <v>-9</v>
      </c>
      <c r="W7" s="465" t="str">
        <f ca="1">+INDEX(WORLDCUP!$AR$6:$AR$97,MATCH(X7,WORLDCUP!$AI$6:$AI$97,0))&amp;"-"&amp;INDEX(WORLDCUP!$AS$6:$AS$97,MATCH(X7,WORLDCUP!$AI$6:$AI$97,0))</f>
        <v>0-9</v>
      </c>
      <c r="X7" s="177" t="s">
        <v>681</v>
      </c>
      <c r="Y7" s="177">
        <v>77</v>
      </c>
      <c r="Z7" s="411" t="s">
        <v>735</v>
      </c>
      <c r="AA7" s="466" t="str">
        <f ca="1">+MID(INDEX(WORLDCUP!$AF$101:$AF$147,MATCH(Y7,WORLDCUP!$Z$101:$Z$147,0)),1,IF(WORLDCUP!$H$113&lt;144,6,3))</f>
        <v>Irá</v>
      </c>
      <c r="AB7" s="467">
        <f>+IF(ISBLANK(INDEX(WORLDCUP!$AD$101:$AD$147,MATCH(Y7,WORLDCUP!$Z$101:$Z$147,0))),"",INDEX(WORLDCUP!$AD$101:$AD$147,MATCH(Y7,WORLDCUP!$Z$101:$Z$147,0)))</f>
        <v>0</v>
      </c>
      <c r="AC7" s="468" t="str">
        <f>+IF(ISBLANK(INDEX(WORLDCUP!$AE$101:$AE$147,MATCH(Y7,WORLDCUP!$Z$101:$Z$147,0))),"","( "&amp;INDEX(WORLDCUP!$AE$101:$AE$147,MATCH(Y7,WORLDCUP!$Z$101:$Z$147,0))&amp;" )")</f>
        <v/>
      </c>
      <c r="AD7" s="177"/>
      <c r="AE7" s="460"/>
      <c r="AF7" s="460"/>
      <c r="AG7" s="461"/>
      <c r="AH7" s="441">
        <v>97</v>
      </c>
      <c r="AI7" s="469" t="str">
        <f ca="1">+MID(INDEX(WORLDCUP!$AA$101:$AA$147,MATCH(AH7,WORLDCUP!$Z$101:$Z$147,0)),1,3)</f>
        <v>Fra</v>
      </c>
      <c r="AJ7" s="470">
        <f>+IF(ISBLANK(INDEX(WORLDCUP!$AC$101:$AC$147,MATCH(AH7,WORLDCUP!$Z$101:$Z$147,0))),"",INDEX(WORLDCUP!$AC$101:$AC$147,MATCH(AH7,WORLDCUP!$Z$101:$Z$147,0)))</f>
        <v>4</v>
      </c>
      <c r="AK7" s="471" t="str">
        <f>+IF(ISBLANK(INDEX(WORLDCUP!$AB$101:$AB$147,MATCH(AH7,WORLDCUP!$Z$101:$Z$147,0))),"","( "&amp;INDEX(WORLDCUP!$AB$101:$AB$147,MATCH(AH7,WORLDCUP!$Z$101:$Z$147,0))&amp;" )")</f>
        <v/>
      </c>
      <c r="AL7" s="401"/>
      <c r="AM7" s="417"/>
      <c r="AN7" s="417"/>
      <c r="AO7" s="417"/>
      <c r="AP7" s="177"/>
      <c r="AQ7" s="446"/>
      <c r="AR7" s="446"/>
      <c r="AS7" s="446"/>
      <c r="AT7" s="177"/>
      <c r="AU7" s="419"/>
      <c r="AV7" s="419"/>
      <c r="AW7" s="419"/>
      <c r="AX7" s="177"/>
      <c r="AY7" s="149"/>
      <c r="AZ7" s="149"/>
      <c r="BA7" s="149"/>
      <c r="BB7" s="149"/>
      <c r="BC7" s="149"/>
      <c r="BD7" s="149"/>
      <c r="BE7" s="149"/>
      <c r="BG7" s="448" t="str">
        <f ca="1">Horarios!Q6</f>
        <v>Argentina</v>
      </c>
      <c r="BH7" s="449">
        <f t="shared" ca="1" si="0"/>
        <v>0</v>
      </c>
      <c r="BI7" s="449">
        <f ca="1">COUNTIF(Pool!$C$130:$C$161,Fixture!BG7)-BJ7-BK7-BL7-BM7-BN7-BO7</f>
        <v>0</v>
      </c>
      <c r="BJ7" s="450">
        <f ca="1">COUNTIF(Pool!$C$182:$C$197,Fixture!BG7)-BK7-BL7-BM7-BN7-BO7</f>
        <v>0</v>
      </c>
      <c r="BK7" s="451">
        <f ca="1">COUNTIF(Pool!$C$210:$C$217,Fixture!BG7)-BL7-BM7-BN7-BO7</f>
        <v>1</v>
      </c>
      <c r="BL7" s="451">
        <f ca="1">COUNTIF(Pool!$C$226:$C$229,Fixture!BG7)-BM7-BN7-BO7</f>
        <v>0</v>
      </c>
      <c r="BM7" s="449">
        <f ca="1">COUNTIF(Pool!$C$252,Fixture!BG7)</f>
        <v>0</v>
      </c>
      <c r="BN7" s="449">
        <f ca="1">COUNTIF(Pool!$C$251,Fixture!BG7)</f>
        <v>0</v>
      </c>
      <c r="BO7" s="452">
        <f ca="1">COUNTIF(Pool!$C$250,Fixture!BG7)</f>
        <v>0</v>
      </c>
    </row>
    <row r="8" spans="1:67" ht="15" thickBot="1">
      <c r="A8" s="177">
        <v>54</v>
      </c>
      <c r="B8" s="472"/>
      <c r="C8" s="473" t="str">
        <f ca="1">+MID(INDEX(WORLDCUP!$AA$4:$AA$147,MATCH(A8,WORLDCUP!$AH$4:$AH$147,0)),1,3)</f>
        <v>Sud</v>
      </c>
      <c r="D8" s="474">
        <f>IF(ISBLANK(INDEX(WORLDCUP!$AC$4:$AC$147,MATCH(A8,WORLDCUP!$AH$4:$AH$147,0))),"",INDEX(WORLDCUP!$AC$4:$AC$147,MATCH(A8,WORLDCUP!$AH$4:$AH$147,0)))</f>
        <v>0</v>
      </c>
      <c r="E8" s="474">
        <f>IF(ISBLANK(INDEX(WORLDCUP!$AD$4:$AD$147,MATCH(A8,WORLDCUP!$AH$4:$AH$147,0))),"",INDEX(WORLDCUP!$AD$4:$AD$147,MATCH(A8,WORLDCUP!$AH$4:$AH$147,0)))</f>
        <v>1</v>
      </c>
      <c r="F8" s="475" t="str">
        <f ca="1">+MID(INDEX(WORLDCUP!$AF$4:$AF$147,MATCH(A8,WORLDCUP!$AH$4:$AH$147,0)),1,3)</f>
        <v>Cor</v>
      </c>
      <c r="G8" s="476"/>
      <c r="H8" s="476"/>
      <c r="I8" s="477"/>
      <c r="J8" s="477"/>
      <c r="K8" s="478"/>
      <c r="L8" s="177"/>
      <c r="M8" s="177">
        <v>64</v>
      </c>
      <c r="N8" s="479"/>
      <c r="O8" s="473" t="str">
        <f ca="1">+MID(INDEX(WORLDCUP!$AA$4:$AA$147,MATCH(M8,WORLDCUP!$AH$4:$AH$147,0)),1,3)</f>
        <v>Nue</v>
      </c>
      <c r="P8" s="474">
        <f>IF(ISBLANK(INDEX(WORLDCUP!$AC$4:$AC$147,MATCH(M8,WORLDCUP!$AH$4:$AH$147,0))),"",INDEX(WORLDCUP!$AC$4:$AC$147,MATCH(M8,WORLDCUP!$AH$4:$AH$147,0)))</f>
        <v>0</v>
      </c>
      <c r="Q8" s="474">
        <f>IF(ISBLANK(INDEX(WORLDCUP!$AD$4:$AD$147,MATCH(M8,WORLDCUP!$AH$4:$AH$147,0))),"",INDEX(WORLDCUP!$AD$4:$AD$147,MATCH(M8,WORLDCUP!$AH$4:$AH$147,0)))</f>
        <v>4</v>
      </c>
      <c r="R8" s="475" t="str">
        <f ca="1">+MID(INDEX(WORLDCUP!$AF$4:$AF$147,MATCH(M8,WORLDCUP!$AH$4:$AH$147,0)),1,3)</f>
        <v>Bél</v>
      </c>
      <c r="S8" s="476"/>
      <c r="T8" s="476"/>
      <c r="U8" s="477"/>
      <c r="V8" s="477"/>
      <c r="W8" s="478"/>
      <c r="X8" s="177"/>
      <c r="Y8" s="177"/>
      <c r="Z8" s="411"/>
      <c r="AA8" s="480"/>
      <c r="AB8" s="480"/>
      <c r="AC8" s="480"/>
      <c r="AD8" s="177"/>
      <c r="AE8" s="415"/>
      <c r="AF8" s="415"/>
      <c r="AG8" s="461"/>
      <c r="AH8" s="177">
        <v>97</v>
      </c>
      <c r="AI8" s="469" t="str">
        <f ca="1">+MID(INDEX(WORLDCUP!$AF$101:$AF$147,MATCH(AH8,WORLDCUP!$Z$101:$Z$147,0)),1,3)</f>
        <v>Jap</v>
      </c>
      <c r="AJ8" s="470">
        <f>+IF(ISBLANK(INDEX(WORLDCUP!$AD$101:$AD$147,MATCH(AH8,WORLDCUP!$Z$101:$Z$147,0))),"",INDEX(WORLDCUP!$AD$101:$AD$147,MATCH(AH8,WORLDCUP!$Z$101:$Z$147,0)))</f>
        <v>3</v>
      </c>
      <c r="AK8" s="481" t="str">
        <f>+IF(ISBLANK(INDEX(WORLDCUP!$AE$101:$AE$147,MATCH(AH8,WORLDCUP!$Z$101:$Z$147,0))),"","( "&amp;INDEX(WORLDCUP!$AE$101:$AE$147,MATCH(AH8,WORLDCUP!$Z$101:$Z$147,0))&amp;" )")</f>
        <v/>
      </c>
      <c r="AL8" s="401"/>
      <c r="AM8" s="417"/>
      <c r="AN8" s="417"/>
      <c r="AO8" s="417"/>
      <c r="AP8" s="177"/>
      <c r="AQ8" s="446"/>
      <c r="AR8" s="446"/>
      <c r="AS8" s="446"/>
      <c r="AT8" s="177"/>
      <c r="AU8" s="419"/>
      <c r="AV8" s="419"/>
      <c r="AW8" s="419"/>
      <c r="AX8" s="177"/>
      <c r="AY8" s="149"/>
      <c r="AZ8" s="149"/>
      <c r="BA8" s="149"/>
      <c r="BB8" s="149"/>
      <c r="BC8" s="149"/>
      <c r="BD8" s="149"/>
      <c r="BE8" s="149"/>
      <c r="BG8" s="448" t="str">
        <f ca="1">Horarios!Q7</f>
        <v>Australia</v>
      </c>
      <c r="BH8" s="449">
        <f t="shared" ca="1" si="0"/>
        <v>1</v>
      </c>
      <c r="BI8" s="449">
        <f ca="1">COUNTIF(Pool!$C$130:$C$161,Fixture!BG8)-BJ8-BK8-BL8-BM8-BN8-BO8</f>
        <v>0</v>
      </c>
      <c r="BJ8" s="450">
        <f ca="1">COUNTIF(Pool!$C$182:$C$197,Fixture!BG8)-BK8-BL8-BM8-BN8-BO8</f>
        <v>0</v>
      </c>
      <c r="BK8" s="451">
        <f ca="1">COUNTIF(Pool!$C$210:$C$217,Fixture!BG8)-BL8-BM8-BN8-BO8</f>
        <v>0</v>
      </c>
      <c r="BL8" s="451">
        <f ca="1">COUNTIF(Pool!$C$226:$C$229,Fixture!BG8)-BM8-BN8-BO8</f>
        <v>0</v>
      </c>
      <c r="BM8" s="449">
        <f ca="1">COUNTIF(Pool!$C$252,Fixture!BG8)</f>
        <v>0</v>
      </c>
      <c r="BN8" s="449">
        <f ca="1">COUNTIF(Pool!$C$251,Fixture!BG8)</f>
        <v>0</v>
      </c>
      <c r="BO8" s="452">
        <f ca="1">COUNTIF(Pool!$C$250,Fixture!BG8)</f>
        <v>0</v>
      </c>
    </row>
    <row r="9" spans="1:67" ht="15" thickBot="1">
      <c r="A9" s="177"/>
      <c r="B9" s="397"/>
      <c r="C9" s="482"/>
      <c r="D9" s="483"/>
      <c r="E9" s="483"/>
      <c r="F9" s="149"/>
      <c r="G9" s="149"/>
      <c r="H9" s="482"/>
      <c r="I9" s="149"/>
      <c r="J9" s="149"/>
      <c r="K9" s="149"/>
      <c r="L9" s="177"/>
      <c r="M9" s="177"/>
      <c r="N9" s="148"/>
      <c r="O9" s="482"/>
      <c r="P9" s="483"/>
      <c r="Q9" s="483"/>
      <c r="R9" s="149"/>
      <c r="S9" s="149"/>
      <c r="T9" s="482"/>
      <c r="U9" s="149"/>
      <c r="V9" s="149"/>
      <c r="W9" s="149"/>
      <c r="X9" s="177"/>
      <c r="Y9" s="177">
        <v>73</v>
      </c>
      <c r="Z9" s="411" t="s">
        <v>658</v>
      </c>
      <c r="AA9" s="412" t="str">
        <f ca="1">+MID(INDEX(WORLDCUP!$AA$101:$AA$147,MATCH(Y9,WORLDCUP!$Z$101:$Z$147,0)),1,3)</f>
        <v>Cor</v>
      </c>
      <c r="AB9" s="413">
        <f>+IF(ISBLANK(INDEX(WORLDCUP!$AC$101:$AC$147,MATCH(Y9,WORLDCUP!$Z$101:$Z$147,0))),"",INDEX(WORLDCUP!$AC$101:$AC$147,MATCH(Y9,WORLDCUP!$Z$101:$Z$147,0)))</f>
        <v>0</v>
      </c>
      <c r="AC9" s="484" t="str">
        <f>+IF(ISBLANK(INDEX(WORLDCUP!$AB$101:$AB$147,MATCH(Y9,WORLDCUP!$Z$101:$Z$147,0))),"","( "&amp;INDEX(WORLDCUP!$AB$101:$AB$147,MATCH(Y9,WORLDCUP!$Z$101:$Z$147,0))&amp;" )")</f>
        <v/>
      </c>
      <c r="AD9" s="175"/>
      <c r="AE9" s="415"/>
      <c r="AF9" s="415"/>
      <c r="AG9" s="461"/>
      <c r="AH9" s="177"/>
      <c r="AI9" s="445"/>
      <c r="AJ9" s="445"/>
      <c r="AK9" s="485"/>
      <c r="AL9" s="401"/>
      <c r="AM9" s="417"/>
      <c r="AN9" s="417"/>
      <c r="AO9" s="417"/>
      <c r="AP9" s="177"/>
      <c r="AQ9" s="446"/>
      <c r="AR9" s="446"/>
      <c r="AS9" s="446"/>
      <c r="AT9" s="177"/>
      <c r="AU9" s="419"/>
      <c r="AV9" s="419"/>
      <c r="AW9" s="419"/>
      <c r="AX9" s="177"/>
      <c r="AY9" s="149"/>
      <c r="AZ9" s="149"/>
      <c r="BA9" s="149"/>
      <c r="BB9" s="149"/>
      <c r="BC9" s="149"/>
      <c r="BD9" s="149"/>
      <c r="BE9" s="149"/>
      <c r="BG9" s="448" t="str">
        <f ca="1">Horarios!Q8</f>
        <v>Austria</v>
      </c>
      <c r="BH9" s="449">
        <f t="shared" ca="1" si="0"/>
        <v>0</v>
      </c>
      <c r="BI9" s="449">
        <f ca="1">COUNTIF(Pool!$C$130:$C$161,Fixture!BG9)-BJ9-BK9-BL9-BM9-BN9-BO9</f>
        <v>0</v>
      </c>
      <c r="BJ9" s="450">
        <f ca="1">COUNTIF(Pool!$C$182:$C$197,Fixture!BG9)-BK9-BL9-BM9-BN9-BO9</f>
        <v>1</v>
      </c>
      <c r="BK9" s="451">
        <f ca="1">COUNTIF(Pool!$C$210:$C$217,Fixture!BG9)-BL9-BM9-BN9-BO9</f>
        <v>0</v>
      </c>
      <c r="BL9" s="451">
        <f ca="1">COUNTIF(Pool!$C$226:$C$229,Fixture!BG9)-BM9-BN9-BO9</f>
        <v>0</v>
      </c>
      <c r="BM9" s="449">
        <f ca="1">COUNTIF(Pool!$C$252,Fixture!BG9)</f>
        <v>0</v>
      </c>
      <c r="BN9" s="449">
        <f ca="1">COUNTIF(Pool!$C$251,Fixture!BG9)</f>
        <v>0</v>
      </c>
      <c r="BO9" s="452">
        <f ca="1">COUNTIF(Pool!$C$250,Fixture!BG9)</f>
        <v>0</v>
      </c>
    </row>
    <row r="10" spans="1:67" ht="15" thickBot="1">
      <c r="A10" s="177"/>
      <c r="B10" s="397"/>
      <c r="C10" s="482"/>
      <c r="D10" s="483"/>
      <c r="E10" s="483"/>
      <c r="F10" s="149"/>
      <c r="G10" s="149"/>
      <c r="H10" s="482"/>
      <c r="I10" s="149"/>
      <c r="J10" s="149"/>
      <c r="K10" s="149"/>
      <c r="L10" s="177"/>
      <c r="M10" s="177"/>
      <c r="N10" s="148"/>
      <c r="O10" s="482"/>
      <c r="P10" s="483"/>
      <c r="Q10" s="483"/>
      <c r="R10" s="149"/>
      <c r="S10" s="149"/>
      <c r="T10" s="482"/>
      <c r="U10" s="149"/>
      <c r="V10" s="149"/>
      <c r="W10" s="149"/>
      <c r="X10" s="177"/>
      <c r="Y10" s="177">
        <v>73</v>
      </c>
      <c r="Z10" s="411" t="s">
        <v>661</v>
      </c>
      <c r="AA10" s="412" t="str">
        <f ca="1">+MID(INDEX(WORLDCUP!$AF$101:$AF$147,MATCH(Y10,WORLDCUP!$Z$101:$Z$147,0)),1,3)</f>
        <v>Sui</v>
      </c>
      <c r="AB10" s="439">
        <f>+IF(ISBLANK(INDEX(WORLDCUP!$AD$101:$AD$147,MATCH(Y10,WORLDCUP!$Z$101:$Z$147,0))),"",INDEX(WORLDCUP!$AD$101:$AD$147,MATCH(Y10,WORLDCUP!$Z$101:$Z$147,0)))</f>
        <v>3</v>
      </c>
      <c r="AC10" s="440" t="str">
        <f>+IF(ISBLANK(INDEX(WORLDCUP!$AE$101:$AE$147,MATCH(Y10,WORLDCUP!$Z$101:$Z$147,0))),"","( "&amp;INDEX(WORLDCUP!$AE$101:$AE$147,MATCH(Y10,WORLDCUP!$Z$101:$Z$147,0))&amp;" )")</f>
        <v/>
      </c>
      <c r="AD10" s="486">
        <v>90</v>
      </c>
      <c r="AE10" s="442" t="str">
        <f ca="1">+MID(INDEX(WORLDCUP!$AA$101:$AA$147,MATCH(AD10,WORLDCUP!$Z$101:$Z$147,0)),1,3)</f>
        <v>Sui</v>
      </c>
      <c r="AF10" s="443">
        <f>+IF(ISBLANK(INDEX(WORLDCUP!$AC$101:$AC$147,MATCH(AD10,WORLDCUP!$Z$101:$Z$147,0))),"",INDEX(WORLDCUP!$AC$101:$AC$147,MATCH(AD10,WORLDCUP!$Z$101:$Z$147,0)))</f>
        <v>0</v>
      </c>
      <c r="AG10" s="487" t="str">
        <f>+IF(ISBLANK(INDEX(WORLDCUP!$AB$101:$AB$147,MATCH(AD10,WORLDCUP!$Z$101:$Z$147,0))),"","( "&amp;INDEX(WORLDCUP!$AB$101:$AB$147,MATCH(AD10,WORLDCUP!$Z$101:$Z$147,0))&amp;" )")</f>
        <v/>
      </c>
      <c r="AH10" s="177"/>
      <c r="AI10" s="445"/>
      <c r="AJ10" s="445"/>
      <c r="AK10" s="485"/>
      <c r="AL10" s="401"/>
      <c r="AM10" s="417"/>
      <c r="AN10" s="417"/>
      <c r="AO10" s="417"/>
      <c r="AP10" s="177"/>
      <c r="AQ10" s="446"/>
      <c r="AR10" s="446"/>
      <c r="AS10" s="446"/>
      <c r="AT10" s="177"/>
      <c r="AU10" s="419"/>
      <c r="AV10" s="419"/>
      <c r="AW10" s="419"/>
      <c r="AX10" s="177"/>
      <c r="AY10" s="149"/>
      <c r="AZ10" s="148"/>
      <c r="BA10" s="148"/>
      <c r="BB10" s="144"/>
      <c r="BC10" s="482"/>
      <c r="BD10" s="483"/>
      <c r="BE10" s="483"/>
      <c r="BF10" s="2"/>
      <c r="BG10" s="448" t="str">
        <f ca="1">Horarios!Q9</f>
        <v>Bélgica</v>
      </c>
      <c r="BH10" s="449">
        <f t="shared" ca="1" si="0"/>
        <v>0</v>
      </c>
      <c r="BI10" s="449">
        <f ca="1">COUNTIF(Pool!$C$130:$C$161,Fixture!BG10)-BJ10-BK10-BL10-BM10-BN10-BO10</f>
        <v>1</v>
      </c>
      <c r="BJ10" s="450">
        <f ca="1">COUNTIF(Pool!$C$182:$C$197,Fixture!BG10)-BK10-BL10-BM10-BN10-BO10</f>
        <v>0</v>
      </c>
      <c r="BK10" s="451">
        <f ca="1">COUNTIF(Pool!$C$210:$C$217,Fixture!BG10)-BL10-BM10-BN10-BO10</f>
        <v>0</v>
      </c>
      <c r="BL10" s="451">
        <f ca="1">COUNTIF(Pool!$C$226:$C$229,Fixture!BG10)-BM10-BN10-BO10</f>
        <v>0</v>
      </c>
      <c r="BM10" s="449">
        <f ca="1">COUNTIF(Pool!$C$252,Fixture!BG10)</f>
        <v>0</v>
      </c>
      <c r="BN10" s="449">
        <f ca="1">COUNTIF(Pool!$C$251,Fixture!BG10)</f>
        <v>0</v>
      </c>
      <c r="BO10" s="452">
        <f ca="1">COUNTIF(Pool!$C$250,Fixture!BG10)</f>
        <v>0</v>
      </c>
    </row>
    <row r="11" spans="1:67">
      <c r="A11" s="177">
        <v>3</v>
      </c>
      <c r="B11" s="488" t="s">
        <v>1</v>
      </c>
      <c r="C11" s="403" t="str">
        <f ca="1">+MID(INDEX(WORLDCUP!$AA$4:$AA$147,MATCH(A11,WORLDCUP!$AH$4:$AH$147,0)),1,3)</f>
        <v>Can</v>
      </c>
      <c r="D11" s="404">
        <f>IF(ISBLANK(INDEX(WORLDCUP!$AC$4:$AC$147,MATCH(A11,WORLDCUP!$AH$4:$AH$147,0))),"",INDEX(WORLDCUP!$AC$4:$AC$147,MATCH(A11,WORLDCUP!$AH$4:$AH$147,0)))</f>
        <v>2</v>
      </c>
      <c r="E11" s="404">
        <f>IF(ISBLANK(INDEX(WORLDCUP!$AD$4:$AD$147,MATCH(A11,WORLDCUP!$AH$4:$AH$147,0))),"",INDEX(WORLDCUP!$AD$4:$AD$147,MATCH(A11,WORLDCUP!$AH$4:$AH$147,0)))</f>
        <v>0</v>
      </c>
      <c r="F11" s="405" t="str">
        <f ca="1">+MID(INDEX(WORLDCUP!$AF$4:$AF$147,MATCH(A11,WORLDCUP!$AH$4:$AH$147,0)),1,3)</f>
        <v>Bos</v>
      </c>
      <c r="G11" s="406"/>
      <c r="H11" s="407" t="str">
        <f>+H3</f>
        <v>Sel</v>
      </c>
      <c r="I11" s="408" t="str">
        <f>+I3</f>
        <v>Pts</v>
      </c>
      <c r="J11" s="408" t="str">
        <f>+J3</f>
        <v>DG</v>
      </c>
      <c r="K11" s="409" t="str">
        <f>+K3</f>
        <v>GF-GC</v>
      </c>
      <c r="L11" s="177"/>
      <c r="M11" s="177">
        <v>14</v>
      </c>
      <c r="N11" s="489" t="s">
        <v>447</v>
      </c>
      <c r="O11" s="403" t="str">
        <f ca="1">+MID(INDEX(WORLDCUP!$AA$4:$AA$147,MATCH(M11,WORLDCUP!$AH$4:$AH$147,0)),1,3)</f>
        <v>Esp</v>
      </c>
      <c r="P11" s="404">
        <f>IF(ISBLANK(INDEX(WORLDCUP!$AC$4:$AC$147,MATCH(M11,WORLDCUP!$AH$4:$AH$147,0))),"",INDEX(WORLDCUP!$AC$4:$AC$147,MATCH(M11,WORLDCUP!$AH$4:$AH$147,0)))</f>
        <v>4</v>
      </c>
      <c r="Q11" s="404">
        <f>IF(ISBLANK(INDEX(WORLDCUP!$AD$4:$AD$147,MATCH(M11,WORLDCUP!$AH$4:$AH$147,0))),"",INDEX(WORLDCUP!$AD$4:$AD$147,MATCH(M11,WORLDCUP!$AH$4:$AH$147,0)))</f>
        <v>0</v>
      </c>
      <c r="R11" s="405" t="str">
        <f ca="1">+MID(INDEX(WORLDCUP!$AF$4:$AF$147,MATCH(M11,WORLDCUP!$AH$4:$AH$147,0)),1,3)</f>
        <v>Cab</v>
      </c>
      <c r="S11" s="406"/>
      <c r="T11" s="407" t="str">
        <f>+T3</f>
        <v>Sel</v>
      </c>
      <c r="U11" s="408" t="str">
        <f t="shared" ref="U11:W11" si="1">+U3</f>
        <v>Pts</v>
      </c>
      <c r="V11" s="408" t="str">
        <f t="shared" si="1"/>
        <v>DG</v>
      </c>
      <c r="W11" s="409" t="str">
        <f t="shared" si="1"/>
        <v>GF-GC</v>
      </c>
      <c r="X11" s="177"/>
      <c r="Y11" s="177"/>
      <c r="Z11" s="411"/>
      <c r="AA11" s="455"/>
      <c r="AB11" s="455"/>
      <c r="AC11" s="456"/>
      <c r="AD11" s="177">
        <v>90</v>
      </c>
      <c r="AE11" s="442" t="str">
        <f ca="1">+MID(INDEX(WORLDCUP!$AF$101:$AF$147,MATCH(AD11,WORLDCUP!$Z$101:$Z$147,0)),1,3)</f>
        <v>Jap</v>
      </c>
      <c r="AF11" s="443">
        <f>+IF(ISBLANK(INDEX(WORLDCUP!$AD$101:$AD$147,MATCH(AD11,WORLDCUP!$Z$101:$Z$147,0))),"",INDEX(WORLDCUP!$AD$101:$AD$147,MATCH(AD11,WORLDCUP!$Z$101:$Z$147,0)))</f>
        <v>2</v>
      </c>
      <c r="AG11" s="460" t="str">
        <f>+IF(ISBLANK(INDEX(WORLDCUP!$AE$101:$AE$147,MATCH(AD11,WORLDCUP!$Z$101:$Z$147,0))),"","( "&amp;INDEX(WORLDCUP!$AE$101:$AE$147,MATCH(AD11,WORLDCUP!$Z$101:$Z$147,0))&amp;" )")</f>
        <v/>
      </c>
      <c r="AH11" s="177"/>
      <c r="AI11" s="445"/>
      <c r="AJ11" s="445"/>
      <c r="AK11" s="485"/>
      <c r="AL11" s="401"/>
      <c r="AM11" s="417"/>
      <c r="AN11" s="417"/>
      <c r="AO11" s="417"/>
      <c r="AP11" s="177"/>
      <c r="AQ11" s="446"/>
      <c r="AR11" s="446"/>
      <c r="AS11" s="446"/>
      <c r="AT11" s="177"/>
      <c r="AU11" s="419"/>
      <c r="AV11" s="419"/>
      <c r="AW11" s="419"/>
      <c r="AX11" s="177"/>
      <c r="AY11" s="149"/>
      <c r="AZ11" s="149"/>
      <c r="BA11" s="149"/>
      <c r="BB11" s="149"/>
      <c r="BC11" s="149"/>
      <c r="BD11" s="149"/>
      <c r="BE11" s="149"/>
      <c r="BG11" s="448" t="str">
        <f ca="1">Horarios!Q10</f>
        <v>Bosnia y Herzegovina</v>
      </c>
      <c r="BH11" s="449">
        <f t="shared" ca="1" si="0"/>
        <v>0</v>
      </c>
      <c r="BI11" s="449">
        <f ca="1">COUNTIF(Pool!$C$130:$C$161,Fixture!BG11)-BJ11-BK11-BL11-BM11-BN11-BO11</f>
        <v>1</v>
      </c>
      <c r="BJ11" s="450">
        <f ca="1">COUNTIF(Pool!$C$182:$C$197,Fixture!BG11)-BK11-BL11-BM11-BN11-BO11</f>
        <v>0</v>
      </c>
      <c r="BK11" s="451">
        <f ca="1">COUNTIF(Pool!$C$210:$C$217,Fixture!BG11)-BL11-BM11-BN11-BO11</f>
        <v>0</v>
      </c>
      <c r="BL11" s="451">
        <f ca="1">COUNTIF(Pool!$C$226:$C$229,Fixture!BG11)-BM11-BN11-BO11</f>
        <v>0</v>
      </c>
      <c r="BM11" s="449">
        <f ca="1">COUNTIF(Pool!$C$252,Fixture!BG11)</f>
        <v>0</v>
      </c>
      <c r="BN11" s="449">
        <f ca="1">COUNTIF(Pool!$C$251,Fixture!BG11)</f>
        <v>0</v>
      </c>
      <c r="BO11" s="452">
        <f ca="1">COUNTIF(Pool!$C$250,Fixture!BG11)</f>
        <v>0</v>
      </c>
    </row>
    <row r="12" spans="1:67" ht="15" thickBot="1">
      <c r="A12" s="177">
        <v>8</v>
      </c>
      <c r="B12" s="490"/>
      <c r="C12" s="430" t="str">
        <f ca="1">+MID(INDEX(WORLDCUP!$AA$4:$AA$147,MATCH(A12,WORLDCUP!$AH$4:$AH$147,0)),1,3)</f>
        <v>Cat</v>
      </c>
      <c r="D12" s="431">
        <f>IF(ISBLANK(INDEX(WORLDCUP!$AC$4:$AC$147,MATCH(A12,WORLDCUP!$AH$4:$AH$147,0))),"",INDEX(WORLDCUP!$AC$4:$AC$147,MATCH(A12,WORLDCUP!$AH$4:$AH$147,0)))</f>
        <v>0</v>
      </c>
      <c r="E12" s="431">
        <f>IF(ISBLANK(INDEX(WORLDCUP!$AD$4:$AD$147,MATCH(A12,WORLDCUP!$AH$4:$AH$147,0))),"",INDEX(WORLDCUP!$AD$4:$AD$147,MATCH(A12,WORLDCUP!$AH$4:$AH$147,0)))</f>
        <v>3</v>
      </c>
      <c r="F12" s="432" t="str">
        <f ca="1">+MID(INDEX(WORLDCUP!$AF$4:$AF$147,MATCH(A12,WORLDCUP!$AH$4:$AH$147,0)),1,3)</f>
        <v>Sui</v>
      </c>
      <c r="G12" s="433">
        <v>1</v>
      </c>
      <c r="H12" s="434" t="str">
        <f ca="1">+MID(INDEX(WORLDCUP!$AL$6:$AL$97,MATCH(L12,WORLDCUP!$AI$6:$AI$97,0)),1,3)</f>
        <v>Can</v>
      </c>
      <c r="I12" s="435">
        <f ca="1">+INDEX(WORLDCUP!$AM$6:$AM$97,MATCH(L12,WORLDCUP!$AI$6:$AI$97,0))</f>
        <v>9</v>
      </c>
      <c r="J12" s="436">
        <f ca="1">+INDEX(WORLDCUP!$AT$6:$AT$97,MATCH(L12,WORLDCUP!$AI$6:$AI$97,0))</f>
        <v>4</v>
      </c>
      <c r="K12" s="437" t="str">
        <f ca="1">+INDEX(WORLDCUP!$AR$6:$AR$97,MATCH(L12,WORLDCUP!$AI$6:$AI$97,0))&amp;"-"&amp;INDEX(WORLDCUP!$AS$6:$AS$97,MATCH(L12,WORLDCUP!$AI$6:$AI$97,0))</f>
        <v>6-2</v>
      </c>
      <c r="L12" s="177" t="s">
        <v>660</v>
      </c>
      <c r="M12" s="177">
        <v>13</v>
      </c>
      <c r="N12" s="491"/>
      <c r="O12" s="430" t="str">
        <f ca="1">+MID(INDEX(WORLDCUP!$AA$4:$AA$147,MATCH(M12,WORLDCUP!$AH$4:$AH$147,0)),1,3)</f>
        <v>Ara</v>
      </c>
      <c r="P12" s="431">
        <f>IF(ISBLANK(INDEX(WORLDCUP!$AC$4:$AC$147,MATCH(M12,WORLDCUP!$AH$4:$AH$147,0))),"",INDEX(WORLDCUP!$AC$4:$AC$147,MATCH(M12,WORLDCUP!$AH$4:$AH$147,0)))</f>
        <v>1</v>
      </c>
      <c r="Q12" s="431">
        <f>IF(ISBLANK(INDEX(WORLDCUP!$AD$4:$AD$147,MATCH(M12,WORLDCUP!$AH$4:$AH$147,0))),"",INDEX(WORLDCUP!$AD$4:$AD$147,MATCH(M12,WORLDCUP!$AH$4:$AH$147,0)))</f>
        <v>1</v>
      </c>
      <c r="R12" s="432" t="str">
        <f ca="1">+MID(INDEX(WORLDCUP!$AF$4:$AF$147,MATCH(M12,WORLDCUP!$AH$4:$AH$147,0)),1,3)</f>
        <v>Uru</v>
      </c>
      <c r="S12" s="433">
        <v>1</v>
      </c>
      <c r="T12" s="434" t="str">
        <f ca="1">+MID(INDEX(WORLDCUP!$AL$6:$AL$97,MATCH(X12,WORLDCUP!$AI$6:$AI$97,0)),1,3)</f>
        <v>Esp</v>
      </c>
      <c r="U12" s="435">
        <f ca="1">+INDEX(WORLDCUP!$AM$6:$AM$97,MATCH(X12,WORLDCUP!$AI$6:$AI$97,0))</f>
        <v>7</v>
      </c>
      <c r="V12" s="436">
        <f ca="1">+INDEX(WORLDCUP!$AT$6:$AT$97,MATCH(X12,WORLDCUP!$AI$6:$AI$97,0))</f>
        <v>5</v>
      </c>
      <c r="W12" s="437" t="str">
        <f ca="1">+INDEX(WORLDCUP!$AR$6:$AR$97,MATCH(X12,WORLDCUP!$AI$6:$AI$97,0))&amp;"-"&amp;INDEX(WORLDCUP!$AS$6:$AS$97,MATCH(X12,WORLDCUP!$AI$6:$AI$97,0))</f>
        <v>7-2</v>
      </c>
      <c r="X12" s="177" t="s">
        <v>682</v>
      </c>
      <c r="Y12" s="177">
        <v>75</v>
      </c>
      <c r="Z12" s="411" t="s">
        <v>676</v>
      </c>
      <c r="AA12" s="412" t="str">
        <f ca="1">+MID(INDEX(WORLDCUP!$AA$101:$AA$147,MATCH(Y12,WORLDCUP!$Z$101:$Z$147,0)),1,3)</f>
        <v>Jap</v>
      </c>
      <c r="AB12" s="458">
        <f>+IF(ISBLANK(INDEX(WORLDCUP!$AC$101:$AC$147,MATCH(Y12,WORLDCUP!$Z$101:$Z$147,0))),"",INDEX(WORLDCUP!$AC$101:$AC$147,MATCH(Y12,WORLDCUP!$Z$101:$Z$147,0)))</f>
        <v>3</v>
      </c>
      <c r="AC12" s="492" t="str">
        <f>+IF(ISBLANK(INDEX(WORLDCUP!$AB$101:$AB$147,MATCH(Y12,WORLDCUP!$Z$101:$Z$147,0))),"","( "&amp;INDEX(WORLDCUP!$AB$101:$AB$147,MATCH(Y12,WORLDCUP!$Z$101:$Z$147,0))&amp;" )")</f>
        <v/>
      </c>
      <c r="AD12" s="177"/>
      <c r="AE12" s="415"/>
      <c r="AF12" s="415"/>
      <c r="AG12" s="415"/>
      <c r="AH12" s="177"/>
      <c r="AI12" s="445"/>
      <c r="AJ12" s="445"/>
      <c r="AK12" s="485"/>
      <c r="AL12" s="401"/>
      <c r="AM12" s="417"/>
      <c r="AN12" s="417"/>
      <c r="AO12" s="417"/>
      <c r="AP12" s="177"/>
      <c r="AQ12" s="446"/>
      <c r="AR12" s="446"/>
      <c r="AS12" s="446"/>
      <c r="AT12" s="177"/>
      <c r="AU12" s="419"/>
      <c r="AV12" s="419"/>
      <c r="AW12" s="419"/>
      <c r="AX12" s="177"/>
      <c r="AY12" s="149"/>
      <c r="AZ12" s="149"/>
      <c r="BA12" s="149"/>
      <c r="BB12" s="149"/>
      <c r="BC12" s="149"/>
      <c r="BD12" s="149"/>
      <c r="BE12" s="149"/>
      <c r="BG12" s="448" t="str">
        <f ca="1">Horarios!Q11</f>
        <v>Brasil</v>
      </c>
      <c r="BH12" s="449">
        <f t="shared" ca="1" si="0"/>
        <v>0</v>
      </c>
      <c r="BI12" s="449">
        <f ca="1">COUNTIF(Pool!$C$130:$C$161,Fixture!BG12)-BJ12-BK12-BL12-BM12-BN12-BO12</f>
        <v>1</v>
      </c>
      <c r="BJ12" s="450">
        <f ca="1">COUNTIF(Pool!$C$182:$C$197,Fixture!BG12)-BK12-BL12-BM12-BN12-BO12</f>
        <v>0</v>
      </c>
      <c r="BK12" s="451">
        <f ca="1">COUNTIF(Pool!$C$210:$C$217,Fixture!BG12)-BL12-BM12-BN12-BO12</f>
        <v>0</v>
      </c>
      <c r="BL12" s="451">
        <f ca="1">COUNTIF(Pool!$C$226:$C$229,Fixture!BG12)-BM12-BN12-BO12</f>
        <v>0</v>
      </c>
      <c r="BM12" s="449">
        <f ca="1">COUNTIF(Pool!$C$252,Fixture!BG12)</f>
        <v>0</v>
      </c>
      <c r="BN12" s="449">
        <f ca="1">COUNTIF(Pool!$C$251,Fixture!BG12)</f>
        <v>0</v>
      </c>
      <c r="BO12" s="452">
        <f ca="1">COUNTIF(Pool!$C$250,Fixture!BG12)</f>
        <v>0</v>
      </c>
    </row>
    <row r="13" spans="1:67" ht="15" thickBot="1">
      <c r="A13" s="177">
        <v>26</v>
      </c>
      <c r="B13" s="490"/>
      <c r="C13" s="430" t="str">
        <f ca="1">+MID(INDEX(WORLDCUP!$AA$4:$AA$147,MATCH(A13,WORLDCUP!$AH$4:$AH$147,0)),1,3)</f>
        <v>Sui</v>
      </c>
      <c r="D13" s="431">
        <f>IF(ISBLANK(INDEX(WORLDCUP!$AC$4:$AC$147,MATCH(A13,WORLDCUP!$AH$4:$AH$147,0))),"",INDEX(WORLDCUP!$AC$4:$AC$147,MATCH(A13,WORLDCUP!$AH$4:$AH$147,0)))</f>
        <v>3</v>
      </c>
      <c r="E13" s="431">
        <f>IF(ISBLANK(INDEX(WORLDCUP!$AD$4:$AD$147,MATCH(A13,WORLDCUP!$AH$4:$AH$147,0))),"",INDEX(WORLDCUP!$AD$4:$AD$147,MATCH(A13,WORLDCUP!$AH$4:$AH$147,0)))</f>
        <v>2</v>
      </c>
      <c r="F13" s="432" t="str">
        <f ca="1">+MID(INDEX(WORLDCUP!$AF$4:$AF$147,MATCH(A13,WORLDCUP!$AH$4:$AH$147,0)),1,3)</f>
        <v>Bos</v>
      </c>
      <c r="G13" s="453">
        <v>2</v>
      </c>
      <c r="H13" s="454" t="str">
        <f ca="1">+MID(INDEX(WORLDCUP!$AL$6:$AL$97,MATCH(L13,WORLDCUP!$AI$6:$AI$97,0)),1,3)</f>
        <v>Sui</v>
      </c>
      <c r="I13" s="35">
        <f ca="1">+INDEX(WORLDCUP!$AM$6:$AM$97,MATCH(L13,WORLDCUP!$AI$6:$AI$97,0))</f>
        <v>6</v>
      </c>
      <c r="J13" s="36">
        <f ca="1">+INDEX(WORLDCUP!$AT$6:$AT$97,MATCH(L13,WORLDCUP!$AI$6:$AI$97,0))</f>
        <v>3</v>
      </c>
      <c r="K13" s="40" t="str">
        <f ca="1">+INDEX(WORLDCUP!$AR$6:$AR$97,MATCH(L13,WORLDCUP!$AI$6:$AI$97,0))&amp;"-"&amp;INDEX(WORLDCUP!$AS$6:$AS$97,MATCH(L13,WORLDCUP!$AI$6:$AI$97,0))</f>
        <v>8-5</v>
      </c>
      <c r="L13" s="177" t="s">
        <v>661</v>
      </c>
      <c r="M13" s="177">
        <v>38</v>
      </c>
      <c r="N13" s="491"/>
      <c r="O13" s="430" t="str">
        <f ca="1">+MID(INDEX(WORLDCUP!$AA$4:$AA$147,MATCH(M13,WORLDCUP!$AH$4:$AH$147,0)),1,3)</f>
        <v>Esp</v>
      </c>
      <c r="P13" s="431">
        <f>IF(ISBLANK(INDEX(WORLDCUP!$AC$4:$AC$147,MATCH(M13,WORLDCUP!$AH$4:$AH$147,0))),"",INDEX(WORLDCUP!$AC$4:$AC$147,MATCH(M13,WORLDCUP!$AH$4:$AH$147,0)))</f>
        <v>2</v>
      </c>
      <c r="Q13" s="431">
        <f>IF(ISBLANK(INDEX(WORLDCUP!$AD$4:$AD$147,MATCH(M13,WORLDCUP!$AH$4:$AH$147,0))),"",INDEX(WORLDCUP!$AD$4:$AD$147,MATCH(M13,WORLDCUP!$AH$4:$AH$147,0)))</f>
        <v>1</v>
      </c>
      <c r="R13" s="432" t="str">
        <f ca="1">+MID(INDEX(WORLDCUP!$AF$4:$AF$147,MATCH(M13,WORLDCUP!$AH$4:$AH$147,0)),1,3)</f>
        <v>Ara</v>
      </c>
      <c r="S13" s="453">
        <v>2</v>
      </c>
      <c r="T13" s="454" t="str">
        <f ca="1">+MID(INDEX(WORLDCUP!$AL$6:$AL$97,MATCH(X13,WORLDCUP!$AI$6:$AI$97,0)),1,3)</f>
        <v>Uru</v>
      </c>
      <c r="U13" s="35">
        <f ca="1">+INDEX(WORLDCUP!$AM$6:$AM$97,MATCH(X13,WORLDCUP!$AI$6:$AI$97,0))</f>
        <v>5</v>
      </c>
      <c r="V13" s="36">
        <f ca="1">+INDEX(WORLDCUP!$AT$6:$AT$97,MATCH(X13,WORLDCUP!$AI$6:$AI$97,0))</f>
        <v>3</v>
      </c>
      <c r="W13" s="40" t="str">
        <f ca="1">+INDEX(WORLDCUP!$AR$6:$AR$97,MATCH(X13,WORLDCUP!$AI$6:$AI$97,0))&amp;"-"&amp;INDEX(WORLDCUP!$AS$6:$AS$97,MATCH(X13,WORLDCUP!$AI$6:$AI$97,0))</f>
        <v>5-2</v>
      </c>
      <c r="X13" s="177" t="s">
        <v>683</v>
      </c>
      <c r="Y13" s="177">
        <v>75</v>
      </c>
      <c r="Z13" s="411" t="s">
        <v>668</v>
      </c>
      <c r="AA13" s="466" t="str">
        <f ca="1">+MID(INDEX(WORLDCUP!$AF$101:$AF$147,MATCH(Y13,WORLDCUP!$Z$101:$Z$147,0)),1,3)</f>
        <v>Bra</v>
      </c>
      <c r="AB13" s="467">
        <f>+IF(ISBLANK(INDEX(WORLDCUP!$AD$101:$AD$147,MATCH(Y13,WORLDCUP!$Z$101:$Z$147,0))),"",INDEX(WORLDCUP!$AD$101:$AD$147,MATCH(Y13,WORLDCUP!$Z$101:$Z$147,0)))</f>
        <v>2</v>
      </c>
      <c r="AC13" s="493" t="str">
        <f>+IF(ISBLANK(INDEX(WORLDCUP!$AE$101:$AE$147,MATCH(Y13,WORLDCUP!$Z$101:$Z$147,0))),"","( "&amp;INDEX(WORLDCUP!$AE$101:$AE$147,MATCH(Y13,WORLDCUP!$Z$101:$Z$147,0))&amp;" )")</f>
        <v/>
      </c>
      <c r="AD13" s="177"/>
      <c r="AE13" s="415"/>
      <c r="AF13" s="415"/>
      <c r="AG13" s="415"/>
      <c r="AH13" s="177"/>
      <c r="AI13" s="445"/>
      <c r="AJ13" s="445"/>
      <c r="AK13" s="485"/>
      <c r="AL13" s="486">
        <v>101</v>
      </c>
      <c r="AM13" s="494" t="str">
        <f ca="1">+MID(INDEX(WORLDCUP!$AA$101:$AA$147,MATCH(AL13,WORLDCUP!$Z$101:$Z$147,0)),1,3)</f>
        <v>Fra</v>
      </c>
      <c r="AN13" s="495">
        <f>+IF(ISBLANK(INDEX(WORLDCUP!$AC$101:$AC$147,MATCH(AL13,WORLDCUP!$Z$101:$Z$147,0))),"",INDEX(WORLDCUP!$AC$101:$AC$147,MATCH(AL13,WORLDCUP!$Z$101:$Z$147,0)))</f>
        <v>1</v>
      </c>
      <c r="AO13" s="496" t="str">
        <f>+IF(ISBLANK(INDEX(WORLDCUP!$AB$101:$AB$147,MATCH(AL13,WORLDCUP!$Z$101:$Z$147,0))),"","( "&amp;INDEX(WORLDCUP!$AB$101:$AB$147,MATCH(AL13,WORLDCUP!$Z$101:$Z$147,0))&amp;" )")</f>
        <v>( 3 )</v>
      </c>
      <c r="AP13" s="177"/>
      <c r="AQ13" s="446"/>
      <c r="AR13" s="446"/>
      <c r="AS13" s="446"/>
      <c r="AT13" s="177"/>
      <c r="AU13" s="419"/>
      <c r="AV13" s="419"/>
      <c r="AW13" s="419"/>
      <c r="AX13" s="177"/>
      <c r="AY13" s="149"/>
      <c r="AZ13" s="149"/>
      <c r="BA13" s="149"/>
      <c r="BB13" s="149"/>
      <c r="BC13" s="149"/>
      <c r="BD13" s="149"/>
      <c r="BE13" s="149"/>
      <c r="BG13" s="448" t="str">
        <f ca="1">Horarios!Q12</f>
        <v>Cabo Verde</v>
      </c>
      <c r="BH13" s="449">
        <f t="shared" ca="1" si="0"/>
        <v>1</v>
      </c>
      <c r="BI13" s="449">
        <f ca="1">COUNTIF(Pool!$C$130:$C$161,Fixture!BG13)-BJ13-BK13-BL13-BM13-BN13-BO13</f>
        <v>0</v>
      </c>
      <c r="BJ13" s="450">
        <f ca="1">COUNTIF(Pool!$C$182:$C$197,Fixture!BG13)-BK13-BL13-BM13-BN13-BO13</f>
        <v>0</v>
      </c>
      <c r="BK13" s="451">
        <f ca="1">COUNTIF(Pool!$C$210:$C$217,Fixture!BG13)-BL13-BM13-BN13-BO13</f>
        <v>0</v>
      </c>
      <c r="BL13" s="451">
        <f ca="1">COUNTIF(Pool!$C$226:$C$229,Fixture!BG13)-BM13-BN13-BO13</f>
        <v>0</v>
      </c>
      <c r="BM13" s="449">
        <f ca="1">COUNTIF(Pool!$C$252,Fixture!BG13)</f>
        <v>0</v>
      </c>
      <c r="BN13" s="449">
        <f ca="1">COUNTIF(Pool!$C$251,Fixture!BG13)</f>
        <v>0</v>
      </c>
      <c r="BO13" s="452">
        <f ca="1">COUNTIF(Pool!$C$250,Fixture!BG13)</f>
        <v>0</v>
      </c>
    </row>
    <row r="14" spans="1:67">
      <c r="A14" s="177">
        <v>27</v>
      </c>
      <c r="B14" s="490"/>
      <c r="C14" s="430" t="str">
        <f ca="1">+MID(INDEX(WORLDCUP!$AA$4:$AA$147,MATCH(A14,WORLDCUP!$AH$4:$AH$147,0)),1,3)</f>
        <v>Can</v>
      </c>
      <c r="D14" s="431">
        <f>IF(ISBLANK(INDEX(WORLDCUP!$AC$4:$AC$147,MATCH(A14,WORLDCUP!$AH$4:$AH$147,0))),"",INDEX(WORLDCUP!$AC$4:$AC$147,MATCH(A14,WORLDCUP!$AH$4:$AH$147,0)))</f>
        <v>1</v>
      </c>
      <c r="E14" s="431">
        <f>IF(ISBLANK(INDEX(WORLDCUP!$AD$4:$AD$147,MATCH(A14,WORLDCUP!$AH$4:$AH$147,0))),"",INDEX(WORLDCUP!$AD$4:$AD$147,MATCH(A14,WORLDCUP!$AH$4:$AH$147,0)))</f>
        <v>0</v>
      </c>
      <c r="F14" s="432" t="str">
        <f ca="1">+MID(INDEX(WORLDCUP!$AF$4:$AF$147,MATCH(A14,WORLDCUP!$AH$4:$AH$147,0)),1,3)</f>
        <v>Cat</v>
      </c>
      <c r="G14" s="453">
        <v>3</v>
      </c>
      <c r="H14" s="454" t="str">
        <f ca="1">+MID(INDEX(WORLDCUP!$AL$6:$AL$97,MATCH(L14,WORLDCUP!$AI$6:$AI$97,0)),1,3)</f>
        <v>Bos</v>
      </c>
      <c r="I14" s="35">
        <f ca="1">+INDEX(WORLDCUP!$AM$6:$AM$97,MATCH(L14,WORLDCUP!$AI$6:$AI$97,0))</f>
        <v>3</v>
      </c>
      <c r="J14" s="36">
        <f ca="1">+INDEX(WORLDCUP!$AT$6:$AT$97,MATCH(L14,WORLDCUP!$AI$6:$AI$97,0))</f>
        <v>-2</v>
      </c>
      <c r="K14" s="40" t="str">
        <f ca="1">+INDEX(WORLDCUP!$AR$6:$AR$97,MATCH(L14,WORLDCUP!$AI$6:$AI$97,0))&amp;"-"&amp;INDEX(WORLDCUP!$AS$6:$AS$97,MATCH(L14,WORLDCUP!$AI$6:$AI$97,0))</f>
        <v>3-5</v>
      </c>
      <c r="L14" s="177" t="s">
        <v>91</v>
      </c>
      <c r="M14" s="177">
        <v>37</v>
      </c>
      <c r="N14" s="491"/>
      <c r="O14" s="430" t="str">
        <f ca="1">+MID(INDEX(WORLDCUP!$AA$4:$AA$147,MATCH(M14,WORLDCUP!$AH$4:$AH$147,0)),1,3)</f>
        <v>Uru</v>
      </c>
      <c r="P14" s="431">
        <f>IF(ISBLANK(INDEX(WORLDCUP!$AC$4:$AC$147,MATCH(M14,WORLDCUP!$AH$4:$AH$147,0))),"",INDEX(WORLDCUP!$AC$4:$AC$147,MATCH(M14,WORLDCUP!$AH$4:$AH$147,0)))</f>
        <v>3</v>
      </c>
      <c r="Q14" s="431">
        <f>IF(ISBLANK(INDEX(WORLDCUP!$AD$4:$AD$147,MATCH(M14,WORLDCUP!$AH$4:$AH$147,0))),"",INDEX(WORLDCUP!$AD$4:$AD$147,MATCH(M14,WORLDCUP!$AH$4:$AH$147,0)))</f>
        <v>0</v>
      </c>
      <c r="R14" s="432" t="str">
        <f ca="1">+MID(INDEX(WORLDCUP!$AF$4:$AF$147,MATCH(M14,WORLDCUP!$AH$4:$AH$147,0)),1,3)</f>
        <v>Cab</v>
      </c>
      <c r="S14" s="453">
        <v>3</v>
      </c>
      <c r="T14" s="454" t="str">
        <f ca="1">+MID(INDEX(WORLDCUP!$AL$6:$AL$97,MATCH(X14,WORLDCUP!$AI$6:$AI$97,0)),1,3)</f>
        <v>Ara</v>
      </c>
      <c r="U14" s="35">
        <f ca="1">+INDEX(WORLDCUP!$AM$6:$AM$97,MATCH(X14,WORLDCUP!$AI$6:$AI$97,0))</f>
        <v>4</v>
      </c>
      <c r="V14" s="36">
        <f ca="1">+INDEX(WORLDCUP!$AT$6:$AT$97,MATCH(X14,WORLDCUP!$AI$6:$AI$97,0))</f>
        <v>0</v>
      </c>
      <c r="W14" s="40" t="str">
        <f ca="1">+INDEX(WORLDCUP!$AR$6:$AR$97,MATCH(X14,WORLDCUP!$AI$6:$AI$97,0))&amp;"-"&amp;INDEX(WORLDCUP!$AS$6:$AS$97,MATCH(X14,WORLDCUP!$AI$6:$AI$97,0))</f>
        <v>3-3</v>
      </c>
      <c r="X14" s="177" t="s">
        <v>446</v>
      </c>
      <c r="Y14" s="177"/>
      <c r="Z14" s="411"/>
      <c r="AA14" s="480"/>
      <c r="AB14" s="480"/>
      <c r="AC14" s="480"/>
      <c r="AD14" s="177"/>
      <c r="AE14" s="415"/>
      <c r="AF14" s="415"/>
      <c r="AG14" s="415"/>
      <c r="AH14" s="177"/>
      <c r="AI14" s="445"/>
      <c r="AJ14" s="445"/>
      <c r="AK14" s="485"/>
      <c r="AL14" s="177">
        <v>101</v>
      </c>
      <c r="AM14" s="494" t="str">
        <f ca="1">+MID(INDEX(WORLDCUP!$AF$101:$AF$147,MATCH(AL14,WORLDCUP!$Z$101:$Z$147,0)),1,3)</f>
        <v>Esp</v>
      </c>
      <c r="AN14" s="495">
        <f>+IF(ISBLANK(INDEX(WORLDCUP!$AD$101:$AD$147,MATCH(AL14,WORLDCUP!$Z$101:$Z$147,0))),"",INDEX(WORLDCUP!$AD$101:$AD$147,MATCH(AL14,WORLDCUP!$Z$101:$Z$147,0)))</f>
        <v>1</v>
      </c>
      <c r="AO14" s="497" t="str">
        <f>+IF(ISBLANK(INDEX(WORLDCUP!$AE$101:$AE$147,MATCH(AL14,WORLDCUP!$Z$101:$Z$147,0))),"","( "&amp;INDEX(WORLDCUP!$AE$101:$AE$147,MATCH(AL14,WORLDCUP!$Z$101:$Z$147,0))&amp;" )")</f>
        <v>( 4 )</v>
      </c>
      <c r="AP14" s="177"/>
      <c r="AQ14" s="446"/>
      <c r="AR14" s="446"/>
      <c r="AS14" s="446"/>
      <c r="AT14" s="177"/>
      <c r="AU14" s="419"/>
      <c r="AV14" s="419"/>
      <c r="AW14" s="419"/>
      <c r="AX14" s="177"/>
      <c r="AY14" s="149"/>
      <c r="AZ14" s="149"/>
      <c r="BA14" s="149"/>
      <c r="BB14" s="149"/>
      <c r="BC14" s="149"/>
      <c r="BD14" s="149"/>
      <c r="BE14" s="149"/>
      <c r="BG14" s="448" t="str">
        <f ca="1">Horarios!Q13</f>
        <v>Canadá</v>
      </c>
      <c r="BH14" s="449">
        <f t="shared" ca="1" si="0"/>
        <v>0</v>
      </c>
      <c r="BI14" s="449">
        <f ca="1">COUNTIF(Pool!$C$130:$C$161,Fixture!BG14)-BJ14-BK14-BL14-BM14-BN14-BO14</f>
        <v>1</v>
      </c>
      <c r="BJ14" s="450">
        <f ca="1">COUNTIF(Pool!$C$182:$C$197,Fixture!BG14)-BK14-BL14-BM14-BN14-BO14</f>
        <v>0</v>
      </c>
      <c r="BK14" s="451">
        <f ca="1">COUNTIF(Pool!$C$210:$C$217,Fixture!BG14)-BL14-BM14-BN14-BO14</f>
        <v>0</v>
      </c>
      <c r="BL14" s="451">
        <f ca="1">COUNTIF(Pool!$C$226:$C$229,Fixture!BG14)-BM14-BN14-BO14</f>
        <v>0</v>
      </c>
      <c r="BM14" s="449">
        <f ca="1">COUNTIF(Pool!$C$252,Fixture!BG14)</f>
        <v>0</v>
      </c>
      <c r="BN14" s="449">
        <f ca="1">COUNTIF(Pool!$C$251,Fixture!BG14)</f>
        <v>0</v>
      </c>
      <c r="BO14" s="452">
        <f ca="1">COUNTIF(Pool!$C$250,Fixture!BG14)</f>
        <v>0</v>
      </c>
    </row>
    <row r="15" spans="1:67" ht="15" thickBot="1">
      <c r="A15" s="177">
        <v>51</v>
      </c>
      <c r="B15" s="490"/>
      <c r="C15" s="430" t="str">
        <f ca="1">+MID(INDEX(WORLDCUP!$AA$4:$AA$147,MATCH(A15,WORLDCUP!$AH$4:$AH$147,0)),1,3)</f>
        <v>Sui</v>
      </c>
      <c r="D15" s="431">
        <f>IF(ISBLANK(INDEX(WORLDCUP!$AC$4:$AC$147,MATCH(A15,WORLDCUP!$AH$4:$AH$147,0))),"",INDEX(WORLDCUP!$AC$4:$AC$147,MATCH(A15,WORLDCUP!$AH$4:$AH$147,0)))</f>
        <v>2</v>
      </c>
      <c r="E15" s="431">
        <f>IF(ISBLANK(INDEX(WORLDCUP!$AD$4:$AD$147,MATCH(A15,WORLDCUP!$AH$4:$AH$147,0))),"",INDEX(WORLDCUP!$AD$4:$AD$147,MATCH(A15,WORLDCUP!$AH$4:$AH$147,0)))</f>
        <v>3</v>
      </c>
      <c r="F15" s="432" t="str">
        <f ca="1">+MID(INDEX(WORLDCUP!$AF$4:$AF$147,MATCH(A15,WORLDCUP!$AH$4:$AH$147,0)),1,3)</f>
        <v>Can</v>
      </c>
      <c r="G15" s="453">
        <v>4</v>
      </c>
      <c r="H15" s="462" t="str">
        <f ca="1">+MID(INDEX(WORLDCUP!$AL$6:$AL$97,MATCH(L15,WORLDCUP!$AI$6:$AI$97,0)),1,3)</f>
        <v>Cat</v>
      </c>
      <c r="I15" s="463">
        <f ca="1">+INDEX(WORLDCUP!$AM$6:$AM$97,MATCH(L15,WORLDCUP!$AI$6:$AI$97,0))</f>
        <v>0</v>
      </c>
      <c r="J15" s="464">
        <f ca="1">+INDEX(WORLDCUP!$AT$6:$AT$97,MATCH(L15,WORLDCUP!$AI$6:$AI$97,0))</f>
        <v>-5</v>
      </c>
      <c r="K15" s="465" t="str">
        <f ca="1">+INDEX(WORLDCUP!$AR$6:$AR$97,MATCH(L15,WORLDCUP!$AI$6:$AI$97,0))&amp;"-"&amp;INDEX(WORLDCUP!$AS$6:$AS$97,MATCH(L15,WORLDCUP!$AI$6:$AI$97,0))</f>
        <v>0-5</v>
      </c>
      <c r="L15" s="177" t="s">
        <v>662</v>
      </c>
      <c r="M15" s="177">
        <v>65</v>
      </c>
      <c r="N15" s="491"/>
      <c r="O15" s="430" t="str">
        <f ca="1">+MID(INDEX(WORLDCUP!$AA$4:$AA$147,MATCH(M15,WORLDCUP!$AH$4:$AH$147,0)),1,3)</f>
        <v>Cab</v>
      </c>
      <c r="P15" s="431">
        <f>IF(ISBLANK(INDEX(WORLDCUP!$AC$4:$AC$147,MATCH(M15,WORLDCUP!$AH$4:$AH$147,0))),"",INDEX(WORLDCUP!$AC$4:$AC$147,MATCH(M15,WORLDCUP!$AH$4:$AH$147,0)))</f>
        <v>0</v>
      </c>
      <c r="Q15" s="431">
        <f>IF(ISBLANK(INDEX(WORLDCUP!$AD$4:$AD$147,MATCH(M15,WORLDCUP!$AH$4:$AH$147,0))),"",INDEX(WORLDCUP!$AD$4:$AD$147,MATCH(M15,WORLDCUP!$AH$4:$AH$147,0)))</f>
        <v>1</v>
      </c>
      <c r="R15" s="432" t="str">
        <f ca="1">+MID(INDEX(WORLDCUP!$AF$4:$AF$147,MATCH(M15,WORLDCUP!$AH$4:$AH$147,0)),1,3)</f>
        <v>Ara</v>
      </c>
      <c r="S15" s="453">
        <v>4</v>
      </c>
      <c r="T15" s="462" t="str">
        <f ca="1">+MID(INDEX(WORLDCUP!$AL$6:$AL$97,MATCH(X15,WORLDCUP!$AI$6:$AI$97,0)),1,3)</f>
        <v>Cab</v>
      </c>
      <c r="U15" s="463">
        <f ca="1">+INDEX(WORLDCUP!$AM$6:$AM$97,MATCH(X15,WORLDCUP!$AI$6:$AI$97,0))</f>
        <v>0</v>
      </c>
      <c r="V15" s="464">
        <f ca="1">+INDEX(WORLDCUP!$AT$6:$AT$97,MATCH(X15,WORLDCUP!$AI$6:$AI$97,0))</f>
        <v>-8</v>
      </c>
      <c r="W15" s="465" t="str">
        <f ca="1">+INDEX(WORLDCUP!$AR$6:$AR$97,MATCH(X15,WORLDCUP!$AI$6:$AI$97,0))&amp;"-"&amp;INDEX(WORLDCUP!$AS$6:$AS$97,MATCH(X15,WORLDCUP!$AI$6:$AI$97,0))</f>
        <v>0-8</v>
      </c>
      <c r="X15" s="177" t="s">
        <v>684</v>
      </c>
      <c r="Y15" s="177">
        <v>83</v>
      </c>
      <c r="Z15" s="411" t="s">
        <v>692</v>
      </c>
      <c r="AA15" s="412" t="str">
        <f ca="1">+MID(INDEX(WORLDCUP!$AA$101:$AA$147,MATCH(Y15,WORLDCUP!$Z$101:$Z$147,0)),1,3)</f>
        <v>Col</v>
      </c>
      <c r="AB15" s="413">
        <f>+IF(ISBLANK(INDEX(WORLDCUP!$AC$101:$AC$147,MATCH(Y15,WORLDCUP!$Z$101:$Z$147,0))),"",INDEX(WORLDCUP!$AC$101:$AC$147,MATCH(Y15,WORLDCUP!$Z$101:$Z$147,0)))</f>
        <v>2</v>
      </c>
      <c r="AC15" s="484" t="str">
        <f>+IF(ISBLANK(INDEX(WORLDCUP!$AB$101:$AB$147,MATCH(Y15,WORLDCUP!$Z$101:$Z$147,0))),"","( "&amp;INDEX(WORLDCUP!$AB$101:$AB$147,MATCH(Y15,WORLDCUP!$Z$101:$Z$147,0))&amp;" )")</f>
        <v/>
      </c>
      <c r="AD15" s="175"/>
      <c r="AE15" s="415"/>
      <c r="AF15" s="415"/>
      <c r="AG15" s="415"/>
      <c r="AH15" s="177"/>
      <c r="AI15" s="445"/>
      <c r="AJ15" s="445"/>
      <c r="AK15" s="485"/>
      <c r="AL15" s="401"/>
      <c r="AM15" s="417"/>
      <c r="AN15" s="417"/>
      <c r="AO15" s="498"/>
      <c r="AP15" s="401"/>
      <c r="AQ15" s="446"/>
      <c r="AR15" s="446"/>
      <c r="AS15" s="446"/>
      <c r="AT15" s="177"/>
      <c r="AU15" s="419"/>
      <c r="AV15" s="419"/>
      <c r="AW15" s="419"/>
      <c r="AX15" s="177"/>
      <c r="AY15" s="149"/>
      <c r="AZ15" s="149"/>
      <c r="BA15" s="149"/>
      <c r="BB15" s="149"/>
      <c r="BC15" s="149"/>
      <c r="BD15" s="149"/>
      <c r="BE15" s="149"/>
      <c r="BG15" s="448" t="str">
        <f ca="1">Horarios!Q14</f>
        <v>Catar</v>
      </c>
      <c r="BH15" s="449">
        <f t="shared" ca="1" si="0"/>
        <v>1</v>
      </c>
      <c r="BI15" s="449">
        <f ca="1">COUNTIF(Pool!$C$130:$C$161,Fixture!BG15)-BJ15-BK15-BL15-BM15-BN15-BO15</f>
        <v>0</v>
      </c>
      <c r="BJ15" s="450">
        <f ca="1">COUNTIF(Pool!$C$182:$C$197,Fixture!BG15)-BK15-BL15-BM15-BN15-BO15</f>
        <v>0</v>
      </c>
      <c r="BK15" s="451">
        <f ca="1">COUNTIF(Pool!$C$210:$C$217,Fixture!BG15)-BL15-BM15-BN15-BO15</f>
        <v>0</v>
      </c>
      <c r="BL15" s="451">
        <f ca="1">COUNTIF(Pool!$C$226:$C$229,Fixture!BG15)-BM15-BN15-BO15</f>
        <v>0</v>
      </c>
      <c r="BM15" s="449">
        <f ca="1">COUNTIF(Pool!$C$252,Fixture!BG15)</f>
        <v>0</v>
      </c>
      <c r="BN15" s="449">
        <f ca="1">COUNTIF(Pool!$C$251,Fixture!BG15)</f>
        <v>0</v>
      </c>
      <c r="BO15" s="452">
        <f ca="1">COUNTIF(Pool!$C$250,Fixture!BG15)</f>
        <v>0</v>
      </c>
    </row>
    <row r="16" spans="1:67" ht="15" thickBot="1">
      <c r="A16" s="177">
        <v>52</v>
      </c>
      <c r="B16" s="499"/>
      <c r="C16" s="473" t="str">
        <f ca="1">+MID(INDEX(WORLDCUP!$AA$4:$AA$147,MATCH(A16,WORLDCUP!$AH$4:$AH$147,0)),1,3)</f>
        <v>Bos</v>
      </c>
      <c r="D16" s="474">
        <f>IF(ISBLANK(INDEX(WORLDCUP!$AC$4:$AC$147,MATCH(A16,WORLDCUP!$AH$4:$AH$147,0))),"",INDEX(WORLDCUP!$AC$4:$AC$147,MATCH(A16,WORLDCUP!$AH$4:$AH$147,0)))</f>
        <v>1</v>
      </c>
      <c r="E16" s="474">
        <f>IF(ISBLANK(INDEX(WORLDCUP!$AD$4:$AD$147,MATCH(A16,WORLDCUP!$AH$4:$AH$147,0))),"",INDEX(WORLDCUP!$AD$4:$AD$147,MATCH(A16,WORLDCUP!$AH$4:$AH$147,0)))</f>
        <v>0</v>
      </c>
      <c r="F16" s="475" t="str">
        <f ca="1">+MID(INDEX(WORLDCUP!$AF$4:$AF$147,MATCH(A16,WORLDCUP!$AH$4:$AH$147,0)),1,3)</f>
        <v>Cat</v>
      </c>
      <c r="G16" s="476"/>
      <c r="H16" s="476"/>
      <c r="I16" s="477"/>
      <c r="J16" s="477"/>
      <c r="K16" s="478"/>
      <c r="L16" s="177"/>
      <c r="M16" s="177">
        <v>66</v>
      </c>
      <c r="N16" s="500"/>
      <c r="O16" s="473" t="str">
        <f ca="1">+MID(INDEX(WORLDCUP!$AA$4:$AA$147,MATCH(M16,WORLDCUP!$AH$4:$AH$147,0)),1,3)</f>
        <v>Uru</v>
      </c>
      <c r="P16" s="474">
        <f>IF(ISBLANK(INDEX(WORLDCUP!$AC$4:$AC$147,MATCH(M16,WORLDCUP!$AH$4:$AH$147,0))),"",INDEX(WORLDCUP!$AC$4:$AC$147,MATCH(M16,WORLDCUP!$AH$4:$AH$147,0)))</f>
        <v>1</v>
      </c>
      <c r="Q16" s="474">
        <f>IF(ISBLANK(INDEX(WORLDCUP!$AD$4:$AD$147,MATCH(M16,WORLDCUP!$AH$4:$AH$147,0))),"",INDEX(WORLDCUP!$AD$4:$AD$147,MATCH(M16,WORLDCUP!$AH$4:$AH$147,0)))</f>
        <v>1</v>
      </c>
      <c r="R16" s="475" t="str">
        <f ca="1">+MID(INDEX(WORLDCUP!$AF$4:$AF$147,MATCH(M16,WORLDCUP!$AH$4:$AH$147,0)),1,3)</f>
        <v>Esp</v>
      </c>
      <c r="S16" s="476"/>
      <c r="T16" s="476"/>
      <c r="U16" s="477"/>
      <c r="V16" s="477"/>
      <c r="W16" s="478"/>
      <c r="X16" s="177"/>
      <c r="Y16" s="177">
        <v>83</v>
      </c>
      <c r="Z16" s="411" t="s">
        <v>695</v>
      </c>
      <c r="AA16" s="412" t="str">
        <f ca="1">+MID(INDEX(WORLDCUP!$AF$101:$AF$147,MATCH(Y16,WORLDCUP!$Z$101:$Z$147,0)),1,3)</f>
        <v>Cro</v>
      </c>
      <c r="AB16" s="439">
        <f>+IF(ISBLANK(INDEX(WORLDCUP!$AD$101:$AD$147,MATCH(Y16,WORLDCUP!$Z$101:$Z$147,0))),"",INDEX(WORLDCUP!$AD$101:$AD$147,MATCH(Y16,WORLDCUP!$Z$101:$Z$147,0)))</f>
        <v>3</v>
      </c>
      <c r="AC16" s="440" t="str">
        <f>+IF(ISBLANK(INDEX(WORLDCUP!$AE$101:$AE$147,MATCH(Y16,WORLDCUP!$Z$101:$Z$147,0))),"","( "&amp;INDEX(WORLDCUP!$AE$101:$AE$147,MATCH(Y16,WORLDCUP!$Z$101:$Z$147,0))&amp;" )")</f>
        <v/>
      </c>
      <c r="AD16" s="441">
        <v>93</v>
      </c>
      <c r="AE16" s="442" t="str">
        <f ca="1">+MID(INDEX(WORLDCUP!$AA$101:$AA$147,MATCH(AD16,WORLDCUP!$Z$101:$Z$147,0)),1,3)</f>
        <v>Cro</v>
      </c>
      <c r="AF16" s="443">
        <f>+IF(ISBLANK(INDEX(WORLDCUP!$AC$101:$AC$147,MATCH(AD16,WORLDCUP!$Z$101:$Z$147,0))),"",INDEX(WORLDCUP!$AC$101:$AC$147,MATCH(AD16,WORLDCUP!$Z$101:$Z$147,0)))</f>
        <v>0</v>
      </c>
      <c r="AG16" s="444" t="str">
        <f>+IF(ISBLANK(INDEX(WORLDCUP!$AB$101:$AB$147,MATCH(AD16,WORLDCUP!$Z$101:$Z$147,0))),"","( "&amp;INDEX(WORLDCUP!$AB$101:$AB$147,MATCH(AD16,WORLDCUP!$Z$101:$Z$147,0))&amp;" )")</f>
        <v/>
      </c>
      <c r="AH16" s="177"/>
      <c r="AI16" s="445"/>
      <c r="AJ16" s="445"/>
      <c r="AK16" s="485"/>
      <c r="AL16" s="177"/>
      <c r="AM16" s="417"/>
      <c r="AN16" s="417"/>
      <c r="AO16" s="498"/>
      <c r="AP16" s="401"/>
      <c r="AQ16" s="446"/>
      <c r="AR16" s="446"/>
      <c r="AS16" s="446"/>
      <c r="AT16" s="177"/>
      <c r="AU16" s="419"/>
      <c r="AV16" s="419"/>
      <c r="AW16" s="419"/>
      <c r="AX16" s="177"/>
      <c r="AY16" s="149"/>
      <c r="AZ16" s="149"/>
      <c r="BA16" s="149"/>
      <c r="BB16" s="149"/>
      <c r="BC16" s="149"/>
      <c r="BD16" s="149"/>
      <c r="BE16" s="149"/>
      <c r="BG16" s="448" t="str">
        <f ca="1">Horarios!Q15</f>
        <v>Colombia</v>
      </c>
      <c r="BH16" s="449">
        <f t="shared" ca="1" si="0"/>
        <v>0</v>
      </c>
      <c r="BI16" s="449">
        <f ca="1">COUNTIF(Pool!$C$130:$C$161,Fixture!BG16)-BJ16-BK16-BL16-BM16-BN16-BO16</f>
        <v>1</v>
      </c>
      <c r="BJ16" s="450">
        <f ca="1">COUNTIF(Pool!$C$182:$C$197,Fixture!BG16)-BK16-BL16-BM16-BN16-BO16</f>
        <v>0</v>
      </c>
      <c r="BK16" s="451">
        <f ca="1">COUNTIF(Pool!$C$210:$C$217,Fixture!BG16)-BL16-BM16-BN16-BO16</f>
        <v>0</v>
      </c>
      <c r="BL16" s="451">
        <f ca="1">COUNTIF(Pool!$C$226:$C$229,Fixture!BG16)-BM16-BN16-BO16</f>
        <v>0</v>
      </c>
      <c r="BM16" s="449">
        <f ca="1">COUNTIF(Pool!$C$252,Fixture!BG16)</f>
        <v>0</v>
      </c>
      <c r="BN16" s="449">
        <f ca="1">COUNTIF(Pool!$C$251,Fixture!BG16)</f>
        <v>0</v>
      </c>
      <c r="BO16" s="452">
        <f ca="1">COUNTIF(Pool!$C$250,Fixture!BG16)</f>
        <v>0</v>
      </c>
    </row>
    <row r="17" spans="1:67">
      <c r="A17" s="177"/>
      <c r="B17" s="397"/>
      <c r="C17" s="482"/>
      <c r="D17" s="483"/>
      <c r="E17" s="483"/>
      <c r="F17" s="149"/>
      <c r="G17" s="149"/>
      <c r="H17" s="482"/>
      <c r="I17" s="149"/>
      <c r="J17" s="149"/>
      <c r="K17" s="149"/>
      <c r="L17" s="177"/>
      <c r="M17" s="177"/>
      <c r="N17" s="148"/>
      <c r="O17" s="482"/>
      <c r="P17" s="483"/>
      <c r="Q17" s="483"/>
      <c r="R17" s="149"/>
      <c r="S17" s="149"/>
      <c r="T17" s="482"/>
      <c r="U17" s="149"/>
      <c r="V17" s="149"/>
      <c r="W17" s="149"/>
      <c r="X17" s="177"/>
      <c r="Y17" s="177"/>
      <c r="Z17" s="411"/>
      <c r="AA17" s="455"/>
      <c r="AB17" s="455"/>
      <c r="AC17" s="456"/>
      <c r="AD17" s="177">
        <v>93</v>
      </c>
      <c r="AE17" s="442" t="str">
        <f ca="1">+MID(INDEX(WORLDCUP!$AF$101:$AF$147,MATCH(AD17,WORLDCUP!$Z$101:$Z$147,0)),1,3)</f>
        <v>Esp</v>
      </c>
      <c r="AF17" s="443">
        <f>+IF(ISBLANK(INDEX(WORLDCUP!$AD$101:$AD$147,MATCH(AD17,WORLDCUP!$Z$101:$Z$147,0))),"",INDEX(WORLDCUP!$AD$101:$AD$147,MATCH(AD17,WORLDCUP!$Z$101:$Z$147,0)))</f>
        <v>2</v>
      </c>
      <c r="AG17" s="501" t="str">
        <f>+IF(ISBLANK(INDEX(WORLDCUP!$AE$101:$AE$147,MATCH(AD17,WORLDCUP!$Z$101:$Z$147,0))),"","( "&amp;INDEX(WORLDCUP!$AE$101:$AE$147,MATCH(AD17,WORLDCUP!$Z$101:$Z$147,0))&amp;" )")</f>
        <v/>
      </c>
      <c r="AH17" s="177"/>
      <c r="AI17" s="445"/>
      <c r="AJ17" s="445"/>
      <c r="AK17" s="485"/>
      <c r="AL17" s="177"/>
      <c r="AM17" s="417"/>
      <c r="AN17" s="417"/>
      <c r="AO17" s="498"/>
      <c r="AP17" s="401"/>
      <c r="AQ17" s="446"/>
      <c r="AR17" s="446"/>
      <c r="AS17" s="446"/>
      <c r="AT17" s="177"/>
      <c r="AU17" s="419"/>
      <c r="AV17" s="419"/>
      <c r="AW17" s="419"/>
      <c r="AX17" s="177"/>
      <c r="AY17" s="149"/>
      <c r="AZ17" s="149"/>
      <c r="BA17" s="149"/>
      <c r="BB17" s="149"/>
      <c r="BC17" s="149"/>
      <c r="BD17" s="149"/>
      <c r="BE17" s="149"/>
      <c r="BG17" s="448" t="str">
        <f ca="1">Horarios!Q16</f>
        <v>Corea del Sur</v>
      </c>
      <c r="BH17" s="449">
        <f t="shared" ca="1" si="0"/>
        <v>0</v>
      </c>
      <c r="BI17" s="449">
        <f ca="1">COUNTIF(Pool!$C$130:$C$161,Fixture!BG17)-BJ17-BK17-BL17-BM17-BN17-BO17</f>
        <v>1</v>
      </c>
      <c r="BJ17" s="450">
        <f ca="1">COUNTIF(Pool!$C$182:$C$197,Fixture!BG17)-BK17-BL17-BM17-BN17-BO17</f>
        <v>0</v>
      </c>
      <c r="BK17" s="451">
        <f ca="1">COUNTIF(Pool!$C$210:$C$217,Fixture!BG17)-BL17-BM17-BN17-BO17</f>
        <v>0</v>
      </c>
      <c r="BL17" s="451">
        <f ca="1">COUNTIF(Pool!$C$226:$C$229,Fixture!BG17)-BM17-BN17-BO17</f>
        <v>0</v>
      </c>
      <c r="BM17" s="449">
        <f ca="1">COUNTIF(Pool!$C$252,Fixture!BG17)</f>
        <v>0</v>
      </c>
      <c r="BN17" s="449">
        <f ca="1">COUNTIF(Pool!$C$251,Fixture!BG17)</f>
        <v>0</v>
      </c>
      <c r="BO17" s="452">
        <f ca="1">COUNTIF(Pool!$C$250,Fixture!BG17)</f>
        <v>0</v>
      </c>
    </row>
    <row r="18" spans="1:67" ht="15" thickBot="1">
      <c r="A18" s="177"/>
      <c r="B18" s="397"/>
      <c r="C18" s="482"/>
      <c r="D18" s="483"/>
      <c r="E18" s="483"/>
      <c r="F18" s="149"/>
      <c r="G18" s="149"/>
      <c r="H18" s="482"/>
      <c r="I18" s="149"/>
      <c r="J18" s="149"/>
      <c r="K18" s="149"/>
      <c r="L18" s="177"/>
      <c r="M18" s="177"/>
      <c r="N18" s="148"/>
      <c r="O18" s="482"/>
      <c r="P18" s="483"/>
      <c r="Q18" s="483"/>
      <c r="R18" s="149"/>
      <c r="S18" s="149"/>
      <c r="T18" s="482"/>
      <c r="U18" s="149"/>
      <c r="V18" s="149"/>
      <c r="W18" s="149"/>
      <c r="X18" s="177"/>
      <c r="Y18" s="177">
        <v>84</v>
      </c>
      <c r="Z18" s="411" t="s">
        <v>682</v>
      </c>
      <c r="AA18" s="412" t="str">
        <f ca="1">+MID(INDEX(WORLDCUP!$AA$101:$AA$147,MATCH(Y18,WORLDCUP!$Z$101:$Z$147,0)),1,3)</f>
        <v>Esp</v>
      </c>
      <c r="AB18" s="458">
        <f>+IF(ISBLANK(INDEX(WORLDCUP!$AC$101:$AC$147,MATCH(Y18,WORLDCUP!$Z$101:$Z$147,0))),"",INDEX(WORLDCUP!$AC$101:$AC$147,MATCH(Y18,WORLDCUP!$Z$101:$Z$147,0)))</f>
        <v>4</v>
      </c>
      <c r="AC18" s="492" t="str">
        <f>+IF(ISBLANK(INDEX(WORLDCUP!$AB$101:$AB$147,MATCH(Y18,WORLDCUP!$Z$101:$Z$147,0))),"","( "&amp;INDEX(WORLDCUP!$AB$101:$AB$147,MATCH(Y18,WORLDCUP!$Z$101:$Z$147,0))&amp;" )")</f>
        <v/>
      </c>
      <c r="AD18" s="177"/>
      <c r="AE18" s="460"/>
      <c r="AF18" s="460"/>
      <c r="AG18" s="461"/>
      <c r="AH18" s="177"/>
      <c r="AI18" s="445"/>
      <c r="AJ18" s="445"/>
      <c r="AK18" s="485"/>
      <c r="AL18" s="177"/>
      <c r="AM18" s="417"/>
      <c r="AN18" s="417"/>
      <c r="AO18" s="498"/>
      <c r="AP18" s="401"/>
      <c r="AQ18" s="446"/>
      <c r="AR18" s="446"/>
      <c r="AS18" s="446"/>
      <c r="AT18" s="177"/>
      <c r="AU18" s="419"/>
      <c r="AV18" s="419"/>
      <c r="AW18" s="419"/>
      <c r="AX18" s="502" t="str">
        <f>Idiomas!D8</f>
        <v>XXIII Mundial USA/MEX/CAN 2026</v>
      </c>
      <c r="AY18" s="502"/>
      <c r="AZ18" s="503"/>
      <c r="BA18" s="503"/>
      <c r="BB18" s="503"/>
      <c r="BC18" s="503"/>
      <c r="BD18" s="503"/>
      <c r="BE18" s="503"/>
      <c r="BG18" s="448" t="str">
        <f ca="1">Horarios!Q17</f>
        <v>Costa de Marfil</v>
      </c>
      <c r="BH18" s="449">
        <f t="shared" ca="1" si="0"/>
        <v>0</v>
      </c>
      <c r="BI18" s="449">
        <f ca="1">COUNTIF(Pool!$C$130:$C$161,Fixture!BG18)-BJ18-BK18-BL18-BM18-BN18-BO18</f>
        <v>0</v>
      </c>
      <c r="BJ18" s="450">
        <f ca="1">COUNTIF(Pool!$C$182:$C$197,Fixture!BG18)-BK18-BL18-BM18-BN18-BO18</f>
        <v>1</v>
      </c>
      <c r="BK18" s="451">
        <f ca="1">COUNTIF(Pool!$C$210:$C$217,Fixture!BG18)-BL18-BM18-BN18-BO18</f>
        <v>0</v>
      </c>
      <c r="BL18" s="451">
        <f ca="1">COUNTIF(Pool!$C$226:$C$229,Fixture!BG18)-BM18-BN18-BO18</f>
        <v>0</v>
      </c>
      <c r="BM18" s="449">
        <f ca="1">COUNTIF(Pool!$C$252,Fixture!BG18)</f>
        <v>0</v>
      </c>
      <c r="BN18" s="449">
        <f ca="1">COUNTIF(Pool!$C$251,Fixture!BG18)</f>
        <v>0</v>
      </c>
      <c r="BO18" s="452">
        <f ca="1">COUNTIF(Pool!$C$250,Fixture!BG18)</f>
        <v>0</v>
      </c>
    </row>
    <row r="19" spans="1:67" ht="15" thickBot="1">
      <c r="A19" s="177">
        <v>7</v>
      </c>
      <c r="B19" s="504" t="s">
        <v>2</v>
      </c>
      <c r="C19" s="403" t="str">
        <f ca="1">+MID(INDEX(WORLDCUP!$AA$4:$AA$147,MATCH(A19,WORLDCUP!$AH$4:$AH$147,0)),1,3)</f>
        <v>Bra</v>
      </c>
      <c r="D19" s="404">
        <f>IF(ISBLANK(INDEX(WORLDCUP!$AC$4:$AC$147,MATCH(A19,WORLDCUP!$AH$4:$AH$147,0))),"",INDEX(WORLDCUP!$AC$4:$AC$147,MATCH(A19,WORLDCUP!$AH$4:$AH$147,0)))</f>
        <v>1</v>
      </c>
      <c r="E19" s="404">
        <f>IF(ISBLANK(INDEX(WORLDCUP!$AD$4:$AD$147,MATCH(A19,WORLDCUP!$AH$4:$AH$147,0))),"",INDEX(WORLDCUP!$AD$4:$AD$147,MATCH(A19,WORLDCUP!$AH$4:$AH$147,0)))</f>
        <v>2</v>
      </c>
      <c r="F19" s="405" t="str">
        <f ca="1">+MID(INDEX(WORLDCUP!$AF$4:$AF$147,MATCH(A19,WORLDCUP!$AH$4:$AH$147,0)),1,3)</f>
        <v>Mar</v>
      </c>
      <c r="G19" s="406"/>
      <c r="H19" s="407" t="str">
        <f>+H11</f>
        <v>Sel</v>
      </c>
      <c r="I19" s="408" t="str">
        <f>+I11</f>
        <v>Pts</v>
      </c>
      <c r="J19" s="408" t="str">
        <f>+J11</f>
        <v>DG</v>
      </c>
      <c r="K19" s="409" t="str">
        <f>+K11</f>
        <v>GF-GC</v>
      </c>
      <c r="L19" s="177"/>
      <c r="M19" s="177">
        <v>17</v>
      </c>
      <c r="N19" s="505" t="s">
        <v>448</v>
      </c>
      <c r="O19" s="403" t="str">
        <f ca="1">+MID(INDEX(WORLDCUP!$AA$4:$AA$147,MATCH(M19,WORLDCUP!$AH$4:$AH$147,0)),1,3)</f>
        <v>Fra</v>
      </c>
      <c r="P19" s="404">
        <f>IF(ISBLANK(INDEX(WORLDCUP!$AC$4:$AC$147,MATCH(M19,WORLDCUP!$AH$4:$AH$147,0))),"",INDEX(WORLDCUP!$AC$4:$AC$147,MATCH(M19,WORLDCUP!$AH$4:$AH$147,0)))</f>
        <v>2</v>
      </c>
      <c r="Q19" s="404">
        <f>IF(ISBLANK(INDEX(WORLDCUP!$AD$4:$AD$147,MATCH(M19,WORLDCUP!$AH$4:$AH$147,0))),"",INDEX(WORLDCUP!$AD$4:$AD$147,MATCH(M19,WORLDCUP!$AH$4:$AH$147,0)))</f>
        <v>1</v>
      </c>
      <c r="R19" s="405" t="str">
        <f ca="1">+MID(INDEX(WORLDCUP!$AF$4:$AF$147,MATCH(M19,WORLDCUP!$AH$4:$AH$147,0)),1,3)</f>
        <v>Sen</v>
      </c>
      <c r="S19" s="406"/>
      <c r="T19" s="407" t="str">
        <f>+T11</f>
        <v>Sel</v>
      </c>
      <c r="U19" s="408" t="str">
        <f>+U11</f>
        <v>Pts</v>
      </c>
      <c r="V19" s="408" t="str">
        <f>+V11</f>
        <v>DG</v>
      </c>
      <c r="W19" s="409" t="str">
        <f>+W11</f>
        <v>GF-GC</v>
      </c>
      <c r="X19" s="177"/>
      <c r="Y19" s="177">
        <v>84</v>
      </c>
      <c r="Z19" s="411" t="s">
        <v>689</v>
      </c>
      <c r="AA19" s="466" t="str">
        <f ca="1">+MID(INDEX(WORLDCUP!$AF$101:$AF$147,MATCH(Y19,WORLDCUP!$Z$101:$Z$147,0)),1,3)</f>
        <v>Arg</v>
      </c>
      <c r="AB19" s="467">
        <f>+IF(ISBLANK(INDEX(WORLDCUP!$AD$101:$AD$147,MATCH(Y19,WORLDCUP!$Z$101:$Z$147,0))),"",INDEX(WORLDCUP!$AD$101:$AD$147,MATCH(Y19,WORLDCUP!$Z$101:$Z$147,0)))</f>
        <v>1</v>
      </c>
      <c r="AC19" s="493" t="str">
        <f>+IF(ISBLANK(INDEX(WORLDCUP!$AE$101:$AE$147,MATCH(Y19,WORLDCUP!$Z$101:$Z$147,0))),"","( "&amp;INDEX(WORLDCUP!$AE$101:$AE$147,MATCH(Y19,WORLDCUP!$Z$101:$Z$147,0))&amp;" )")</f>
        <v/>
      </c>
      <c r="AD19" s="177"/>
      <c r="AE19" s="460"/>
      <c r="AF19" s="460"/>
      <c r="AG19" s="461"/>
      <c r="AH19" s="486">
        <v>98</v>
      </c>
      <c r="AI19" s="469" t="str">
        <f ca="1">+MID(INDEX(WORLDCUP!$AA$101:$AA$147,MATCH(AH19,WORLDCUP!$Z$101:$Z$147,0)),1,3)</f>
        <v>Esp</v>
      </c>
      <c r="AJ19" s="470">
        <f>+IF(ISBLANK(INDEX(WORLDCUP!$AC$101:$AC$147,MATCH(AH19,WORLDCUP!$Z$101:$Z$147,0))),"",INDEX(WORLDCUP!$AC$101:$AC$147,MATCH(AH19,WORLDCUP!$Z$101:$Z$147,0)))</f>
        <v>3</v>
      </c>
      <c r="AK19" s="506" t="str">
        <f>+IF(ISBLANK(INDEX(WORLDCUP!$AB$101:$AB$147,MATCH(AH19,WORLDCUP!$Z$101:$Z$147,0))),"","( "&amp;INDEX(WORLDCUP!$AB$101:$AB$147,MATCH(AH19,WORLDCUP!$Z$101:$Z$147,0))&amp;" )")</f>
        <v/>
      </c>
      <c r="AL19" s="177"/>
      <c r="AM19" s="417"/>
      <c r="AN19" s="417"/>
      <c r="AO19" s="498"/>
      <c r="AP19" s="401"/>
      <c r="AQ19" s="446"/>
      <c r="AR19" s="446"/>
      <c r="AS19" s="446"/>
      <c r="AT19" s="177"/>
      <c r="AU19" s="419"/>
      <c r="AV19" s="419"/>
      <c r="AW19" s="419"/>
      <c r="AX19" s="177"/>
      <c r="AY19" s="149"/>
      <c r="AZ19" s="149"/>
      <c r="BA19" s="149"/>
      <c r="BB19" s="149"/>
      <c r="BC19" s="149"/>
      <c r="BD19" s="149"/>
      <c r="BE19" s="149"/>
      <c r="BG19" s="448" t="str">
        <f ca="1">Horarios!Q18</f>
        <v>Croacia</v>
      </c>
      <c r="BH19" s="449">
        <f t="shared" ca="1" si="0"/>
        <v>0</v>
      </c>
      <c r="BI19" s="449">
        <f ca="1">COUNTIF(Pool!$C$130:$C$161,Fixture!BG19)-BJ19-BK19-BL19-BM19-BN19-BO19</f>
        <v>0</v>
      </c>
      <c r="BJ19" s="450">
        <f ca="1">COUNTIF(Pool!$C$182:$C$197,Fixture!BG19)-BK19-BL19-BM19-BN19-BO19</f>
        <v>1</v>
      </c>
      <c r="BK19" s="451">
        <f ca="1">COUNTIF(Pool!$C$210:$C$217,Fixture!BG19)-BL19-BM19-BN19-BO19</f>
        <v>0</v>
      </c>
      <c r="BL19" s="451">
        <f ca="1">COUNTIF(Pool!$C$226:$C$229,Fixture!BG19)-BM19-BN19-BO19</f>
        <v>0</v>
      </c>
      <c r="BM19" s="449">
        <f ca="1">COUNTIF(Pool!$C$252,Fixture!BG19)</f>
        <v>0</v>
      </c>
      <c r="BN19" s="449">
        <f ca="1">COUNTIF(Pool!$C$251,Fixture!BG19)</f>
        <v>0</v>
      </c>
      <c r="BO19" s="452">
        <f ca="1">COUNTIF(Pool!$C$250,Fixture!BG19)</f>
        <v>0</v>
      </c>
    </row>
    <row r="20" spans="1:67">
      <c r="A20" s="177">
        <v>5</v>
      </c>
      <c r="B20" s="507"/>
      <c r="C20" s="430" t="str">
        <f ca="1">+MID(INDEX(WORLDCUP!$AA$4:$AA$147,MATCH(A20,WORLDCUP!$AH$4:$AH$147,0)),1,3)</f>
        <v>Hai</v>
      </c>
      <c r="D20" s="431">
        <f>IF(ISBLANK(INDEX(WORLDCUP!$AC$4:$AC$147,MATCH(A20,WORLDCUP!$AH$4:$AH$147,0))),"",INDEX(WORLDCUP!$AC$4:$AC$147,MATCH(A20,WORLDCUP!$AH$4:$AH$147,0)))</f>
        <v>0</v>
      </c>
      <c r="E20" s="431">
        <f>IF(ISBLANK(INDEX(WORLDCUP!$AD$4:$AD$147,MATCH(A20,WORLDCUP!$AH$4:$AH$147,0))),"",INDEX(WORLDCUP!$AD$4:$AD$147,MATCH(A20,WORLDCUP!$AH$4:$AH$147,0)))</f>
        <v>2</v>
      </c>
      <c r="F20" s="432" t="str">
        <f ca="1">+MID(INDEX(WORLDCUP!$AF$4:$AF$147,MATCH(A20,WORLDCUP!$AH$4:$AH$147,0)),1,3)</f>
        <v>Esc</v>
      </c>
      <c r="G20" s="433">
        <v>1</v>
      </c>
      <c r="H20" s="434" t="str">
        <f ca="1">+MID(INDEX(WORLDCUP!$AL$6:$AL$97,MATCH(L20,WORLDCUP!$AI$6:$AI$97,0)),1,3)</f>
        <v>Mar</v>
      </c>
      <c r="I20" s="435">
        <f ca="1">+INDEX(WORLDCUP!$AM$6:$AM$97,MATCH(L20,WORLDCUP!$AI$6:$AI$97,0))</f>
        <v>9</v>
      </c>
      <c r="J20" s="436">
        <f ca="1">+INDEX(WORLDCUP!$AT$6:$AT$97,MATCH(L20,WORLDCUP!$AI$6:$AI$97,0))</f>
        <v>5</v>
      </c>
      <c r="K20" s="437" t="str">
        <f ca="1">+INDEX(WORLDCUP!$AR$6:$AR$97,MATCH(L20,WORLDCUP!$AI$6:$AI$97,0))&amp;"-"&amp;INDEX(WORLDCUP!$AS$6:$AS$97,MATCH(L20,WORLDCUP!$AI$6:$AI$97,0))</f>
        <v>6-1</v>
      </c>
      <c r="L20" s="177" t="s">
        <v>663</v>
      </c>
      <c r="M20" s="177">
        <v>18</v>
      </c>
      <c r="N20" s="508"/>
      <c r="O20" s="430" t="str">
        <f ca="1">+MID(INDEX(WORLDCUP!$AA$4:$AA$147,MATCH(M20,WORLDCUP!$AH$4:$AH$147,0)),1,3)</f>
        <v>Ira</v>
      </c>
      <c r="P20" s="431">
        <f>IF(ISBLANK(INDEX(WORLDCUP!$AC$4:$AC$147,MATCH(M20,WORLDCUP!$AH$4:$AH$147,0))),"",INDEX(WORLDCUP!$AC$4:$AC$147,MATCH(M20,WORLDCUP!$AH$4:$AH$147,0)))</f>
        <v>1</v>
      </c>
      <c r="Q20" s="431">
        <f>IF(ISBLANK(INDEX(WORLDCUP!$AD$4:$AD$147,MATCH(M20,WORLDCUP!$AH$4:$AH$147,0))),"",INDEX(WORLDCUP!$AD$4:$AD$147,MATCH(M20,WORLDCUP!$AH$4:$AH$147,0)))</f>
        <v>5</v>
      </c>
      <c r="R20" s="432" t="str">
        <f ca="1">+MID(INDEX(WORLDCUP!$AF$4:$AF$147,MATCH(M20,WORLDCUP!$AH$4:$AH$147,0)),1,3)</f>
        <v>Nor</v>
      </c>
      <c r="S20" s="433">
        <v>1</v>
      </c>
      <c r="T20" s="434" t="str">
        <f ca="1">+MID(INDEX(WORLDCUP!$AL$6:$AL$97,MATCH(X20,WORLDCUP!$AI$6:$AI$97,0)),1,3)</f>
        <v>Fra</v>
      </c>
      <c r="U20" s="435">
        <f ca="1">+INDEX(WORLDCUP!$AM$6:$AM$97,MATCH(X20,WORLDCUP!$AI$6:$AI$97,0))</f>
        <v>9</v>
      </c>
      <c r="V20" s="436">
        <f ca="1">+INDEX(WORLDCUP!$AT$6:$AT$97,MATCH(X20,WORLDCUP!$AI$6:$AI$97,0))</f>
        <v>5</v>
      </c>
      <c r="W20" s="437" t="str">
        <f ca="1">+INDEX(WORLDCUP!$AR$6:$AR$97,MATCH(X20,WORLDCUP!$AI$6:$AI$97,0))&amp;"-"&amp;INDEX(WORLDCUP!$AS$6:$AS$97,MATCH(X20,WORLDCUP!$AI$6:$AI$97,0))</f>
        <v>8-3</v>
      </c>
      <c r="X20" s="177" t="s">
        <v>685</v>
      </c>
      <c r="Y20" s="177"/>
      <c r="Z20" s="411"/>
      <c r="AA20" s="480"/>
      <c r="AB20" s="480"/>
      <c r="AC20" s="480"/>
      <c r="AD20" s="177"/>
      <c r="AE20" s="415"/>
      <c r="AF20" s="415"/>
      <c r="AG20" s="461"/>
      <c r="AH20" s="177">
        <v>98</v>
      </c>
      <c r="AI20" s="469" t="str">
        <f ca="1">+MID(INDEX(WORLDCUP!$AF$101:$AF$147,MATCH(AH20,WORLDCUP!$Z$101:$Z$147,0)),1,3)</f>
        <v>Tur</v>
      </c>
      <c r="AJ20" s="470">
        <f>+IF(ISBLANK(INDEX(WORLDCUP!$AD$101:$AD$147,MATCH(AH20,WORLDCUP!$Z$101:$Z$147,0))),"",INDEX(WORLDCUP!$AD$101:$AD$147,MATCH(AH20,WORLDCUP!$Z$101:$Z$147,0)))</f>
        <v>0</v>
      </c>
      <c r="AK20" s="445" t="str">
        <f>+IF(ISBLANK(INDEX(WORLDCUP!$AE$101:$AE$147,MATCH(AH20,WORLDCUP!$Z$101:$Z$147,0))),"","( "&amp;INDEX(WORLDCUP!$AE$101:$AE$147,MATCH(AH20,WORLDCUP!$Z$101:$Z$147,0))&amp;" )")</f>
        <v/>
      </c>
      <c r="AL20" s="177"/>
      <c r="AM20" s="417"/>
      <c r="AN20" s="417"/>
      <c r="AO20" s="498"/>
      <c r="AP20" s="177"/>
      <c r="AQ20" s="446"/>
      <c r="AR20" s="446"/>
      <c r="AS20" s="446"/>
      <c r="AT20" s="177"/>
      <c r="AU20" s="509"/>
      <c r="AV20" s="346"/>
      <c r="AW20" s="419"/>
      <c r="AX20" s="177"/>
      <c r="AY20" s="510"/>
      <c r="AZ20" s="511"/>
      <c r="BA20" s="511"/>
      <c r="BB20" s="511"/>
      <c r="BC20" s="512"/>
      <c r="BD20" s="149"/>
      <c r="BE20" s="149"/>
      <c r="BG20" s="448" t="str">
        <f ca="1">Horarios!Q19</f>
        <v>Curazao</v>
      </c>
      <c r="BH20" s="449">
        <f t="shared" ca="1" si="0"/>
        <v>1</v>
      </c>
      <c r="BI20" s="449">
        <f ca="1">COUNTIF(Pool!$C$130:$C$161,Fixture!BG20)-BJ20-BK20-BL20-BM20-BN20-BO20</f>
        <v>0</v>
      </c>
      <c r="BJ20" s="450">
        <f ca="1">COUNTIF(Pool!$C$182:$C$197,Fixture!BG20)-BK20-BL20-BM20-BN20-BO20</f>
        <v>0</v>
      </c>
      <c r="BK20" s="451">
        <f ca="1">COUNTIF(Pool!$C$210:$C$217,Fixture!BG20)-BL20-BM20-BN20-BO20</f>
        <v>0</v>
      </c>
      <c r="BL20" s="451">
        <f ca="1">COUNTIF(Pool!$C$226:$C$229,Fixture!BG20)-BM20-BN20-BO20</f>
        <v>0</v>
      </c>
      <c r="BM20" s="449">
        <f ca="1">COUNTIF(Pool!$C$252,Fixture!BG20)</f>
        <v>0</v>
      </c>
      <c r="BN20" s="449">
        <f ca="1">COUNTIF(Pool!$C$251,Fixture!BG20)</f>
        <v>0</v>
      </c>
      <c r="BO20" s="452">
        <f ca="1">COUNTIF(Pool!$C$250,Fixture!BG20)</f>
        <v>0</v>
      </c>
    </row>
    <row r="21" spans="1:67" ht="15" thickBot="1">
      <c r="A21" s="177">
        <v>30</v>
      </c>
      <c r="B21" s="507"/>
      <c r="C21" s="430" t="str">
        <f ca="1">+MID(INDEX(WORLDCUP!$AA$4:$AA$147,MATCH(A21,WORLDCUP!$AH$4:$AH$147,0)),1,3)</f>
        <v>Esc</v>
      </c>
      <c r="D21" s="431">
        <f>IF(ISBLANK(INDEX(WORLDCUP!$AC$4:$AC$147,MATCH(A21,WORLDCUP!$AH$4:$AH$147,0))),"",INDEX(WORLDCUP!$AC$4:$AC$147,MATCH(A21,WORLDCUP!$AH$4:$AH$147,0)))</f>
        <v>0</v>
      </c>
      <c r="E21" s="431">
        <f>IF(ISBLANK(INDEX(WORLDCUP!$AD$4:$AD$147,MATCH(A21,WORLDCUP!$AH$4:$AH$147,0))),"",INDEX(WORLDCUP!$AD$4:$AD$147,MATCH(A21,WORLDCUP!$AH$4:$AH$147,0)))</f>
        <v>2</v>
      </c>
      <c r="F21" s="432" t="str">
        <f ca="1">+MID(INDEX(WORLDCUP!$AF$4:$AF$147,MATCH(A21,WORLDCUP!$AH$4:$AH$147,0)),1,3)</f>
        <v>Mar</v>
      </c>
      <c r="G21" s="453">
        <v>2</v>
      </c>
      <c r="H21" s="454" t="str">
        <f ca="1">+MID(INDEX(WORLDCUP!$AL$6:$AL$97,MATCH(L21,WORLDCUP!$AI$6:$AI$97,0)),1,3)</f>
        <v>Bra</v>
      </c>
      <c r="I21" s="35">
        <f ca="1">+INDEX(WORLDCUP!$AM$6:$AM$97,MATCH(L21,WORLDCUP!$AI$6:$AI$97,0))</f>
        <v>6</v>
      </c>
      <c r="J21" s="36">
        <f ca="1">+INDEX(WORLDCUP!$AT$6:$AT$97,MATCH(L21,WORLDCUP!$AI$6:$AI$97,0))</f>
        <v>5</v>
      </c>
      <c r="K21" s="40" t="str">
        <f ca="1">+INDEX(WORLDCUP!$AR$6:$AR$97,MATCH(L21,WORLDCUP!$AI$6:$AI$97,0))&amp;"-"&amp;INDEX(WORLDCUP!$AS$6:$AS$97,MATCH(L21,WORLDCUP!$AI$6:$AI$97,0))</f>
        <v>7-2</v>
      </c>
      <c r="L21" s="177" t="s">
        <v>668</v>
      </c>
      <c r="M21" s="177">
        <v>42</v>
      </c>
      <c r="N21" s="508"/>
      <c r="O21" s="430" t="str">
        <f ca="1">+MID(INDEX(WORLDCUP!$AA$4:$AA$147,MATCH(M21,WORLDCUP!$AH$4:$AH$147,0)),1,3)</f>
        <v>Fra</v>
      </c>
      <c r="P21" s="431">
        <f>IF(ISBLANK(INDEX(WORLDCUP!$AC$4:$AC$147,MATCH(M21,WORLDCUP!$AH$4:$AH$147,0))),"",INDEX(WORLDCUP!$AC$4:$AC$147,MATCH(M21,WORLDCUP!$AH$4:$AH$147,0)))</f>
        <v>3</v>
      </c>
      <c r="Q21" s="431">
        <f>IF(ISBLANK(INDEX(WORLDCUP!$AD$4:$AD$147,MATCH(M21,WORLDCUP!$AH$4:$AH$147,0))),"",INDEX(WORLDCUP!$AD$4:$AD$147,MATCH(M21,WORLDCUP!$AH$4:$AH$147,0)))</f>
        <v>1</v>
      </c>
      <c r="R21" s="432" t="str">
        <f ca="1">+MID(INDEX(WORLDCUP!$AF$4:$AF$147,MATCH(M21,WORLDCUP!$AH$4:$AH$147,0)),1,3)</f>
        <v>Ira</v>
      </c>
      <c r="S21" s="453">
        <v>2</v>
      </c>
      <c r="T21" s="454" t="str">
        <f ca="1">+MID(INDEX(WORLDCUP!$AL$6:$AL$97,MATCH(X21,WORLDCUP!$AI$6:$AI$97,0)),1,3)</f>
        <v>Nor</v>
      </c>
      <c r="U21" s="35">
        <f ca="1">+INDEX(WORLDCUP!$AM$6:$AM$97,MATCH(X21,WORLDCUP!$AI$6:$AI$97,0))</f>
        <v>6</v>
      </c>
      <c r="V21" s="36">
        <f ca="1">+INDEX(WORLDCUP!$AT$6:$AT$97,MATCH(X21,WORLDCUP!$AI$6:$AI$97,0))</f>
        <v>3</v>
      </c>
      <c r="W21" s="40" t="str">
        <f ca="1">+INDEX(WORLDCUP!$AR$6:$AR$97,MATCH(X21,WORLDCUP!$AI$6:$AI$97,0))&amp;"-"&amp;INDEX(WORLDCUP!$AS$6:$AS$97,MATCH(X21,WORLDCUP!$AI$6:$AI$97,0))</f>
        <v>9-6</v>
      </c>
      <c r="X21" s="177" t="s">
        <v>686</v>
      </c>
      <c r="Y21" s="177">
        <v>81</v>
      </c>
      <c r="Z21" s="411" t="s">
        <v>670</v>
      </c>
      <c r="AA21" s="412" t="str">
        <f ca="1">+MID(INDEX(WORLDCUP!$AA$101:$AA$147,MATCH(Y21,WORLDCUP!$Z$101:$Z$147,0)),1,3)</f>
        <v>Tur</v>
      </c>
      <c r="AB21" s="413">
        <f>+IF(ISBLANK(INDEX(WORLDCUP!$AC$101:$AC$147,MATCH(Y21,WORLDCUP!$Z$101:$Z$147,0))),"",INDEX(WORLDCUP!$AC$101:$AC$147,MATCH(Y21,WORLDCUP!$Z$101:$Z$147,0)))</f>
        <v>3</v>
      </c>
      <c r="AC21" s="484" t="str">
        <f>+IF(ISBLANK(INDEX(WORLDCUP!$AB$101:$AB$147,MATCH(Y21,WORLDCUP!$Z$101:$Z$147,0))),"","( "&amp;INDEX(WORLDCUP!$AB$101:$AB$147,MATCH(Y21,WORLDCUP!$Z$101:$Z$147,0))&amp;" )")</f>
        <v/>
      </c>
      <c r="AD21" s="175"/>
      <c r="AE21" s="415"/>
      <c r="AF21" s="415"/>
      <c r="AG21" s="461"/>
      <c r="AH21" s="177"/>
      <c r="AI21" s="445"/>
      <c r="AJ21" s="445"/>
      <c r="AK21" s="445"/>
      <c r="AL21" s="177"/>
      <c r="AM21" s="417"/>
      <c r="AN21" s="417"/>
      <c r="AO21" s="498"/>
      <c r="AP21" s="177"/>
      <c r="AQ21" s="446"/>
      <c r="AR21" s="446"/>
      <c r="AS21" s="446"/>
      <c r="AT21" s="177"/>
      <c r="AU21" s="509"/>
      <c r="AV21" s="346"/>
      <c r="AW21" s="419"/>
      <c r="AX21" s="177"/>
      <c r="AY21" s="513"/>
      <c r="AZ21" s="514"/>
      <c r="BA21" s="514" t="str">
        <f ca="1">WORLDCUP!AA150</f>
        <v>España</v>
      </c>
      <c r="BB21" s="514"/>
      <c r="BC21" s="515"/>
      <c r="BD21" s="149"/>
      <c r="BE21" s="149"/>
      <c r="BG21" s="448" t="str">
        <f ca="1">Horarios!Q20</f>
        <v>Ecuador</v>
      </c>
      <c r="BH21" s="449">
        <f t="shared" ca="1" si="0"/>
        <v>0</v>
      </c>
      <c r="BI21" s="449">
        <f ca="1">COUNTIF(Pool!$C$130:$C$161,Fixture!BG21)-BJ21-BK21-BL21-BM21-BN21-BO21</f>
        <v>0</v>
      </c>
      <c r="BJ21" s="450">
        <f ca="1">COUNTIF(Pool!$C$182:$C$197,Fixture!BG21)-BK21-BL21-BM21-BN21-BO21</f>
        <v>1</v>
      </c>
      <c r="BK21" s="451">
        <f ca="1">COUNTIF(Pool!$C$210:$C$217,Fixture!BG21)-BL21-BM21-BN21-BO21</f>
        <v>0</v>
      </c>
      <c r="BL21" s="451">
        <f ca="1">COUNTIF(Pool!$C$226:$C$229,Fixture!BG21)-BM21-BN21-BO21</f>
        <v>0</v>
      </c>
      <c r="BM21" s="449">
        <f ca="1">COUNTIF(Pool!$C$252,Fixture!BG21)</f>
        <v>0</v>
      </c>
      <c r="BN21" s="449">
        <f ca="1">COUNTIF(Pool!$C$251,Fixture!BG21)</f>
        <v>0</v>
      </c>
      <c r="BO21" s="452">
        <f ca="1">COUNTIF(Pool!$C$250,Fixture!BG21)</f>
        <v>0</v>
      </c>
    </row>
    <row r="22" spans="1:67" ht="15" thickBot="1">
      <c r="A22" s="177">
        <v>29</v>
      </c>
      <c r="B22" s="507"/>
      <c r="C22" s="430" t="str">
        <f ca="1">+MID(INDEX(WORLDCUP!$AA$4:$AA$147,MATCH(A22,WORLDCUP!$AH$4:$AH$147,0)),1,3)</f>
        <v>Bra</v>
      </c>
      <c r="D22" s="431">
        <f>IF(ISBLANK(INDEX(WORLDCUP!$AC$4:$AC$147,MATCH(A22,WORLDCUP!$AH$4:$AH$147,0))),"",INDEX(WORLDCUP!$AC$4:$AC$147,MATCH(A22,WORLDCUP!$AH$4:$AH$147,0)))</f>
        <v>3</v>
      </c>
      <c r="E22" s="431">
        <f>IF(ISBLANK(INDEX(WORLDCUP!$AD$4:$AD$147,MATCH(A22,WORLDCUP!$AH$4:$AH$147,0))),"",INDEX(WORLDCUP!$AD$4:$AD$147,MATCH(A22,WORLDCUP!$AH$4:$AH$147,0)))</f>
        <v>0</v>
      </c>
      <c r="F22" s="432" t="str">
        <f ca="1">+MID(INDEX(WORLDCUP!$AF$4:$AF$147,MATCH(A22,WORLDCUP!$AH$4:$AH$147,0)),1,3)</f>
        <v>Hai</v>
      </c>
      <c r="G22" s="453">
        <v>3</v>
      </c>
      <c r="H22" s="454" t="str">
        <f ca="1">+MID(INDEX(WORLDCUP!$AL$6:$AL$97,MATCH(L22,WORLDCUP!$AI$6:$AI$97,0)),1,3)</f>
        <v>Esc</v>
      </c>
      <c r="I22" s="35">
        <f ca="1">+INDEX(WORLDCUP!$AM$6:$AM$97,MATCH(L22,WORLDCUP!$AI$6:$AI$97,0))</f>
        <v>3</v>
      </c>
      <c r="J22" s="36">
        <f ca="1">+INDEX(WORLDCUP!$AT$6:$AT$97,MATCH(L22,WORLDCUP!$AI$6:$AI$97,0))</f>
        <v>-3</v>
      </c>
      <c r="K22" s="40" t="str">
        <f ca="1">+INDEX(WORLDCUP!$AR$6:$AR$97,MATCH(L22,WORLDCUP!$AI$6:$AI$97,0))&amp;"-"&amp;INDEX(WORLDCUP!$AS$6:$AS$97,MATCH(L22,WORLDCUP!$AI$6:$AI$97,0))</f>
        <v>2-5</v>
      </c>
      <c r="L22" s="177" t="s">
        <v>92</v>
      </c>
      <c r="M22" s="177">
        <v>41</v>
      </c>
      <c r="N22" s="508"/>
      <c r="O22" s="430" t="str">
        <f ca="1">+MID(INDEX(WORLDCUP!$AA$4:$AA$147,MATCH(M22,WORLDCUP!$AH$4:$AH$147,0)),1,3)</f>
        <v>Nor</v>
      </c>
      <c r="P22" s="431">
        <f>IF(ISBLANK(INDEX(WORLDCUP!$AC$4:$AC$147,MATCH(M22,WORLDCUP!$AH$4:$AH$147,0))),"",INDEX(WORLDCUP!$AC$4:$AC$147,MATCH(M22,WORLDCUP!$AH$4:$AH$147,0)))</f>
        <v>3</v>
      </c>
      <c r="Q22" s="431">
        <f>IF(ISBLANK(INDEX(WORLDCUP!$AD$4:$AD$147,MATCH(M22,WORLDCUP!$AH$4:$AH$147,0))),"",INDEX(WORLDCUP!$AD$4:$AD$147,MATCH(M22,WORLDCUP!$AH$4:$AH$147,0)))</f>
        <v>2</v>
      </c>
      <c r="R22" s="432" t="str">
        <f ca="1">+MID(INDEX(WORLDCUP!$AF$4:$AF$147,MATCH(M22,WORLDCUP!$AH$4:$AH$147,0)),1,3)</f>
        <v>Sen</v>
      </c>
      <c r="S22" s="453">
        <v>3</v>
      </c>
      <c r="T22" s="454"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5-6</v>
      </c>
      <c r="X22" s="177" t="s">
        <v>450</v>
      </c>
      <c r="Y22" s="177">
        <v>81</v>
      </c>
      <c r="Z22" s="411" t="s">
        <v>738</v>
      </c>
      <c r="AA22" s="412" t="str">
        <f ca="1">+MID(INDEX(WORLDCUP!$AF$101:$AF$147,MATCH(Y22,WORLDCUP!$Z$101:$Z$147,0)),1,IF(WORLDCUP!$H$113&lt;144,6,3))</f>
        <v>Bos</v>
      </c>
      <c r="AB22" s="439">
        <f>+IF(ISBLANK(INDEX(WORLDCUP!$AD$101:$AD$147,MATCH(Y22,WORLDCUP!$Z$101:$Z$147,0))),"",INDEX(WORLDCUP!$AD$101:$AD$147,MATCH(Y22,WORLDCUP!$Z$101:$Z$147,0)))</f>
        <v>2</v>
      </c>
      <c r="AC22" s="440" t="str">
        <f>+IF(ISBLANK(INDEX(WORLDCUP!$AE$101:$AE$147,MATCH(Y22,WORLDCUP!$Z$101:$Z$147,0))),"","( "&amp;INDEX(WORLDCUP!$AE$101:$AE$147,MATCH(Y22,WORLDCUP!$Z$101:$Z$147,0))&amp;" )")</f>
        <v/>
      </c>
      <c r="AD22" s="441">
        <v>94</v>
      </c>
      <c r="AE22" s="442" t="str">
        <f ca="1">+MID(INDEX(WORLDCUP!$AA$101:$AA$147,MATCH(AD22,WORLDCUP!$Z$101:$Z$147,0)),1,3)</f>
        <v>Tur</v>
      </c>
      <c r="AF22" s="443">
        <f>+IF(ISBLANK(INDEX(WORLDCUP!$AC$101:$AC$147,MATCH(AD22,WORLDCUP!$Z$101:$Z$147,0))),"",INDEX(WORLDCUP!$AC$101:$AC$147,MATCH(AD22,WORLDCUP!$Z$101:$Z$147,0)))</f>
        <v>1</v>
      </c>
      <c r="AG22" s="487" t="str">
        <f>+IF(ISBLANK(INDEX(WORLDCUP!$AB$101:$AB$147,MATCH(AD22,WORLDCUP!$Z$101:$Z$147,0))),"","( "&amp;INDEX(WORLDCUP!$AB$101:$AB$147,MATCH(AD22,WORLDCUP!$Z$101:$Z$147,0))&amp;" )")</f>
        <v/>
      </c>
      <c r="AH22" s="177"/>
      <c r="AI22" s="445"/>
      <c r="AJ22" s="445"/>
      <c r="AK22" s="445"/>
      <c r="AL22" s="177"/>
      <c r="AM22" s="417"/>
      <c r="AN22" s="417"/>
      <c r="AO22" s="498"/>
      <c r="AP22" s="177"/>
      <c r="AQ22" s="446"/>
      <c r="AR22" s="446"/>
      <c r="AS22" s="446"/>
      <c r="AT22" s="177"/>
      <c r="AU22" s="509"/>
      <c r="AV22" s="346"/>
      <c r="AW22" s="419"/>
      <c r="AX22" s="177"/>
      <c r="AY22" s="513"/>
      <c r="AZ22" s="514"/>
      <c r="BA22" s="516"/>
      <c r="BB22" s="514"/>
      <c r="BC22" s="515"/>
      <c r="BD22" s="149"/>
      <c r="BE22" s="149"/>
      <c r="BG22" s="448" t="str">
        <f ca="1">Horarios!Q21</f>
        <v>Egipto</v>
      </c>
      <c r="BH22" s="449">
        <f t="shared" ca="1" si="0"/>
        <v>0</v>
      </c>
      <c r="BI22" s="449">
        <f ca="1">COUNTIF(Pool!$C$130:$C$161,Fixture!BG22)-BJ22-BK22-BL22-BM22-BN22-BO22</f>
        <v>0</v>
      </c>
      <c r="BJ22" s="450">
        <f ca="1">COUNTIF(Pool!$C$182:$C$197,Fixture!BG22)-BK22-BL22-BM22-BN22-BO22</f>
        <v>1</v>
      </c>
      <c r="BK22" s="451">
        <f ca="1">COUNTIF(Pool!$C$210:$C$217,Fixture!BG22)-BL22-BM22-BN22-BO22</f>
        <v>0</v>
      </c>
      <c r="BL22" s="451">
        <f ca="1">COUNTIF(Pool!$C$226:$C$229,Fixture!BG22)-BM22-BN22-BO22</f>
        <v>0</v>
      </c>
      <c r="BM22" s="449">
        <f ca="1">COUNTIF(Pool!$C$252,Fixture!BG22)</f>
        <v>0</v>
      </c>
      <c r="BN22" s="449">
        <f ca="1">COUNTIF(Pool!$C$251,Fixture!BG22)</f>
        <v>0</v>
      </c>
      <c r="BO22" s="452">
        <f ca="1">COUNTIF(Pool!$C$250,Fixture!BG22)</f>
        <v>0</v>
      </c>
    </row>
    <row r="23" spans="1:67">
      <c r="A23" s="177">
        <v>49</v>
      </c>
      <c r="B23" s="507"/>
      <c r="C23" s="430" t="str">
        <f ca="1">+MID(INDEX(WORLDCUP!$AA$4:$AA$147,MATCH(A23,WORLDCUP!$AH$4:$AH$147,0)),1,3)</f>
        <v>Esc</v>
      </c>
      <c r="D23" s="431">
        <f>IF(ISBLANK(INDEX(WORLDCUP!$AC$4:$AC$147,MATCH(A23,WORLDCUP!$AH$4:$AH$147,0))),"",INDEX(WORLDCUP!$AC$4:$AC$147,MATCH(A23,WORLDCUP!$AH$4:$AH$147,0)))</f>
        <v>0</v>
      </c>
      <c r="E23" s="431">
        <f>IF(ISBLANK(INDEX(WORLDCUP!$AD$4:$AD$147,MATCH(A23,WORLDCUP!$AH$4:$AH$147,0))),"",INDEX(WORLDCUP!$AD$4:$AD$147,MATCH(A23,WORLDCUP!$AH$4:$AH$147,0)))</f>
        <v>3</v>
      </c>
      <c r="F23" s="432" t="str">
        <f ca="1">+MID(INDEX(WORLDCUP!$AF$4:$AF$147,MATCH(A23,WORLDCUP!$AH$4:$AH$147,0)),1,3)</f>
        <v>Bra</v>
      </c>
      <c r="G23" s="453">
        <v>4</v>
      </c>
      <c r="H23" s="462" t="str">
        <f ca="1">+MID(INDEX(WORLDCUP!$AL$6:$AL$97,MATCH(L23,WORLDCUP!$AI$6:$AI$97,0)),1,3)</f>
        <v>Hai</v>
      </c>
      <c r="I23" s="463">
        <f ca="1">+INDEX(WORLDCUP!$AM$6:$AM$97,MATCH(L23,WORLDCUP!$AI$6:$AI$97,0))</f>
        <v>0</v>
      </c>
      <c r="J23" s="464">
        <f ca="1">+INDEX(WORLDCUP!$AT$6:$AT$97,MATCH(L23,WORLDCUP!$AI$6:$AI$97,0))</f>
        <v>-7</v>
      </c>
      <c r="K23" s="465" t="str">
        <f ca="1">+INDEX(WORLDCUP!$AR$6:$AR$97,MATCH(L23,WORLDCUP!$AI$6:$AI$97,0))&amp;"-"&amp;INDEX(WORLDCUP!$AS$6:$AS$97,MATCH(L23,WORLDCUP!$AI$6:$AI$97,0))</f>
        <v>0-7</v>
      </c>
      <c r="L23" s="177" t="s">
        <v>669</v>
      </c>
      <c r="M23" s="177">
        <v>61</v>
      </c>
      <c r="N23" s="508"/>
      <c r="O23" s="430" t="str">
        <f ca="1">+MID(INDEX(WORLDCUP!$AA$4:$AA$147,MATCH(M23,WORLDCUP!$AH$4:$AH$147,0)),1,3)</f>
        <v>Nor</v>
      </c>
      <c r="P23" s="431">
        <f>IF(ISBLANK(INDEX(WORLDCUP!$AC$4:$AC$147,MATCH(M23,WORLDCUP!$AH$4:$AH$147,0))),"",INDEX(WORLDCUP!$AC$4:$AC$147,MATCH(M23,WORLDCUP!$AH$4:$AH$147,0)))</f>
        <v>1</v>
      </c>
      <c r="Q23" s="431">
        <f>IF(ISBLANK(INDEX(WORLDCUP!$AD$4:$AD$147,MATCH(M23,WORLDCUP!$AH$4:$AH$147,0))),"",INDEX(WORLDCUP!$AD$4:$AD$147,MATCH(M23,WORLDCUP!$AH$4:$AH$147,0)))</f>
        <v>3</v>
      </c>
      <c r="R23" s="432" t="str">
        <f ca="1">+MID(INDEX(WORLDCUP!$AF$4:$AF$147,MATCH(M23,WORLDCUP!$AH$4:$AH$147,0)),1,3)</f>
        <v>Fra</v>
      </c>
      <c r="S23" s="453">
        <v>4</v>
      </c>
      <c r="T23" s="462" t="str">
        <f ca="1">+MID(INDEX(WORLDCUP!$AL$6:$AL$97,MATCH(X23,WORLDCUP!$AI$6:$AI$97,0)),1,3)</f>
        <v>Ira</v>
      </c>
      <c r="U23" s="463">
        <f ca="1">+INDEX(WORLDCUP!$AM$6:$AM$97,MATCH(X23,WORLDCUP!$AI$6:$AI$97,0))</f>
        <v>0</v>
      </c>
      <c r="V23" s="464">
        <f ca="1">+INDEX(WORLDCUP!$AT$6:$AT$97,MATCH(X23,WORLDCUP!$AI$6:$AI$97,0))</f>
        <v>-7</v>
      </c>
      <c r="W23" s="465" t="str">
        <f ca="1">+INDEX(WORLDCUP!$AR$6:$AR$97,MATCH(X23,WORLDCUP!$AI$6:$AI$97,0))&amp;"-"&amp;INDEX(WORLDCUP!$AS$6:$AS$97,MATCH(X23,WORLDCUP!$AI$6:$AI$97,0))</f>
        <v>3-10</v>
      </c>
      <c r="X23" s="177" t="s">
        <v>687</v>
      </c>
      <c r="Y23" s="177"/>
      <c r="Z23" s="411"/>
      <c r="AA23" s="455"/>
      <c r="AB23" s="455"/>
      <c r="AC23" s="456"/>
      <c r="AD23" s="177">
        <v>94</v>
      </c>
      <c r="AE23" s="442" t="str">
        <f ca="1">+MID(INDEX(WORLDCUP!$AF$101:$AF$147,MATCH(AD23,WORLDCUP!$Z$101:$Z$147,0)),1,3)</f>
        <v>Egi</v>
      </c>
      <c r="AF23" s="443">
        <f>+IF(ISBLANK(INDEX(WORLDCUP!$AD$101:$AD$147,MATCH(AD23,WORLDCUP!$Z$101:$Z$147,0))),"",INDEX(WORLDCUP!$AD$101:$AD$147,MATCH(AD23,WORLDCUP!$Z$101:$Z$147,0)))</f>
        <v>0</v>
      </c>
      <c r="AG23" s="460" t="str">
        <f>+IF(ISBLANK(INDEX(WORLDCUP!$AE$101:$AE$147,MATCH(AD23,WORLDCUP!$Z$101:$Z$147,0))),"","( "&amp;INDEX(WORLDCUP!$AE$101:$AE$147,MATCH(AD23,WORLDCUP!$Z$101:$Z$147,0))&amp;" )")</f>
        <v/>
      </c>
      <c r="AH23" s="177"/>
      <c r="AI23" s="445"/>
      <c r="AJ23" s="445"/>
      <c r="AK23" s="445"/>
      <c r="AL23" s="177"/>
      <c r="AM23" s="417"/>
      <c r="AN23" s="417"/>
      <c r="AO23" s="498"/>
      <c r="AP23" s="401"/>
      <c r="AQ23" s="446"/>
      <c r="AR23" s="446"/>
      <c r="AS23" s="446"/>
      <c r="AT23" s="177"/>
      <c r="AU23" s="419"/>
      <c r="AV23" s="419"/>
      <c r="AW23" s="419"/>
      <c r="AX23" s="177"/>
      <c r="AY23" s="513"/>
      <c r="AZ23" s="514"/>
      <c r="BA23" s="516"/>
      <c r="BB23" s="514" t="str">
        <f ca="1">+WORLDCUP!AA151</f>
        <v>Portugal</v>
      </c>
      <c r="BC23" s="515"/>
      <c r="BD23" s="149"/>
      <c r="BE23" s="149"/>
      <c r="BG23" s="448" t="str">
        <f ca="1">Horarios!Q22</f>
        <v>Escocia</v>
      </c>
      <c r="BH23" s="449">
        <f t="shared" ca="1" si="0"/>
        <v>1</v>
      </c>
      <c r="BI23" s="449">
        <f ca="1">COUNTIF(Pool!$C$130:$C$161,Fixture!BG23)-BJ23-BK23-BL23-BM23-BN23-BO23</f>
        <v>0</v>
      </c>
      <c r="BJ23" s="450">
        <f ca="1">COUNTIF(Pool!$C$182:$C$197,Fixture!BG23)-BK23-BL23-BM23-BN23-BO23</f>
        <v>0</v>
      </c>
      <c r="BK23" s="451">
        <f ca="1">COUNTIF(Pool!$C$210:$C$217,Fixture!BG23)-BL23-BM23-BN23-BO23</f>
        <v>0</v>
      </c>
      <c r="BL23" s="451">
        <f ca="1">COUNTIF(Pool!$C$226:$C$229,Fixture!BG23)-BM23-BN23-BO23</f>
        <v>0</v>
      </c>
      <c r="BM23" s="449">
        <f ca="1">COUNTIF(Pool!$C$252,Fixture!BG23)</f>
        <v>0</v>
      </c>
      <c r="BN23" s="449">
        <f ca="1">COUNTIF(Pool!$C$251,Fixture!BG23)</f>
        <v>0</v>
      </c>
      <c r="BO23" s="452">
        <f ca="1">COUNTIF(Pool!$C$250,Fixture!BG23)</f>
        <v>0</v>
      </c>
    </row>
    <row r="24" spans="1:67" ht="15" thickBot="1">
      <c r="A24" s="177">
        <v>50</v>
      </c>
      <c r="B24" s="517"/>
      <c r="C24" s="473" t="str">
        <f ca="1">+MID(INDEX(WORLDCUP!$AA$4:$AA$147,MATCH(A24,WORLDCUP!$AH$4:$AH$147,0)),1,3)</f>
        <v>Mar</v>
      </c>
      <c r="D24" s="474">
        <f>IF(ISBLANK(INDEX(WORLDCUP!$AC$4:$AC$147,MATCH(A24,WORLDCUP!$AH$4:$AH$147,0))),"",INDEX(WORLDCUP!$AC$4:$AC$147,MATCH(A24,WORLDCUP!$AH$4:$AH$147,0)))</f>
        <v>2</v>
      </c>
      <c r="E24" s="474">
        <f>IF(ISBLANK(INDEX(WORLDCUP!$AD$4:$AD$147,MATCH(A24,WORLDCUP!$AH$4:$AH$147,0))),"",INDEX(WORLDCUP!$AD$4:$AD$147,MATCH(A24,WORLDCUP!$AH$4:$AH$147,0)))</f>
        <v>0</v>
      </c>
      <c r="F24" s="475" t="str">
        <f ca="1">+MID(INDEX(WORLDCUP!$AF$4:$AF$147,MATCH(A24,WORLDCUP!$AH$4:$AH$147,0)),1,3)</f>
        <v>Hai</v>
      </c>
      <c r="G24" s="476"/>
      <c r="H24" s="476"/>
      <c r="I24" s="477"/>
      <c r="J24" s="477"/>
      <c r="K24" s="478"/>
      <c r="L24" s="177"/>
      <c r="M24" s="177">
        <v>62</v>
      </c>
      <c r="N24" s="518"/>
      <c r="O24" s="473" t="str">
        <f ca="1">+MID(INDEX(WORLDCUP!$AA$4:$AA$147,MATCH(M24,WORLDCUP!$AH$4:$AH$147,0)),1,3)</f>
        <v>Sen</v>
      </c>
      <c r="P24" s="474">
        <f>IF(ISBLANK(INDEX(WORLDCUP!$AC$4:$AC$147,MATCH(M24,WORLDCUP!$AH$4:$AH$147,0))),"",INDEX(WORLDCUP!$AC$4:$AC$147,MATCH(M24,WORLDCUP!$AH$4:$AH$147,0)))</f>
        <v>2</v>
      </c>
      <c r="Q24" s="474">
        <f>IF(ISBLANK(INDEX(WORLDCUP!$AD$4:$AD$147,MATCH(M24,WORLDCUP!$AH$4:$AH$147,0))),"",INDEX(WORLDCUP!$AD$4:$AD$147,MATCH(M24,WORLDCUP!$AH$4:$AH$147,0)))</f>
        <v>1</v>
      </c>
      <c r="R24" s="475" t="str">
        <f ca="1">+MID(INDEX(WORLDCUP!$AF$4:$AF$147,MATCH(M24,WORLDCUP!$AH$4:$AH$147,0)),1,3)</f>
        <v>Ira</v>
      </c>
      <c r="S24" s="476"/>
      <c r="T24" s="476"/>
      <c r="U24" s="477"/>
      <c r="V24" s="477"/>
      <c r="W24" s="478"/>
      <c r="X24" s="177"/>
      <c r="Y24" s="177">
        <v>82</v>
      </c>
      <c r="Z24" s="411" t="s">
        <v>679</v>
      </c>
      <c r="AA24" s="412" t="str">
        <f ca="1">+MID(INDEX(WORLDCUP!$AA$101:$AA$147,MATCH(Y24,WORLDCUP!$Z$101:$Z$147,0)),1,3)</f>
        <v>Egi</v>
      </c>
      <c r="AB24" s="458">
        <f>+IF(ISBLANK(INDEX(WORLDCUP!$AC$101:$AC$147,MATCH(Y24,WORLDCUP!$Z$101:$Z$147,0))),"",INDEX(WORLDCUP!$AC$101:$AC$147,MATCH(Y24,WORLDCUP!$Z$101:$Z$147,0)))</f>
        <v>1</v>
      </c>
      <c r="AC24" s="492" t="str">
        <f>+IF(ISBLANK(INDEX(WORLDCUP!$AB$101:$AB$147,MATCH(Y24,WORLDCUP!$Z$101:$Z$147,0))),"","( "&amp;INDEX(WORLDCUP!$AB$101:$AB$147,MATCH(Y24,WORLDCUP!$Z$101:$Z$147,0))&amp;" )")</f>
        <v>( 4 )</v>
      </c>
      <c r="AD24" s="177"/>
      <c r="AE24" s="415"/>
      <c r="AF24" s="415"/>
      <c r="AG24" s="415"/>
      <c r="AH24" s="177"/>
      <c r="AI24" s="445"/>
      <c r="AJ24" s="445"/>
      <c r="AK24" s="445"/>
      <c r="AL24" s="177"/>
      <c r="AM24" s="417"/>
      <c r="AN24" s="417"/>
      <c r="AO24" s="498"/>
      <c r="AP24" s="401"/>
      <c r="AQ24" s="446"/>
      <c r="AR24" s="446"/>
      <c r="AS24" s="446"/>
      <c r="AT24" s="177"/>
      <c r="AU24" s="419"/>
      <c r="AV24" s="419"/>
      <c r="AW24" s="419"/>
      <c r="AX24" s="177"/>
      <c r="AY24" s="513"/>
      <c r="AZ24" s="514"/>
      <c r="BA24" s="516"/>
      <c r="BB24" s="519"/>
      <c r="BC24" s="515"/>
      <c r="BD24" s="149"/>
      <c r="BE24" s="149"/>
      <c r="BG24" s="448" t="str">
        <f ca="1">Horarios!Q23</f>
        <v>España</v>
      </c>
      <c r="BH24" s="449">
        <f t="shared" ca="1" si="0"/>
        <v>0</v>
      </c>
      <c r="BI24" s="449">
        <f ca="1">COUNTIF(Pool!$C$130:$C$161,Fixture!BG24)-BJ24-BK24-BL24-BM24-BN24-BO24</f>
        <v>0</v>
      </c>
      <c r="BJ24" s="450">
        <f ca="1">COUNTIF(Pool!$C$182:$C$197,Fixture!BG24)-BK24-BL24-BM24-BN24-BO24</f>
        <v>0</v>
      </c>
      <c r="BK24" s="451">
        <f ca="1">COUNTIF(Pool!$C$210:$C$217,Fixture!BG24)-BL24-BM24-BN24-BO24</f>
        <v>0</v>
      </c>
      <c r="BL24" s="451">
        <f ca="1">COUNTIF(Pool!$C$226:$C$229,Fixture!BG24)-BM24-BN24-BO24</f>
        <v>0</v>
      </c>
      <c r="BM24" s="449">
        <f ca="1">COUNTIF(Pool!$C$252,Fixture!BG24)</f>
        <v>0</v>
      </c>
      <c r="BN24" s="449">
        <f ca="1">COUNTIF(Pool!$C$251,Fixture!BG24)</f>
        <v>0</v>
      </c>
      <c r="BO24" s="452">
        <f ca="1">COUNTIF(Pool!$C$250,Fixture!BG24)</f>
        <v>1</v>
      </c>
    </row>
    <row r="25" spans="1:67" ht="15" thickBot="1">
      <c r="A25" s="177"/>
      <c r="B25" s="397"/>
      <c r="C25" s="482"/>
      <c r="D25" s="483"/>
      <c r="E25" s="483"/>
      <c r="F25" s="149"/>
      <c r="G25" s="149"/>
      <c r="H25" s="482"/>
      <c r="I25" s="149"/>
      <c r="J25" s="149"/>
      <c r="K25" s="149"/>
      <c r="L25" s="177"/>
      <c r="M25" s="177"/>
      <c r="N25" s="148"/>
      <c r="O25" s="149"/>
      <c r="P25" s="149"/>
      <c r="Q25" s="149"/>
      <c r="R25" s="149"/>
      <c r="S25" s="149"/>
      <c r="T25" s="149"/>
      <c r="U25" s="149"/>
      <c r="V25" s="149"/>
      <c r="W25" s="149"/>
      <c r="X25" s="177"/>
      <c r="Y25" s="177">
        <v>82</v>
      </c>
      <c r="Z25" s="411" t="s">
        <v>739</v>
      </c>
      <c r="AA25" s="466" t="str">
        <f ca="1">+MID(INDEX(WORLDCUP!$AF$101:$AF$147,MATCH(Y25,WORLDCUP!$Z$101:$Z$147,0)),1,IF(WORLDCUP!$H$113&lt;144,6,3))</f>
        <v>Ara</v>
      </c>
      <c r="AB25" s="467">
        <f>+IF(ISBLANK(INDEX(WORLDCUP!$AD$101:$AD$147,MATCH(Y25,WORLDCUP!$Z$101:$Z$147,0))),"",INDEX(WORLDCUP!$AD$101:$AD$147,MATCH(Y25,WORLDCUP!$Z$101:$Z$147,0)))</f>
        <v>1</v>
      </c>
      <c r="AC25" s="493" t="str">
        <f>+IF(ISBLANK(INDEX(WORLDCUP!$AE$101:$AE$147,MATCH(Y25,WORLDCUP!$Z$101:$Z$147,0))),"","( "&amp;INDEX(WORLDCUP!$AE$101:$AE$147,MATCH(Y25,WORLDCUP!$Z$101:$Z$147,0))&amp;" )")</f>
        <v>( 2 )</v>
      </c>
      <c r="AD25" s="177"/>
      <c r="AE25" s="415"/>
      <c r="AF25" s="415"/>
      <c r="AG25" s="415"/>
      <c r="AH25" s="177"/>
      <c r="AI25" s="445"/>
      <c r="AJ25" s="445"/>
      <c r="AK25" s="445"/>
      <c r="AL25" s="177"/>
      <c r="AM25" s="417"/>
      <c r="AN25" s="417"/>
      <c r="AO25" s="498"/>
      <c r="AP25" s="520"/>
      <c r="AQ25" s="521"/>
      <c r="AR25" s="521"/>
      <c r="AS25" s="521"/>
      <c r="AT25" s="522">
        <v>104</v>
      </c>
      <c r="AU25" s="523" t="str">
        <f ca="1">+MID(INDEX(WORLDCUP!$AA$101:$AA$147,MATCH(AT25,WORLDCUP!$Z$101:$Z$147,0)),1,4)</f>
        <v>Espa</v>
      </c>
      <c r="AV25" s="524">
        <f>+IF(ISBLANK(INDEX(WORLDCUP!$AC$101:$AC$147,MATCH(AT25,WORLDCUP!$Z$101:$Z$147,0))),"",INDEX(WORLDCUP!$AC$101:$AC$147,MATCH(AT25,WORLDCUP!$Z$101:$Z$147,0)))</f>
        <v>3</v>
      </c>
      <c r="AW25" s="525" t="str">
        <f>+IF(ISBLANK(INDEX(WORLDCUP!$AB$101:$AB$147,MATCH(AT25,WORLDCUP!$Z$101:$Z$147,0))),"","( "&amp;INDEX(WORLDCUP!$AB$101:$AB$147,MATCH(AT25,WORLDCUP!$Z$101:$Z$147,0))&amp;" )")</f>
        <v/>
      </c>
      <c r="AX25" s="526"/>
      <c r="AY25" s="513"/>
      <c r="AZ25" s="514" t="str">
        <f ca="1">+WORLDCUP!AA152</f>
        <v>Francia</v>
      </c>
      <c r="BA25" s="516"/>
      <c r="BB25" s="519"/>
      <c r="BC25" s="515"/>
      <c r="BD25" s="149"/>
      <c r="BE25" s="149"/>
      <c r="BG25" s="448" t="str">
        <f ca="1">Horarios!Q24</f>
        <v>Estados Unidos</v>
      </c>
      <c r="BH25" s="449">
        <f t="shared" ca="1" si="0"/>
        <v>1</v>
      </c>
      <c r="BI25" s="449">
        <f ca="1">COUNTIF(Pool!$C$130:$C$161,Fixture!BG25)-BJ25-BK25-BL25-BM25-BN25-BO25</f>
        <v>0</v>
      </c>
      <c r="BJ25" s="450">
        <f ca="1">COUNTIF(Pool!$C$182:$C$197,Fixture!BG25)-BK25-BL25-BM25-BN25-BO25</f>
        <v>0</v>
      </c>
      <c r="BK25" s="451">
        <f ca="1">COUNTIF(Pool!$C$210:$C$217,Fixture!BG25)-BL25-BM25-BN25-BO25</f>
        <v>0</v>
      </c>
      <c r="BL25" s="451">
        <f ca="1">COUNTIF(Pool!$C$226:$C$229,Fixture!BG25)-BM25-BN25-BO25</f>
        <v>0</v>
      </c>
      <c r="BM25" s="449">
        <f ca="1">COUNTIF(Pool!$C$252,Fixture!BG25)</f>
        <v>0</v>
      </c>
      <c r="BN25" s="449">
        <f ca="1">COUNTIF(Pool!$C$251,Fixture!BG25)</f>
        <v>0</v>
      </c>
      <c r="BO25" s="452">
        <f ca="1">COUNTIF(Pool!$C$250,Fixture!BG25)</f>
        <v>0</v>
      </c>
    </row>
    <row r="26" spans="1:67" ht="15" thickBot="1">
      <c r="A26" s="177"/>
      <c r="B26" s="397"/>
      <c r="C26" s="482"/>
      <c r="D26" s="483"/>
      <c r="E26" s="483"/>
      <c r="F26" s="149"/>
      <c r="G26" s="149"/>
      <c r="H26" s="482"/>
      <c r="I26" s="149"/>
      <c r="J26" s="149"/>
      <c r="K26" s="149"/>
      <c r="L26" s="177"/>
      <c r="M26" s="177"/>
      <c r="N26" s="148"/>
      <c r="O26" s="149"/>
      <c r="P26" s="149"/>
      <c r="Q26" s="149"/>
      <c r="R26" s="149"/>
      <c r="S26" s="149"/>
      <c r="T26" s="149"/>
      <c r="U26" s="149"/>
      <c r="V26" s="149"/>
      <c r="W26" s="149"/>
      <c r="X26" s="177"/>
      <c r="Y26" s="177"/>
      <c r="Z26" s="411"/>
      <c r="AA26" s="480"/>
      <c r="AB26" s="480"/>
      <c r="AC26" s="480"/>
      <c r="AD26" s="177"/>
      <c r="AE26" s="415"/>
      <c r="AF26" s="415"/>
      <c r="AG26" s="460"/>
      <c r="AH26" s="177"/>
      <c r="AI26" s="445"/>
      <c r="AJ26" s="445"/>
      <c r="AK26" s="445"/>
      <c r="AL26" s="177"/>
      <c r="AM26" s="417"/>
      <c r="AN26" s="417"/>
      <c r="AO26" s="498"/>
      <c r="AP26" s="177"/>
      <c r="AQ26" s="446"/>
      <c r="AR26" s="446"/>
      <c r="AS26" s="446"/>
      <c r="AT26" s="177">
        <v>104</v>
      </c>
      <c r="AU26" s="523" t="str">
        <f ca="1">+MID(INDEX(WORLDCUP!$AF$101:$AF$147,MATCH(AT26,WORLDCUP!$Z$101:$Z$147,0)),1,4)</f>
        <v>Port</v>
      </c>
      <c r="AV26" s="524">
        <f>+IF(ISBLANK(INDEX(WORLDCUP!$AD$101:$AD$147,MATCH(AT26,WORLDCUP!$Z$101:$Z$147,0))),"",INDEX(WORLDCUP!$AD$101:$AD$147,MATCH(AT26,WORLDCUP!$Z$101:$Z$147,0)))</f>
        <v>2</v>
      </c>
      <c r="AW26" s="419" t="str">
        <f>+IF(ISBLANK(INDEX(WORLDCUP!$AE$101:$AE$147,MATCH(AT26,WORLDCUP!$Z$101:$Z$147,0))),"","( "&amp;INDEX(WORLDCUP!$AE$101:$AE$147,MATCH(AT26,WORLDCUP!$Z$101:$Z$147,0))&amp;" )")</f>
        <v/>
      </c>
      <c r="AX26" s="177"/>
      <c r="AY26" s="513"/>
      <c r="AZ26" s="527"/>
      <c r="BA26" s="516"/>
      <c r="BB26" s="519"/>
      <c r="BC26" s="515"/>
      <c r="BD26" s="149"/>
      <c r="BE26" s="149"/>
      <c r="BG26" s="448" t="str">
        <f ca="1">Horarios!Q25</f>
        <v>Francia</v>
      </c>
      <c r="BH26" s="449">
        <f t="shared" ca="1" si="0"/>
        <v>0</v>
      </c>
      <c r="BI26" s="449">
        <f ca="1">COUNTIF(Pool!$C$130:$C$161,Fixture!BG26)-BJ26-BK26-BL26-BM26-BN26-BO26</f>
        <v>0</v>
      </c>
      <c r="BJ26" s="450">
        <f ca="1">COUNTIF(Pool!$C$182:$C$197,Fixture!BG26)-BK26-BL26-BM26-BN26-BO26</f>
        <v>0</v>
      </c>
      <c r="BK26" s="451">
        <f ca="1">COUNTIF(Pool!$C$210:$C$217,Fixture!BG26)-BL26-BM26-BN26-BO26</f>
        <v>0</v>
      </c>
      <c r="BL26" s="451">
        <f ca="1">COUNTIF(Pool!$C$226:$C$229,Fixture!BG26)-BM26-BN26-BO26</f>
        <v>0</v>
      </c>
      <c r="BM26" s="449">
        <f ca="1">COUNTIF(Pool!$C$252,Fixture!BG26)</f>
        <v>1</v>
      </c>
      <c r="BN26" s="449">
        <f ca="1">COUNTIF(Pool!$C$251,Fixture!BG26)</f>
        <v>0</v>
      </c>
      <c r="BO26" s="452">
        <f ca="1">COUNTIF(Pool!$C$250,Fixture!BG26)</f>
        <v>0</v>
      </c>
    </row>
    <row r="27" spans="1:67" ht="15" thickBot="1">
      <c r="A27" s="177">
        <v>4</v>
      </c>
      <c r="B27" s="528" t="s">
        <v>74</v>
      </c>
      <c r="C27" s="403" t="str">
        <f ca="1">+MID(INDEX(WORLDCUP!$AA$4:$AA$147,MATCH(A27,WORLDCUP!$AH$4:$AH$147,0)),1,3)</f>
        <v>Est</v>
      </c>
      <c r="D27" s="404">
        <f>IF(ISBLANK(INDEX(WORLDCUP!$AC$4:$AC$147,MATCH(A27,WORLDCUP!$AH$4:$AH$147,0))),"",INDEX(WORLDCUP!$AC$4:$AC$147,MATCH(A27,WORLDCUP!$AH$4:$AH$147,0)))</f>
        <v>0</v>
      </c>
      <c r="E27" s="404">
        <f>IF(ISBLANK(INDEX(WORLDCUP!$AD$4:$AD$147,MATCH(A27,WORLDCUP!$AH$4:$AH$147,0))),"",INDEX(WORLDCUP!$AD$4:$AD$147,MATCH(A27,WORLDCUP!$AH$4:$AH$147,0)))</f>
        <v>2</v>
      </c>
      <c r="F27" s="405" t="str">
        <f ca="1">+MID(INDEX(WORLDCUP!$AF$4:$AF$147,MATCH(A27,WORLDCUP!$AH$4:$AH$147,0)),1,3)</f>
        <v>Par</v>
      </c>
      <c r="G27" s="406"/>
      <c r="H27" s="407" t="str">
        <f>+H19</f>
        <v>Sel</v>
      </c>
      <c r="I27" s="408" t="str">
        <f>+I19</f>
        <v>Pts</v>
      </c>
      <c r="J27" s="408" t="str">
        <f>+J19</f>
        <v>DG</v>
      </c>
      <c r="K27" s="409" t="str">
        <f>+K19</f>
        <v>GF-GC</v>
      </c>
      <c r="L27" s="177"/>
      <c r="M27" s="177">
        <v>19</v>
      </c>
      <c r="N27" s="529" t="s">
        <v>5</v>
      </c>
      <c r="O27" s="403" t="str">
        <f ca="1">+MID(INDEX(WORLDCUP!$AA$4:$AA$147,MATCH(M27,WORLDCUP!$AH$4:$AH$147,0)),1,3)</f>
        <v>Arg</v>
      </c>
      <c r="P27" s="404">
        <f>IF(ISBLANK(INDEX(WORLDCUP!$AC$4:$AC$147,MATCH(M27,WORLDCUP!$AH$4:$AH$147,0))),"",INDEX(WORLDCUP!$AC$4:$AC$147,MATCH(M27,WORLDCUP!$AH$4:$AH$147,0)))</f>
        <v>3</v>
      </c>
      <c r="Q27" s="404">
        <f>IF(ISBLANK(INDEX(WORLDCUP!$AD$4:$AD$147,MATCH(M27,WORLDCUP!$AH$4:$AH$147,0))),"",INDEX(WORLDCUP!$AD$4:$AD$147,MATCH(M27,WORLDCUP!$AH$4:$AH$147,0)))</f>
        <v>0</v>
      </c>
      <c r="R27" s="405" t="str">
        <f ca="1">+MID(INDEX(WORLDCUP!$AF$4:$AF$147,MATCH(M27,WORLDCUP!$AH$4:$AH$147,0)),1,3)</f>
        <v>Arg</v>
      </c>
      <c r="S27" s="406"/>
      <c r="T27" s="407" t="str">
        <f>+T19</f>
        <v>Sel</v>
      </c>
      <c r="U27" s="408" t="str">
        <f>+U19</f>
        <v>Pts</v>
      </c>
      <c r="V27" s="408" t="str">
        <f>+V19</f>
        <v>DG</v>
      </c>
      <c r="W27" s="409" t="str">
        <f>+W19</f>
        <v>GF-GC</v>
      </c>
      <c r="X27" s="177"/>
      <c r="Y27" s="177">
        <v>76</v>
      </c>
      <c r="Z27" s="411" t="s">
        <v>663</v>
      </c>
      <c r="AA27" s="412" t="str">
        <f ca="1">+MID(INDEX(WORLDCUP!$AA$101:$AA$147,MATCH(Y27,WORLDCUP!$Z$101:$Z$147,0)),1,3)</f>
        <v>Mar</v>
      </c>
      <c r="AB27" s="413">
        <f>+IF(ISBLANK(INDEX(WORLDCUP!$AC$101:$AC$147,MATCH(Y27,WORLDCUP!$Z$101:$Z$147,0))),"",INDEX(WORLDCUP!$AC$101:$AC$147,MATCH(Y27,WORLDCUP!$Z$101:$Z$147,0)))</f>
        <v>0</v>
      </c>
      <c r="AC27" s="484" t="str">
        <f>+IF(ISBLANK(INDEX(WORLDCUP!$AB$101:$AB$147,MATCH(Y27,WORLDCUP!$Z$101:$Z$147,0))),"","( "&amp;INDEX(WORLDCUP!$AB$101:$AB$147,MATCH(Y27,WORLDCUP!$Z$101:$Z$147,0))&amp;" )")</f>
        <v/>
      </c>
      <c r="AD27" s="175"/>
      <c r="AE27" s="415"/>
      <c r="AF27" s="415"/>
      <c r="AG27" s="415"/>
      <c r="AH27" s="177"/>
      <c r="AI27" s="445"/>
      <c r="AJ27" s="445"/>
      <c r="AK27" s="445"/>
      <c r="AL27" s="177"/>
      <c r="AM27" s="417"/>
      <c r="AN27" s="417"/>
      <c r="AO27" s="498"/>
      <c r="AP27" s="401"/>
      <c r="AQ27" s="446"/>
      <c r="AR27" s="446"/>
      <c r="AS27" s="446"/>
      <c r="AT27" s="177"/>
      <c r="AU27" s="419"/>
      <c r="AV27" s="419"/>
      <c r="AW27" s="419"/>
      <c r="AX27" s="177"/>
      <c r="AY27" s="513"/>
      <c r="AZ27" s="527"/>
      <c r="BA27" s="516"/>
      <c r="BB27" s="519"/>
      <c r="BC27" s="515"/>
      <c r="BD27" s="149"/>
      <c r="BE27" s="149"/>
      <c r="BG27" s="448" t="str">
        <f ca="1">Horarios!Q26</f>
        <v>Ghana</v>
      </c>
      <c r="BH27" s="449">
        <f t="shared" ca="1" si="0"/>
        <v>0</v>
      </c>
      <c r="BI27" s="449">
        <f ca="1">COUNTIF(Pool!$C$130:$C$161,Fixture!BG27)-BJ27-BK27-BL27-BM27-BN27-BO27</f>
        <v>1</v>
      </c>
      <c r="BJ27" s="450">
        <f ca="1">COUNTIF(Pool!$C$182:$C$197,Fixture!BG27)-BK27-BL27-BM27-BN27-BO27</f>
        <v>0</v>
      </c>
      <c r="BK27" s="451">
        <f ca="1">COUNTIF(Pool!$C$210:$C$217,Fixture!BG27)-BL27-BM27-BN27-BO27</f>
        <v>0</v>
      </c>
      <c r="BL27" s="451">
        <f ca="1">COUNTIF(Pool!$C$226:$C$229,Fixture!BG27)-BM27-BN27-BO27</f>
        <v>0</v>
      </c>
      <c r="BM27" s="449">
        <f ca="1">COUNTIF(Pool!$C$252,Fixture!BG27)</f>
        <v>0</v>
      </c>
      <c r="BN27" s="449">
        <f ca="1">COUNTIF(Pool!$C$251,Fixture!BG27)</f>
        <v>0</v>
      </c>
      <c r="BO27" s="452">
        <f ca="1">COUNTIF(Pool!$C$250,Fixture!BG27)</f>
        <v>0</v>
      </c>
    </row>
    <row r="28" spans="1:67" ht="15" thickBot="1">
      <c r="A28" s="177">
        <v>6</v>
      </c>
      <c r="B28" s="530"/>
      <c r="C28" s="430" t="str">
        <f ca="1">+MID(INDEX(WORLDCUP!$AA$4:$AA$147,MATCH(A28,WORLDCUP!$AH$4:$AH$147,0)),1,3)</f>
        <v>Aus</v>
      </c>
      <c r="D28" s="431">
        <f>IF(ISBLANK(INDEX(WORLDCUP!$AC$4:$AC$147,MATCH(A28,WORLDCUP!$AH$4:$AH$147,0))),"",INDEX(WORLDCUP!$AC$4:$AC$147,MATCH(A28,WORLDCUP!$AH$4:$AH$147,0)))</f>
        <v>2</v>
      </c>
      <c r="E28" s="431">
        <f>IF(ISBLANK(INDEX(WORLDCUP!$AD$4:$AD$147,MATCH(A28,WORLDCUP!$AH$4:$AH$147,0))),"",INDEX(WORLDCUP!$AD$4:$AD$147,MATCH(A28,WORLDCUP!$AH$4:$AH$147,0)))</f>
        <v>2</v>
      </c>
      <c r="F28" s="432" t="str">
        <f ca="1">+MID(INDEX(WORLDCUP!$AF$4:$AF$147,MATCH(A28,WORLDCUP!$AH$4:$AH$147,0)),1,3)</f>
        <v>Tur</v>
      </c>
      <c r="G28" s="433">
        <v>1</v>
      </c>
      <c r="H28" s="434" t="str">
        <f ca="1">+MID(INDEX(WORLDCUP!$AL$6:$AL$97,MATCH(L28,WORLDCUP!$AI$6:$AI$97,0)),1,3)</f>
        <v>Tur</v>
      </c>
      <c r="I28" s="435">
        <f ca="1">+INDEX(WORLDCUP!$AM$6:$AM$97,MATCH(L28,WORLDCUP!$AI$6:$AI$97,0))</f>
        <v>5</v>
      </c>
      <c r="J28" s="436">
        <f ca="1">+INDEX(WORLDCUP!$AT$6:$AT$97,MATCH(L28,WORLDCUP!$AI$6:$AI$97,0))</f>
        <v>2</v>
      </c>
      <c r="K28" s="437" t="str">
        <f ca="1">+INDEX(WORLDCUP!$AR$6:$AR$97,MATCH(L28,WORLDCUP!$AI$6:$AI$97,0))&amp;"-"&amp;INDEX(WORLDCUP!$AS$6:$AS$97,MATCH(L28,WORLDCUP!$AI$6:$AI$97,0))</f>
        <v>5-3</v>
      </c>
      <c r="L28" s="177" t="s">
        <v>670</v>
      </c>
      <c r="M28" s="177">
        <v>20</v>
      </c>
      <c r="N28" s="531"/>
      <c r="O28" s="430" t="str">
        <f ca="1">+MID(INDEX(WORLDCUP!$AA$4:$AA$147,MATCH(M28,WORLDCUP!$AH$4:$AH$147,0)),1,3)</f>
        <v>Aus</v>
      </c>
      <c r="P28" s="431">
        <f>IF(ISBLANK(INDEX(WORLDCUP!$AC$4:$AC$147,MATCH(M28,WORLDCUP!$AH$4:$AH$147,0))),"",INDEX(WORLDCUP!$AC$4:$AC$147,MATCH(M28,WORLDCUP!$AH$4:$AH$147,0)))</f>
        <v>1</v>
      </c>
      <c r="Q28" s="431">
        <f>IF(ISBLANK(INDEX(WORLDCUP!$AD$4:$AD$147,MATCH(M28,WORLDCUP!$AH$4:$AH$147,0))),"",INDEX(WORLDCUP!$AD$4:$AD$147,MATCH(M28,WORLDCUP!$AH$4:$AH$147,0)))</f>
        <v>0</v>
      </c>
      <c r="R28" s="432" t="str">
        <f ca="1">+MID(INDEX(WORLDCUP!$AF$4:$AF$147,MATCH(M28,WORLDCUP!$AH$4:$AH$147,0)),1,3)</f>
        <v>Jor</v>
      </c>
      <c r="S28" s="433">
        <v>1</v>
      </c>
      <c r="T28" s="434" t="str">
        <f ca="1">+MID(INDEX(WORLDCUP!$AL$6:$AL$97,MATCH(X28,WORLDCUP!$AI$6:$AI$97,0)),1,3)</f>
        <v>Arg</v>
      </c>
      <c r="U28" s="435">
        <f ca="1">+INDEX(WORLDCUP!$AM$6:$AM$97,MATCH(X28,WORLDCUP!$AI$6:$AI$97,0))</f>
        <v>9</v>
      </c>
      <c r="V28" s="436">
        <f ca="1">+INDEX(WORLDCUP!$AT$6:$AT$97,MATCH(X28,WORLDCUP!$AI$6:$AI$97,0))</f>
        <v>8</v>
      </c>
      <c r="W28" s="437" t="str">
        <f ca="1">+INDEX(WORLDCUP!$AR$6:$AR$97,MATCH(X28,WORLDCUP!$AI$6:$AI$97,0))&amp;"-"&amp;INDEX(WORLDCUP!$AS$6:$AS$97,MATCH(X28,WORLDCUP!$AI$6:$AI$97,0))</f>
        <v>8-0</v>
      </c>
      <c r="X28" s="177" t="s">
        <v>688</v>
      </c>
      <c r="Y28" s="177">
        <v>76</v>
      </c>
      <c r="Z28" s="411" t="s">
        <v>677</v>
      </c>
      <c r="AA28" s="412" t="str">
        <f ca="1">+MID(INDEX(WORLDCUP!$AF$101:$AF$147,MATCH(Y28,WORLDCUP!$Z$101:$Z$147,0)),1,3)</f>
        <v>Paí</v>
      </c>
      <c r="AB28" s="439">
        <f>+IF(ISBLANK(INDEX(WORLDCUP!$AD$101:$AD$147,MATCH(Y28,WORLDCUP!$Z$101:$Z$147,0))),"",INDEX(WORLDCUP!$AD$101:$AD$147,MATCH(Y28,WORLDCUP!$Z$101:$Z$147,0)))</f>
        <v>2</v>
      </c>
      <c r="AC28" s="440" t="str">
        <f>+IF(ISBLANK(INDEX(WORLDCUP!$AE$101:$AE$147,MATCH(Y28,WORLDCUP!$Z$101:$Z$147,0))),"","( "&amp;INDEX(WORLDCUP!$AE$101:$AE$147,MATCH(Y28,WORLDCUP!$Z$101:$Z$147,0))&amp;" )")</f>
        <v/>
      </c>
      <c r="AD28" s="441">
        <v>91</v>
      </c>
      <c r="AE28" s="442" t="str">
        <f ca="1">+MID(INDEX(WORLDCUP!$AA$101:$AA$147,MATCH(AD28,WORLDCUP!$Z$101:$Z$147,0)),1,3)</f>
        <v>Paí</v>
      </c>
      <c r="AF28" s="443">
        <f>+IF(ISBLANK(INDEX(WORLDCUP!$AC$101:$AC$147,MATCH(AD28,WORLDCUP!$Z$101:$Z$147,0))),"",INDEX(WORLDCUP!$AC$101:$AC$147,MATCH(AD28,WORLDCUP!$Z$101:$Z$147,0)))</f>
        <v>0</v>
      </c>
      <c r="AG28" s="444" t="str">
        <f>+IF(ISBLANK(INDEX(WORLDCUP!$AB$101:$AB$147,MATCH(AD28,WORLDCUP!$Z$101:$Z$147,0))),"","( "&amp;INDEX(WORLDCUP!$AB$101:$AB$147,MATCH(AD28,WORLDCUP!$Z$101:$Z$147,0))&amp;" )")</f>
        <v/>
      </c>
      <c r="AH28" s="177"/>
      <c r="AI28" s="445"/>
      <c r="AJ28" s="445"/>
      <c r="AK28" s="445"/>
      <c r="AL28" s="177"/>
      <c r="AM28" s="417"/>
      <c r="AN28" s="417"/>
      <c r="AO28" s="498"/>
      <c r="AP28" s="401"/>
      <c r="AQ28" s="446"/>
      <c r="AR28" s="446"/>
      <c r="AS28" s="446"/>
      <c r="AT28" s="177"/>
      <c r="AU28" s="419"/>
      <c r="AV28" s="419"/>
      <c r="AW28" s="419"/>
      <c r="AX28" s="177"/>
      <c r="AY28" s="513"/>
      <c r="AZ28" s="527"/>
      <c r="BA28" s="516"/>
      <c r="BB28" s="519"/>
      <c r="BC28" s="515"/>
      <c r="BD28" s="149"/>
      <c r="BE28" s="149"/>
      <c r="BG28" s="448" t="str">
        <f ca="1">Horarios!Q27</f>
        <v>Haití</v>
      </c>
      <c r="BH28" s="449">
        <f t="shared" ca="1" si="0"/>
        <v>1</v>
      </c>
      <c r="BI28" s="449">
        <f ca="1">COUNTIF(Pool!$C$130:$C$161,Fixture!BG28)-BJ28-BK28-BL28-BM28-BN28-BO28</f>
        <v>0</v>
      </c>
      <c r="BJ28" s="450">
        <f ca="1">COUNTIF(Pool!$C$182:$C$197,Fixture!BG28)-BK28-BL28-BM28-BN28-BO28</f>
        <v>0</v>
      </c>
      <c r="BK28" s="451">
        <f ca="1">COUNTIF(Pool!$C$210:$C$217,Fixture!BG28)-BL28-BM28-BN28-BO28</f>
        <v>0</v>
      </c>
      <c r="BL28" s="451">
        <f ca="1">COUNTIF(Pool!$C$226:$C$229,Fixture!BG28)-BM28-BN28-BO28</f>
        <v>0</v>
      </c>
      <c r="BM28" s="449">
        <f ca="1">COUNTIF(Pool!$C$252,Fixture!BG28)</f>
        <v>0</v>
      </c>
      <c r="BN28" s="449">
        <f ca="1">COUNTIF(Pool!$C$251,Fixture!BG28)</f>
        <v>0</v>
      </c>
      <c r="BO28" s="452">
        <f ca="1">COUNTIF(Pool!$C$250,Fixture!BG28)</f>
        <v>0</v>
      </c>
    </row>
    <row r="29" spans="1:67">
      <c r="A29" s="177">
        <v>32</v>
      </c>
      <c r="B29" s="530"/>
      <c r="C29" s="430" t="str">
        <f ca="1">+MID(INDEX(WORLDCUP!$AA$4:$AA$147,MATCH(A29,WORLDCUP!$AH$4:$AH$147,0)),1,3)</f>
        <v>Est</v>
      </c>
      <c r="D29" s="431">
        <f>IF(ISBLANK(INDEX(WORLDCUP!$AC$4:$AC$147,MATCH(A29,WORLDCUP!$AH$4:$AH$147,0))),"",INDEX(WORLDCUP!$AC$4:$AC$147,MATCH(A29,WORLDCUP!$AH$4:$AH$147,0)))</f>
        <v>1</v>
      </c>
      <c r="E29" s="431">
        <f>IF(ISBLANK(INDEX(WORLDCUP!$AD$4:$AD$147,MATCH(A29,WORLDCUP!$AH$4:$AH$147,0))),"",INDEX(WORLDCUP!$AD$4:$AD$147,MATCH(A29,WORLDCUP!$AH$4:$AH$147,0)))</f>
        <v>0</v>
      </c>
      <c r="F29" s="432" t="str">
        <f ca="1">+MID(INDEX(WORLDCUP!$AF$4:$AF$147,MATCH(A29,WORLDCUP!$AH$4:$AH$147,0)),1,3)</f>
        <v>Aus</v>
      </c>
      <c r="G29" s="453">
        <v>2</v>
      </c>
      <c r="H29" s="454" t="str">
        <f ca="1">+MID(INDEX(WORLDCUP!$AL$6:$AL$97,MATCH(L29,WORLDCUP!$AI$6:$AI$97,0)),1,3)</f>
        <v>Par</v>
      </c>
      <c r="I29" s="35">
        <f ca="1">+INDEX(WORLDCUP!$AM$6:$AM$97,MATCH(L29,WORLDCUP!$AI$6:$AI$97,0))</f>
        <v>5</v>
      </c>
      <c r="J29" s="36">
        <f ca="1">+INDEX(WORLDCUP!$AT$6:$AT$97,MATCH(L29,WORLDCUP!$AI$6:$AI$97,0))</f>
        <v>2</v>
      </c>
      <c r="K29" s="40" t="str">
        <f ca="1">+INDEX(WORLDCUP!$AR$6:$AR$97,MATCH(L29,WORLDCUP!$AI$6:$AI$97,0))&amp;"-"&amp;INDEX(WORLDCUP!$AS$6:$AS$97,MATCH(L29,WORLDCUP!$AI$6:$AI$97,0))</f>
        <v>3-1</v>
      </c>
      <c r="L29" s="177" t="s">
        <v>671</v>
      </c>
      <c r="M29" s="177">
        <v>43</v>
      </c>
      <c r="N29" s="531"/>
      <c r="O29" s="430" t="str">
        <f ca="1">+MID(INDEX(WORLDCUP!$AA$4:$AA$147,MATCH(M29,WORLDCUP!$AH$4:$AH$147,0)),1,3)</f>
        <v>Arg</v>
      </c>
      <c r="P29" s="431">
        <f>IF(ISBLANK(INDEX(WORLDCUP!$AC$4:$AC$147,MATCH(M29,WORLDCUP!$AH$4:$AH$147,0))),"",INDEX(WORLDCUP!$AC$4:$AC$147,MATCH(M29,WORLDCUP!$AH$4:$AH$147,0)))</f>
        <v>2</v>
      </c>
      <c r="Q29" s="431">
        <f>IF(ISBLANK(INDEX(WORLDCUP!$AD$4:$AD$147,MATCH(M29,WORLDCUP!$AH$4:$AH$147,0))),"",INDEX(WORLDCUP!$AD$4:$AD$147,MATCH(M29,WORLDCUP!$AH$4:$AH$147,0)))</f>
        <v>0</v>
      </c>
      <c r="R29" s="432" t="str">
        <f ca="1">+MID(INDEX(WORLDCUP!$AF$4:$AF$147,MATCH(M29,WORLDCUP!$AH$4:$AH$147,0)),1,3)</f>
        <v>Aus</v>
      </c>
      <c r="S29" s="453">
        <v>2</v>
      </c>
      <c r="T29" s="454" t="str">
        <f ca="1">+MID(INDEX(WORLDCUP!$AL$6:$AL$97,MATCH(X29,WORLDCUP!$AI$6:$AI$97,0)),1,3)</f>
        <v>Arg</v>
      </c>
      <c r="U29" s="35">
        <f ca="1">+INDEX(WORLDCUP!$AM$6:$AM$97,MATCH(X29,WORLDCUP!$AI$6:$AI$97,0))</f>
        <v>4</v>
      </c>
      <c r="V29" s="36">
        <f ca="1">+INDEX(WORLDCUP!$AT$6:$AT$97,MATCH(X29,WORLDCUP!$AI$6:$AI$97,0))</f>
        <v>-1</v>
      </c>
      <c r="W29" s="40" t="str">
        <f ca="1">+INDEX(WORLDCUP!$AR$6:$AR$97,MATCH(X29,WORLDCUP!$AI$6:$AI$97,0))&amp;"-"&amp;INDEX(WORLDCUP!$AS$6:$AS$97,MATCH(X29,WORLDCUP!$AI$6:$AI$97,0))</f>
        <v>3-4</v>
      </c>
      <c r="X29" s="177" t="s">
        <v>689</v>
      </c>
      <c r="Y29" s="177"/>
      <c r="Z29" s="411"/>
      <c r="AA29" s="455"/>
      <c r="AB29" s="455"/>
      <c r="AC29" s="456"/>
      <c r="AD29" s="177">
        <v>91</v>
      </c>
      <c r="AE29" s="442" t="str">
        <f ca="1">+MID(INDEX(WORLDCUP!$AF$101:$AF$147,MATCH(AD29,WORLDCUP!$Z$101:$Z$147,0)),1,3)</f>
        <v>Ale</v>
      </c>
      <c r="AF29" s="443">
        <f>+IF(ISBLANK(INDEX(WORLDCUP!$AD$101:$AD$147,MATCH(AD29,WORLDCUP!$Z$101:$Z$147,0))),"",INDEX(WORLDCUP!$AD$101:$AD$147,MATCH(AD29,WORLDCUP!$Z$101:$Z$147,0)))</f>
        <v>1</v>
      </c>
      <c r="AG29" s="501" t="str">
        <f>+IF(ISBLANK(INDEX(WORLDCUP!$AE$101:$AE$147,MATCH(AD29,WORLDCUP!$Z$101:$Z$147,0))),"","( "&amp;INDEX(WORLDCUP!$AE$101:$AE$147,MATCH(AD29,WORLDCUP!$Z$101:$Z$147,0))&amp;" )")</f>
        <v/>
      </c>
      <c r="AH29" s="177"/>
      <c r="AI29" s="445"/>
      <c r="AJ29" s="445"/>
      <c r="AK29" s="445"/>
      <c r="AL29" s="177"/>
      <c r="AM29" s="417"/>
      <c r="AN29" s="417"/>
      <c r="AO29" s="498"/>
      <c r="AP29" s="401"/>
      <c r="AQ29" s="446"/>
      <c r="AR29" s="446"/>
      <c r="AS29" s="446"/>
      <c r="AT29" s="177"/>
      <c r="AU29" s="419"/>
      <c r="AV29" s="419"/>
      <c r="AW29" s="419"/>
      <c r="AX29" s="177"/>
      <c r="AY29" s="513"/>
      <c r="AZ29" s="527"/>
      <c r="BA29" s="516"/>
      <c r="BB29" s="519"/>
      <c r="BC29" s="515"/>
      <c r="BD29" s="149"/>
      <c r="BE29" s="149"/>
      <c r="BG29" s="448" t="str">
        <f ca="1">Horarios!Q28</f>
        <v>Inglaterra</v>
      </c>
      <c r="BH29" s="449">
        <f t="shared" ca="1" si="0"/>
        <v>0</v>
      </c>
      <c r="BI29" s="449">
        <f ca="1">COUNTIF(Pool!$C$130:$C$161,Fixture!BG29)-BJ29-BK29-BL29-BM29-BN29-BO29</f>
        <v>0</v>
      </c>
      <c r="BJ29" s="450">
        <f ca="1">COUNTIF(Pool!$C$182:$C$197,Fixture!BG29)-BK29-BL29-BM29-BN29-BO29</f>
        <v>0</v>
      </c>
      <c r="BK29" s="451">
        <f ca="1">COUNTIF(Pool!$C$210:$C$217,Fixture!BG29)-BL29-BM29-BN29-BO29</f>
        <v>1</v>
      </c>
      <c r="BL29" s="451">
        <f ca="1">COUNTIF(Pool!$C$226:$C$229,Fixture!BG29)-BM29-BN29-BO29</f>
        <v>0</v>
      </c>
      <c r="BM29" s="449">
        <f ca="1">COUNTIF(Pool!$C$252,Fixture!BG29)</f>
        <v>0</v>
      </c>
      <c r="BN29" s="449">
        <f ca="1">COUNTIF(Pool!$C$251,Fixture!BG29)</f>
        <v>0</v>
      </c>
      <c r="BO29" s="452">
        <f ca="1">COUNTIF(Pool!$C$250,Fixture!BG29)</f>
        <v>0</v>
      </c>
    </row>
    <row r="30" spans="1:67" ht="15" thickBot="1">
      <c r="A30" s="177">
        <v>31</v>
      </c>
      <c r="B30" s="530"/>
      <c r="C30" s="430" t="str">
        <f ca="1">+MID(INDEX(WORLDCUP!$AA$4:$AA$147,MATCH(A30,WORLDCUP!$AH$4:$AH$147,0)),1,3)</f>
        <v>Tur</v>
      </c>
      <c r="D30" s="431">
        <f>IF(ISBLANK(INDEX(WORLDCUP!$AC$4:$AC$147,MATCH(A30,WORLDCUP!$AH$4:$AH$147,0))),"",INDEX(WORLDCUP!$AC$4:$AC$147,MATCH(A30,WORLDCUP!$AH$4:$AH$147,0)))</f>
        <v>1</v>
      </c>
      <c r="E30" s="431">
        <f>IF(ISBLANK(INDEX(WORLDCUP!$AD$4:$AD$147,MATCH(A30,WORLDCUP!$AH$4:$AH$147,0))),"",INDEX(WORLDCUP!$AD$4:$AD$147,MATCH(A30,WORLDCUP!$AH$4:$AH$147,0)))</f>
        <v>1</v>
      </c>
      <c r="F30" s="432" t="str">
        <f ca="1">+MID(INDEX(WORLDCUP!$AF$4:$AF$147,MATCH(A30,WORLDCUP!$AH$4:$AH$147,0)),1,3)</f>
        <v>Par</v>
      </c>
      <c r="G30" s="453">
        <v>3</v>
      </c>
      <c r="H30" s="454" t="str">
        <f ca="1">+MID(INDEX(WORLDCUP!$AL$6:$AL$97,MATCH(L30,WORLDCUP!$AI$6:$AI$97,0)),1,3)</f>
        <v>Est</v>
      </c>
      <c r="I30" s="35">
        <f ca="1">+INDEX(WORLDCUP!$AM$6:$AM$97,MATCH(L30,WORLDCUP!$AI$6:$AI$97,0))</f>
        <v>3</v>
      </c>
      <c r="J30" s="36">
        <f ca="1">+INDEX(WORLDCUP!$AT$6:$AT$97,MATCH(L30,WORLDCUP!$AI$6:$AI$97,0))</f>
        <v>-3</v>
      </c>
      <c r="K30" s="40" t="str">
        <f ca="1">+INDEX(WORLDCUP!$AR$6:$AR$97,MATCH(L30,WORLDCUP!$AI$6:$AI$97,0))&amp;"-"&amp;INDEX(WORLDCUP!$AS$6:$AS$97,MATCH(L30,WORLDCUP!$AI$6:$AI$97,0))</f>
        <v>1-4</v>
      </c>
      <c r="L30" s="177" t="s">
        <v>93</v>
      </c>
      <c r="M30" s="177">
        <v>44</v>
      </c>
      <c r="N30" s="531"/>
      <c r="O30" s="430" t="str">
        <f ca="1">+MID(INDEX(WORLDCUP!$AA$4:$AA$147,MATCH(M30,WORLDCUP!$AH$4:$AH$147,0)),1,3)</f>
        <v>Jor</v>
      </c>
      <c r="P30" s="431">
        <f>IF(ISBLANK(INDEX(WORLDCUP!$AC$4:$AC$147,MATCH(M30,WORLDCUP!$AH$4:$AH$147,0))),"",INDEX(WORLDCUP!$AC$4:$AC$147,MATCH(M30,WORLDCUP!$AH$4:$AH$147,0)))</f>
        <v>0</v>
      </c>
      <c r="Q30" s="431">
        <f>IF(ISBLANK(INDEX(WORLDCUP!$AD$4:$AD$147,MATCH(M30,WORLDCUP!$AH$4:$AH$147,0))),"",INDEX(WORLDCUP!$AD$4:$AD$147,MATCH(M30,WORLDCUP!$AH$4:$AH$147,0)))</f>
        <v>2</v>
      </c>
      <c r="R30" s="432" t="str">
        <f ca="1">+MID(INDEX(WORLDCUP!$AF$4:$AF$147,MATCH(M30,WORLDCUP!$AH$4:$AH$147,0)),1,3)</f>
        <v>Arg</v>
      </c>
      <c r="S30" s="453">
        <v>3</v>
      </c>
      <c r="T30" s="454" t="str">
        <f ca="1">+MID(INDEX(WORLDCUP!$AL$6:$AL$97,MATCH(X30,WORLDCUP!$AI$6:$AI$97,0)),1,3)</f>
        <v>Aus</v>
      </c>
      <c r="U30" s="35">
        <f ca="1">+INDEX(WORLDCUP!$AM$6:$AM$97,MATCH(X30,WORLDCUP!$AI$6:$AI$97,0))</f>
        <v>4</v>
      </c>
      <c r="V30" s="36">
        <f ca="1">+INDEX(WORLDCUP!$AT$6:$AT$97,MATCH(X30,WORLDCUP!$AI$6:$AI$97,0))</f>
        <v>-1</v>
      </c>
      <c r="W30" s="40" t="str">
        <f ca="1">+INDEX(WORLDCUP!$AR$6:$AR$97,MATCH(X30,WORLDCUP!$AI$6:$AI$97,0))&amp;"-"&amp;INDEX(WORLDCUP!$AS$6:$AS$97,MATCH(X30,WORLDCUP!$AI$6:$AI$97,0))</f>
        <v>2-3</v>
      </c>
      <c r="X30" s="177" t="s">
        <v>451</v>
      </c>
      <c r="Y30" s="177">
        <v>78</v>
      </c>
      <c r="Z30" s="411" t="s">
        <v>674</v>
      </c>
      <c r="AA30" s="412" t="str">
        <f ca="1">+MID(INDEX(WORLDCUP!$AA$101:$AA$147,MATCH(Y30,WORLDCUP!$Z$101:$Z$147,0)),1,3)</f>
        <v>Ale</v>
      </c>
      <c r="AB30" s="458">
        <f>+IF(ISBLANK(INDEX(WORLDCUP!$AC$101:$AC$147,MATCH(Y30,WORLDCUP!$Z$101:$Z$147,0))),"",INDEX(WORLDCUP!$AC$101:$AC$147,MATCH(Y30,WORLDCUP!$Z$101:$Z$147,0)))</f>
        <v>1</v>
      </c>
      <c r="AC30" s="492" t="str">
        <f>+IF(ISBLANK(INDEX(WORLDCUP!$AB$101:$AB$147,MATCH(Y30,WORLDCUP!$Z$101:$Z$147,0))),"","( "&amp;INDEX(WORLDCUP!$AB$101:$AB$147,MATCH(Y30,WORLDCUP!$Z$101:$Z$147,0))&amp;" )")</f>
        <v>( 5 )</v>
      </c>
      <c r="AD30" s="177"/>
      <c r="AE30" s="460"/>
      <c r="AF30" s="460"/>
      <c r="AG30" s="461"/>
      <c r="AH30" s="177"/>
      <c r="AI30" s="445"/>
      <c r="AJ30" s="445"/>
      <c r="AK30" s="445"/>
      <c r="AL30" s="177"/>
      <c r="AM30" s="417"/>
      <c r="AN30" s="417"/>
      <c r="AO30" s="498"/>
      <c r="AP30" s="177"/>
      <c r="AQ30" s="446"/>
      <c r="AR30" s="446"/>
      <c r="AS30" s="446"/>
      <c r="AT30" s="177"/>
      <c r="AU30" s="419"/>
      <c r="AV30" s="419"/>
      <c r="AW30" s="419"/>
      <c r="AX30" s="177"/>
      <c r="AY30" s="513"/>
      <c r="AZ30" s="527"/>
      <c r="BA30" s="516"/>
      <c r="BB30" s="519"/>
      <c r="BC30" s="515"/>
      <c r="BD30" s="149"/>
      <c r="BE30" s="149"/>
      <c r="BG30" s="448" t="str">
        <f ca="1">Horarios!Q29</f>
        <v>Irak</v>
      </c>
      <c r="BH30" s="449">
        <f t="shared" ca="1" si="0"/>
        <v>1</v>
      </c>
      <c r="BI30" s="449">
        <f ca="1">COUNTIF(Pool!$C$130:$C$161,Fixture!BG30)-BJ30-BK30-BL30-BM30-BN30-BO30</f>
        <v>0</v>
      </c>
      <c r="BJ30" s="450">
        <f ca="1">COUNTIF(Pool!$C$182:$C$197,Fixture!BG30)-BK30-BL30-BM30-BN30-BO30</f>
        <v>0</v>
      </c>
      <c r="BK30" s="451">
        <f ca="1">COUNTIF(Pool!$C$210:$C$217,Fixture!BG30)-BL30-BM30-BN30-BO30</f>
        <v>0</v>
      </c>
      <c r="BL30" s="451">
        <f ca="1">COUNTIF(Pool!$C$226:$C$229,Fixture!BG30)-BM30-BN30-BO30</f>
        <v>0</v>
      </c>
      <c r="BM30" s="449">
        <f ca="1">COUNTIF(Pool!$C$252,Fixture!BG30)</f>
        <v>0</v>
      </c>
      <c r="BN30" s="449">
        <f ca="1">COUNTIF(Pool!$C$251,Fixture!BG30)</f>
        <v>0</v>
      </c>
      <c r="BO30" s="452">
        <f ca="1">COUNTIF(Pool!$C$250,Fixture!BG30)</f>
        <v>0</v>
      </c>
    </row>
    <row r="31" spans="1:67" ht="15" thickBot="1">
      <c r="A31" s="177">
        <v>59</v>
      </c>
      <c r="B31" s="530"/>
      <c r="C31" s="430" t="str">
        <f ca="1">+MID(INDEX(WORLDCUP!$AA$4:$AA$147,MATCH(A31,WORLDCUP!$AH$4:$AH$147,0)),1,3)</f>
        <v>Tur</v>
      </c>
      <c r="D31" s="431">
        <f>IF(ISBLANK(INDEX(WORLDCUP!$AC$4:$AC$147,MATCH(A31,WORLDCUP!$AH$4:$AH$147,0))),"",INDEX(WORLDCUP!$AC$4:$AC$147,MATCH(A31,WORLDCUP!$AH$4:$AH$147,0)))</f>
        <v>2</v>
      </c>
      <c r="E31" s="431">
        <f>IF(ISBLANK(INDEX(WORLDCUP!$AD$4:$AD$147,MATCH(A31,WORLDCUP!$AH$4:$AH$147,0))),"",INDEX(WORLDCUP!$AD$4:$AD$147,MATCH(A31,WORLDCUP!$AH$4:$AH$147,0)))</f>
        <v>0</v>
      </c>
      <c r="F31" s="432" t="str">
        <f ca="1">+MID(INDEX(WORLDCUP!$AF$4:$AF$147,MATCH(A31,WORLDCUP!$AH$4:$AH$147,0)),1,3)</f>
        <v>Est</v>
      </c>
      <c r="G31" s="453">
        <v>4</v>
      </c>
      <c r="H31" s="462" t="str">
        <f ca="1">+MID(INDEX(WORLDCUP!$AL$6:$AL$97,MATCH(L31,WORLDCUP!$AI$6:$AI$97,0)),1,3)</f>
        <v>Aus</v>
      </c>
      <c r="I31" s="463">
        <f ca="1">+INDEX(WORLDCUP!$AM$6:$AM$97,MATCH(L31,WORLDCUP!$AI$6:$AI$97,0))</f>
        <v>2</v>
      </c>
      <c r="J31" s="464">
        <f ca="1">+INDEX(WORLDCUP!$AT$6:$AT$97,MATCH(L31,WORLDCUP!$AI$6:$AI$97,0))</f>
        <v>-1</v>
      </c>
      <c r="K31" s="465" t="str">
        <f ca="1">+INDEX(WORLDCUP!$AR$6:$AR$97,MATCH(L31,WORLDCUP!$AI$6:$AI$97,0))&amp;"-"&amp;INDEX(WORLDCUP!$AS$6:$AS$97,MATCH(L31,WORLDCUP!$AI$6:$AI$97,0))</f>
        <v>2-3</v>
      </c>
      <c r="L31" s="177" t="s">
        <v>672</v>
      </c>
      <c r="M31" s="177">
        <v>69</v>
      </c>
      <c r="N31" s="531"/>
      <c r="O31" s="430" t="str">
        <f ca="1">+MID(INDEX(WORLDCUP!$AA$4:$AA$147,MATCH(M31,WORLDCUP!$AH$4:$AH$147,0)),1,3)</f>
        <v>Arg</v>
      </c>
      <c r="P31" s="431">
        <f>IF(ISBLANK(INDEX(WORLDCUP!$AC$4:$AC$147,MATCH(M31,WORLDCUP!$AH$4:$AH$147,0))),"",INDEX(WORLDCUP!$AC$4:$AC$147,MATCH(M31,WORLDCUP!$AH$4:$AH$147,0)))</f>
        <v>1</v>
      </c>
      <c r="Q31" s="431">
        <f>IF(ISBLANK(INDEX(WORLDCUP!$AD$4:$AD$147,MATCH(M31,WORLDCUP!$AH$4:$AH$147,0))),"",INDEX(WORLDCUP!$AD$4:$AD$147,MATCH(M31,WORLDCUP!$AH$4:$AH$147,0)))</f>
        <v>1</v>
      </c>
      <c r="R31" s="432" t="str">
        <f ca="1">+MID(INDEX(WORLDCUP!$AF$4:$AF$147,MATCH(M31,WORLDCUP!$AH$4:$AH$147,0)),1,3)</f>
        <v>Aus</v>
      </c>
      <c r="S31" s="453">
        <v>4</v>
      </c>
      <c r="T31" s="462" t="str">
        <f ca="1">+MID(INDEX(WORLDCUP!$AL$6:$AL$97,MATCH(X31,WORLDCUP!$AI$6:$AI$97,0)),1,3)</f>
        <v>Jor</v>
      </c>
      <c r="U31" s="463">
        <f ca="1">+INDEX(WORLDCUP!$AM$6:$AM$97,MATCH(X31,WORLDCUP!$AI$6:$AI$97,0))</f>
        <v>0</v>
      </c>
      <c r="V31" s="464">
        <f ca="1">+INDEX(WORLDCUP!$AT$6:$AT$97,MATCH(X31,WORLDCUP!$AI$6:$AI$97,0))</f>
        <v>-6</v>
      </c>
      <c r="W31" s="465" t="str">
        <f ca="1">+INDEX(WORLDCUP!$AR$6:$AR$97,MATCH(X31,WORLDCUP!$AI$6:$AI$97,0))&amp;"-"&amp;INDEX(WORLDCUP!$AS$6:$AS$97,MATCH(X31,WORLDCUP!$AI$6:$AI$97,0))</f>
        <v>0-6</v>
      </c>
      <c r="X31" s="177" t="s">
        <v>690</v>
      </c>
      <c r="Y31" s="177">
        <v>78</v>
      </c>
      <c r="Z31" s="411" t="s">
        <v>686</v>
      </c>
      <c r="AA31" s="466" t="str">
        <f ca="1">+MID(INDEX(WORLDCUP!$AF$101:$AF$147,MATCH(Y31,WORLDCUP!$Z$101:$Z$147,0)),1,3)</f>
        <v>Nor</v>
      </c>
      <c r="AB31" s="467">
        <f>+IF(ISBLANK(INDEX(WORLDCUP!$AD$101:$AD$147,MATCH(Y31,WORLDCUP!$Z$101:$Z$147,0))),"",INDEX(WORLDCUP!$AD$101:$AD$147,MATCH(Y31,WORLDCUP!$Z$101:$Z$147,0)))</f>
        <v>1</v>
      </c>
      <c r="AC31" s="493" t="str">
        <f>+IF(ISBLANK(INDEX(WORLDCUP!$AE$101:$AE$147,MATCH(Y31,WORLDCUP!$Z$101:$Z$147,0))),"","( "&amp;INDEX(WORLDCUP!$AE$101:$AE$147,MATCH(Y31,WORLDCUP!$Z$101:$Z$147,0))&amp;" )")</f>
        <v>( 3 )</v>
      </c>
      <c r="AD31" s="177"/>
      <c r="AE31" s="460"/>
      <c r="AF31" s="460"/>
      <c r="AG31" s="461"/>
      <c r="AH31" s="486">
        <v>99</v>
      </c>
      <c r="AI31" s="469" t="str">
        <f ca="1">+MID(INDEX(WORLDCUP!$AA$101:$AA$147,MATCH(AH31,WORLDCUP!$Z$101:$Z$147,0)),1,3)</f>
        <v>Ale</v>
      </c>
      <c r="AJ31" s="470">
        <f>+IF(ISBLANK(INDEX(WORLDCUP!$AC$101:$AC$147,MATCH(AH31,WORLDCUP!$Z$101:$Z$147,0))),"",INDEX(WORLDCUP!$AC$101:$AC$147,MATCH(AH31,WORLDCUP!$Z$101:$Z$147,0)))</f>
        <v>2</v>
      </c>
      <c r="AK31" s="471" t="str">
        <f>+IF(ISBLANK(INDEX(WORLDCUP!$AB$101:$AB$147,MATCH(AH31,WORLDCUP!$Z$101:$Z$147,0))),"","( "&amp;INDEX(WORLDCUP!$AB$101:$AB$147,MATCH(AH31,WORLDCUP!$Z$101:$Z$147,0))&amp;" )")</f>
        <v/>
      </c>
      <c r="AL31" s="177"/>
      <c r="AM31" s="417"/>
      <c r="AN31" s="417"/>
      <c r="AO31" s="498"/>
      <c r="AP31" s="532">
        <v>103</v>
      </c>
      <c r="AQ31" s="533" t="str">
        <f ca="1">+MID(INDEX(WORLDCUP!$AA$101:$AA$147,MATCH(AP31,WORLDCUP!$Z$101:$Z$147,0)),1,4)</f>
        <v>Fran</v>
      </c>
      <c r="AR31" s="534">
        <f>+IF(ISBLANK(INDEX(WORLDCUP!$AC$101:$AC$147,MATCH(AP31,WORLDCUP!$Z$101:$Z$147,0))),"",INDEX(WORLDCUP!$AC$101:$AC$147,MATCH(AP31,WORLDCUP!$Z$101:$Z$147,0)))</f>
        <v>2</v>
      </c>
      <c r="AS31" s="535" t="str">
        <f>+IF(ISBLANK(INDEX(WORLDCUP!$AB$101:$AB$147,MATCH(AP31,WORLDCUP!$Z$101:$Z$147,0))),"","( "&amp;INDEX(WORLDCUP!$AB$101:$AB$147,MATCH(AP31,WORLDCUP!$Z$101:$Z$147,0))&amp;" )")</f>
        <v/>
      </c>
      <c r="AT31" s="536"/>
      <c r="AU31" s="537"/>
      <c r="AV31" s="537"/>
      <c r="AW31" s="537"/>
      <c r="AX31" s="536"/>
      <c r="AY31" s="538"/>
      <c r="AZ31" s="539"/>
      <c r="BA31" s="539"/>
      <c r="BB31" s="539"/>
      <c r="BC31" s="540"/>
      <c r="BD31" s="149"/>
      <c r="BE31" s="149"/>
      <c r="BG31" s="448" t="str">
        <f ca="1">Horarios!Q30</f>
        <v>Irán</v>
      </c>
      <c r="BH31" s="449">
        <f t="shared" ca="1" si="0"/>
        <v>0</v>
      </c>
      <c r="BI31" s="449">
        <f ca="1">COUNTIF(Pool!$C$130:$C$161,Fixture!BG31)-BJ31-BK31-BL31-BM31-BN31-BO31</f>
        <v>1</v>
      </c>
      <c r="BJ31" s="450">
        <f ca="1">COUNTIF(Pool!$C$182:$C$197,Fixture!BG31)-BK31-BL31-BM31-BN31-BO31</f>
        <v>0</v>
      </c>
      <c r="BK31" s="451">
        <f ca="1">COUNTIF(Pool!$C$210:$C$217,Fixture!BG31)-BL31-BM31-BN31-BO31</f>
        <v>0</v>
      </c>
      <c r="BL31" s="451">
        <f ca="1">COUNTIF(Pool!$C$226:$C$229,Fixture!BG31)-BM31-BN31-BO31</f>
        <v>0</v>
      </c>
      <c r="BM31" s="449">
        <f ca="1">COUNTIF(Pool!$C$252,Fixture!BG31)</f>
        <v>0</v>
      </c>
      <c r="BN31" s="449">
        <f ca="1">COUNTIF(Pool!$C$251,Fixture!BG31)</f>
        <v>0</v>
      </c>
      <c r="BO31" s="452">
        <f ca="1">COUNTIF(Pool!$C$250,Fixture!BG31)</f>
        <v>0</v>
      </c>
    </row>
    <row r="32" spans="1:67" ht="15" thickBot="1">
      <c r="A32" s="177">
        <v>60</v>
      </c>
      <c r="B32" s="541"/>
      <c r="C32" s="473" t="str">
        <f ca="1">+MID(INDEX(WORLDCUP!$AA$4:$AA$147,MATCH(A32,WORLDCUP!$AH$4:$AH$147,0)),1,3)</f>
        <v>Par</v>
      </c>
      <c r="D32" s="474">
        <f>IF(ISBLANK(INDEX(WORLDCUP!$AC$4:$AC$147,MATCH(A32,WORLDCUP!$AH$4:$AH$147,0))),"",INDEX(WORLDCUP!$AC$4:$AC$147,MATCH(A32,WORLDCUP!$AH$4:$AH$147,0)))</f>
        <v>0</v>
      </c>
      <c r="E32" s="474">
        <f>IF(ISBLANK(INDEX(WORLDCUP!$AD$4:$AD$147,MATCH(A32,WORLDCUP!$AH$4:$AH$147,0))),"",INDEX(WORLDCUP!$AD$4:$AD$147,MATCH(A32,WORLDCUP!$AH$4:$AH$147,0)))</f>
        <v>0</v>
      </c>
      <c r="F32" s="475" t="str">
        <f ca="1">+MID(INDEX(WORLDCUP!$AF$4:$AF$147,MATCH(A32,WORLDCUP!$AH$4:$AH$147,0)),1,3)</f>
        <v>Aus</v>
      </c>
      <c r="G32" s="476"/>
      <c r="H32" s="476"/>
      <c r="I32" s="477"/>
      <c r="J32" s="477"/>
      <c r="K32" s="478"/>
      <c r="L32" s="177"/>
      <c r="M32" s="177">
        <v>70</v>
      </c>
      <c r="N32" s="542"/>
      <c r="O32" s="473" t="str">
        <f ca="1">+MID(INDEX(WORLDCUP!$AA$4:$AA$147,MATCH(M32,WORLDCUP!$AH$4:$AH$147,0)),1,3)</f>
        <v>Jor</v>
      </c>
      <c r="P32" s="474">
        <f>IF(ISBLANK(INDEX(WORLDCUP!$AC$4:$AC$147,MATCH(M32,WORLDCUP!$AH$4:$AH$147,0))),"",INDEX(WORLDCUP!$AC$4:$AC$147,MATCH(M32,WORLDCUP!$AH$4:$AH$147,0)))</f>
        <v>0</v>
      </c>
      <c r="Q32" s="474">
        <f>IF(ISBLANK(INDEX(WORLDCUP!$AD$4:$AD$147,MATCH(M32,WORLDCUP!$AH$4:$AH$147,0))),"",INDEX(WORLDCUP!$AD$4:$AD$147,MATCH(M32,WORLDCUP!$AH$4:$AH$147,0)))</f>
        <v>3</v>
      </c>
      <c r="R32" s="475" t="str">
        <f ca="1">+MID(INDEX(WORLDCUP!$AF$4:$AF$147,MATCH(M32,WORLDCUP!$AH$4:$AH$147,0)),1,3)</f>
        <v>Arg</v>
      </c>
      <c r="S32" s="476"/>
      <c r="T32" s="476"/>
      <c r="U32" s="477"/>
      <c r="V32" s="477"/>
      <c r="W32" s="478"/>
      <c r="X32" s="177"/>
      <c r="Y32" s="177"/>
      <c r="Z32" s="411"/>
      <c r="AA32" s="480"/>
      <c r="AB32" s="480"/>
      <c r="AC32" s="480"/>
      <c r="AD32" s="177"/>
      <c r="AE32" s="415"/>
      <c r="AF32" s="415"/>
      <c r="AG32" s="461"/>
      <c r="AH32" s="177">
        <v>99</v>
      </c>
      <c r="AI32" s="469" t="str">
        <f ca="1">+MID(INDEX(WORLDCUP!$AF$101:$AF$147,MATCH(AH32,WORLDCUP!$Z$101:$Z$147,0)),1,3)</f>
        <v>Ing</v>
      </c>
      <c r="AJ32" s="470">
        <f>+IF(ISBLANK(INDEX(WORLDCUP!$AD$101:$AD$147,MATCH(AH32,WORLDCUP!$Z$101:$Z$147,0))),"",INDEX(WORLDCUP!$AD$101:$AD$147,MATCH(AH32,WORLDCUP!$Z$101:$Z$147,0)))</f>
        <v>1</v>
      </c>
      <c r="AK32" s="481" t="str">
        <f>+IF(ISBLANK(INDEX(WORLDCUP!$AE$101:$AE$147,MATCH(AH32,WORLDCUP!$Z$101:$Z$147,0))),"","( "&amp;INDEX(WORLDCUP!$AE$101:$AE$147,MATCH(AH32,WORLDCUP!$Z$101:$Z$147,0))&amp;" )")</f>
        <v/>
      </c>
      <c r="AL32" s="177"/>
      <c r="AM32" s="417"/>
      <c r="AN32" s="417"/>
      <c r="AO32" s="498"/>
      <c r="AP32" s="401">
        <v>103</v>
      </c>
      <c r="AQ32" s="533" t="str">
        <f ca="1">+MID(INDEX(WORLDCUP!$AF$101:$AF$147,MATCH(AP32,WORLDCUP!$Z$101:$Z$147,0)),1,4)</f>
        <v>Alem</v>
      </c>
      <c r="AR32" s="534">
        <f>+IF(ISBLANK(INDEX(WORLDCUP!$AD$101:$AD$147,MATCH(AP32,WORLDCUP!$Z$101:$Z$147,0))),"",INDEX(WORLDCUP!$AD$101:$AD$147,MATCH(AP32,WORLDCUP!$Z$101:$Z$147,0)))</f>
        <v>0</v>
      </c>
      <c r="AS32" s="446" t="str">
        <f>+IF(ISBLANK(INDEX(WORLDCUP!$AE$101:$AE$147,MATCH(AP32,WORLDCUP!$Z$101:$Z$147,0))),"","( "&amp;INDEX(WORLDCUP!$AE$101:$AE$147,MATCH(AP32,WORLDCUP!$Z$101:$Z$147,0))&amp;" )")</f>
        <v/>
      </c>
      <c r="AT32" s="177"/>
      <c r="AU32" s="419"/>
      <c r="AV32" s="419"/>
      <c r="AW32" s="419"/>
      <c r="AX32" s="177"/>
      <c r="AY32" s="149"/>
      <c r="AZ32" s="149"/>
      <c r="BA32" s="149"/>
      <c r="BB32" s="149"/>
      <c r="BC32" s="149"/>
      <c r="BD32" s="149"/>
      <c r="BE32" s="149"/>
      <c r="BG32" s="448" t="str">
        <f ca="1">Horarios!Q31</f>
        <v>Japón</v>
      </c>
      <c r="BH32" s="449">
        <f t="shared" ca="1" si="0"/>
        <v>0</v>
      </c>
      <c r="BI32" s="449">
        <f ca="1">COUNTIF(Pool!$C$130:$C$161,Fixture!BG32)-BJ32-BK32-BL32-BM32-BN32-BO32</f>
        <v>0</v>
      </c>
      <c r="BJ32" s="450">
        <f ca="1">COUNTIF(Pool!$C$182:$C$197,Fixture!BG32)-BK32-BL32-BM32-BN32-BO32</f>
        <v>0</v>
      </c>
      <c r="BK32" s="451">
        <f ca="1">COUNTIF(Pool!$C$210:$C$217,Fixture!BG32)-BL32-BM32-BN32-BO32</f>
        <v>1</v>
      </c>
      <c r="BL32" s="451">
        <f ca="1">COUNTIF(Pool!$C$226:$C$229,Fixture!BG32)-BM32-BN32-BO32</f>
        <v>0</v>
      </c>
      <c r="BM32" s="449">
        <f ca="1">COUNTIF(Pool!$C$252,Fixture!BG32)</f>
        <v>0</v>
      </c>
      <c r="BN32" s="449">
        <f ca="1">COUNTIF(Pool!$C$251,Fixture!BG32)</f>
        <v>0</v>
      </c>
      <c r="BO32" s="452">
        <f ca="1">COUNTIF(Pool!$C$250,Fixture!BG32)</f>
        <v>0</v>
      </c>
    </row>
    <row r="33" spans="1:67" ht="15" thickBot="1">
      <c r="A33" s="177"/>
      <c r="B33" s="397"/>
      <c r="C33" s="482"/>
      <c r="D33" s="483"/>
      <c r="E33" s="483"/>
      <c r="F33" s="149"/>
      <c r="G33" s="149"/>
      <c r="H33" s="482"/>
      <c r="I33" s="149"/>
      <c r="J33" s="149"/>
      <c r="K33" s="149"/>
      <c r="L33" s="177"/>
      <c r="M33" s="177"/>
      <c r="N33" s="148"/>
      <c r="O33" s="482"/>
      <c r="P33" s="483"/>
      <c r="Q33" s="483"/>
      <c r="R33" s="149"/>
      <c r="S33" s="149"/>
      <c r="T33" s="482"/>
      <c r="U33" s="149"/>
      <c r="V33" s="149"/>
      <c r="W33" s="149"/>
      <c r="X33" s="177"/>
      <c r="Y33" s="177">
        <v>79</v>
      </c>
      <c r="Z33" s="411" t="s">
        <v>657</v>
      </c>
      <c r="AA33" s="412" t="str">
        <f ca="1">+MID(INDEX(WORLDCUP!$AA$101:$AA$147,MATCH(Y33,WORLDCUP!$Z$101:$Z$147,0)),1,3)</f>
        <v>Méx</v>
      </c>
      <c r="AB33" s="413">
        <f>+IF(ISBLANK(INDEX(WORLDCUP!$AC$101:$AC$147,MATCH(Y33,WORLDCUP!$Z$101:$Z$147,0))),"",INDEX(WORLDCUP!$AC$101:$AC$147,MATCH(Y33,WORLDCUP!$Z$101:$Z$147,0)))</f>
        <v>0</v>
      </c>
      <c r="AC33" s="484" t="str">
        <f>+IF(ISBLANK(INDEX(WORLDCUP!$AB$101:$AB$147,MATCH(Y33,WORLDCUP!$Z$101:$Z$147,0))),"","( "&amp;INDEX(WORLDCUP!$AB$101:$AB$147,MATCH(Y33,WORLDCUP!$Z$101:$Z$147,0))&amp;" )")</f>
        <v/>
      </c>
      <c r="AD33" s="175"/>
      <c r="AE33" s="415"/>
      <c r="AF33" s="415"/>
      <c r="AG33" s="461"/>
      <c r="AH33" s="177"/>
      <c r="AI33" s="445"/>
      <c r="AJ33" s="445"/>
      <c r="AK33" s="485"/>
      <c r="AL33" s="401"/>
      <c r="AM33" s="417"/>
      <c r="AN33" s="417"/>
      <c r="AO33" s="498"/>
      <c r="AP33" s="177"/>
      <c r="AQ33" s="446"/>
      <c r="AR33" s="446"/>
      <c r="AS33" s="446"/>
      <c r="AT33" s="177"/>
      <c r="AU33" s="419"/>
      <c r="AV33" s="419"/>
      <c r="AW33" s="419"/>
      <c r="AX33" s="177"/>
      <c r="AY33" s="149"/>
      <c r="AZ33" s="149"/>
      <c r="BA33" s="149"/>
      <c r="BB33" s="149"/>
      <c r="BC33" s="149"/>
      <c r="BD33" s="149"/>
      <c r="BE33" s="149"/>
      <c r="BG33" s="448" t="str">
        <f ca="1">Horarios!Q32</f>
        <v>Jordania</v>
      </c>
      <c r="BH33" s="449">
        <f t="shared" ca="1" si="0"/>
        <v>1</v>
      </c>
      <c r="BI33" s="449">
        <f ca="1">COUNTIF(Pool!$C$130:$C$161,Fixture!BG33)-BJ33-BK33-BL33-BM33-BN33-BO33</f>
        <v>0</v>
      </c>
      <c r="BJ33" s="450">
        <f ca="1">COUNTIF(Pool!$C$182:$C$197,Fixture!BG33)-BK33-BL33-BM33-BN33-BO33</f>
        <v>0</v>
      </c>
      <c r="BK33" s="451">
        <f ca="1">COUNTIF(Pool!$C$210:$C$217,Fixture!BG33)-BL33-BM33-BN33-BO33</f>
        <v>0</v>
      </c>
      <c r="BL33" s="451">
        <f ca="1">COUNTIF(Pool!$C$226:$C$229,Fixture!BG33)-BM33-BN33-BO33</f>
        <v>0</v>
      </c>
      <c r="BM33" s="449">
        <f ca="1">COUNTIF(Pool!$C$252,Fixture!BG33)</f>
        <v>0</v>
      </c>
      <c r="BN33" s="449">
        <f ca="1">COUNTIF(Pool!$C$251,Fixture!BG33)</f>
        <v>0</v>
      </c>
      <c r="BO33" s="452">
        <f ca="1">COUNTIF(Pool!$C$250,Fixture!BG33)</f>
        <v>0</v>
      </c>
    </row>
    <row r="34" spans="1:67" ht="15" thickBot="1">
      <c r="A34" s="177"/>
      <c r="B34" s="397"/>
      <c r="C34" s="482"/>
      <c r="D34" s="483"/>
      <c r="E34" s="483"/>
      <c r="F34" s="149"/>
      <c r="G34" s="149"/>
      <c r="H34" s="482"/>
      <c r="I34" s="149"/>
      <c r="J34" s="149"/>
      <c r="K34" s="149"/>
      <c r="L34" s="177"/>
      <c r="M34" s="177"/>
      <c r="N34" s="148"/>
      <c r="O34" s="482"/>
      <c r="P34" s="483"/>
      <c r="Q34" s="483"/>
      <c r="R34" s="149"/>
      <c r="S34" s="149"/>
      <c r="T34" s="482"/>
      <c r="U34" s="149"/>
      <c r="V34" s="149"/>
      <c r="W34" s="149"/>
      <c r="X34" s="177"/>
      <c r="Y34" s="177">
        <v>79</v>
      </c>
      <c r="Z34" s="411" t="s">
        <v>736</v>
      </c>
      <c r="AA34" s="412" t="str">
        <f ca="1">+MID(INDEX(WORLDCUP!$AF$101:$AF$147,MATCH(Y34,WORLDCUP!$Z$101:$Z$147,0)),1,IF(WORLDCUP!$H$113&lt;144,6,3))</f>
        <v>Cos</v>
      </c>
      <c r="AB34" s="439">
        <f>+IF(ISBLANK(INDEX(WORLDCUP!$AD$101:$AD$147,MATCH(Y34,WORLDCUP!$Z$101:$Z$147,0))),"",INDEX(WORLDCUP!$AD$101:$AD$147,MATCH(Y34,WORLDCUP!$Z$101:$Z$147,0)))</f>
        <v>2</v>
      </c>
      <c r="AC34" s="440" t="str">
        <f>+IF(ISBLANK(INDEX(WORLDCUP!$AE$101:$AE$147,MATCH(Y34,WORLDCUP!$Z$101:$Z$147,0))),"","( "&amp;INDEX(WORLDCUP!$AE$101:$AE$147,MATCH(Y34,WORLDCUP!$Z$101:$Z$147,0))&amp;" )")</f>
        <v/>
      </c>
      <c r="AD34" s="441">
        <v>92</v>
      </c>
      <c r="AE34" s="442" t="str">
        <f ca="1">+MID(INDEX(WORLDCUP!$AA$101:$AA$147,MATCH(AD34,WORLDCUP!$Z$101:$Z$147,0)),1,3)</f>
        <v>Cos</v>
      </c>
      <c r="AF34" s="443">
        <f>+IF(ISBLANK(INDEX(WORLDCUP!$AC$101:$AC$147,MATCH(AD34,WORLDCUP!$Z$101:$Z$147,0))),"",INDEX(WORLDCUP!$AC$101:$AC$147,MATCH(AD34,WORLDCUP!$Z$101:$Z$147,0)))</f>
        <v>0</v>
      </c>
      <c r="AG34" s="487" t="str">
        <f>+IF(ISBLANK(INDEX(WORLDCUP!$AB$101:$AB$147,MATCH(AD34,WORLDCUP!$Z$101:$Z$147,0))),"","( "&amp;INDEX(WORLDCUP!$AB$101:$AB$147,MATCH(AD34,WORLDCUP!$Z$101:$Z$147,0))&amp;" )")</f>
        <v/>
      </c>
      <c r="AH34" s="177"/>
      <c r="AI34" s="445"/>
      <c r="AJ34" s="445"/>
      <c r="AK34" s="485"/>
      <c r="AL34" s="401"/>
      <c r="AM34" s="417"/>
      <c r="AN34" s="417"/>
      <c r="AO34" s="498"/>
      <c r="AP34" s="177"/>
      <c r="AQ34" s="446"/>
      <c r="AR34" s="446"/>
      <c r="AS34" s="446"/>
      <c r="AT34" s="177"/>
      <c r="AU34" s="419"/>
      <c r="AV34" s="419"/>
      <c r="AW34" s="419"/>
      <c r="AX34" s="177"/>
      <c r="AY34" s="149"/>
      <c r="AZ34" s="149"/>
      <c r="BA34" s="149"/>
      <c r="BB34" s="149"/>
      <c r="BC34" s="149"/>
      <c r="BD34" s="149"/>
      <c r="BE34" s="149"/>
      <c r="BG34" s="448" t="str">
        <f ca="1">Horarios!Q33</f>
        <v>Marruecos</v>
      </c>
      <c r="BH34" s="449">
        <f t="shared" ca="1" si="0"/>
        <v>0</v>
      </c>
      <c r="BI34" s="449">
        <f ca="1">COUNTIF(Pool!$C$130:$C$161,Fixture!BG34)-BJ34-BK34-BL34-BM34-BN34-BO34</f>
        <v>1</v>
      </c>
      <c r="BJ34" s="450">
        <f ca="1">COUNTIF(Pool!$C$182:$C$197,Fixture!BG34)-BK34-BL34-BM34-BN34-BO34</f>
        <v>0</v>
      </c>
      <c r="BK34" s="451">
        <f ca="1">COUNTIF(Pool!$C$210:$C$217,Fixture!BG34)-BL34-BM34-BN34-BO34</f>
        <v>0</v>
      </c>
      <c r="BL34" s="451">
        <f ca="1">COUNTIF(Pool!$C$226:$C$229,Fixture!BG34)-BM34-BN34-BO34</f>
        <v>0</v>
      </c>
      <c r="BM34" s="449">
        <f ca="1">COUNTIF(Pool!$C$252,Fixture!BG34)</f>
        <v>0</v>
      </c>
      <c r="BN34" s="449">
        <f ca="1">COUNTIF(Pool!$C$251,Fixture!BG34)</f>
        <v>0</v>
      </c>
      <c r="BO34" s="452">
        <f ca="1">COUNTIF(Pool!$C$250,Fixture!BG34)</f>
        <v>0</v>
      </c>
    </row>
    <row r="35" spans="1:67">
      <c r="A35" s="177">
        <v>10</v>
      </c>
      <c r="B35" s="543" t="s">
        <v>3</v>
      </c>
      <c r="C35" s="403" t="str">
        <f ca="1">+MID(INDEX(WORLDCUP!$AA$4:$AA$147,MATCH(A35,WORLDCUP!$AH$4:$AH$147,0)),1,3)</f>
        <v>Ale</v>
      </c>
      <c r="D35" s="404">
        <f>IF(ISBLANK(INDEX(WORLDCUP!$AC$4:$AC$147,MATCH(A35,WORLDCUP!$AH$4:$AH$147,0))),"",INDEX(WORLDCUP!$AC$4:$AC$147,MATCH(A35,WORLDCUP!$AH$4:$AH$147,0)))</f>
        <v>3</v>
      </c>
      <c r="E35" s="404">
        <f>IF(ISBLANK(INDEX(WORLDCUP!$AD$4:$AD$147,MATCH(A35,WORLDCUP!$AH$4:$AH$147,0))),"",INDEX(WORLDCUP!$AD$4:$AD$147,MATCH(A35,WORLDCUP!$AH$4:$AH$147,0)))</f>
        <v>0</v>
      </c>
      <c r="F35" s="405" t="str">
        <f ca="1">+MID(INDEX(WORLDCUP!$AF$4:$AF$147,MATCH(A35,WORLDCUP!$AH$4:$AH$147,0)),1,3)</f>
        <v>Cur</v>
      </c>
      <c r="G35" s="406"/>
      <c r="H35" s="407" t="str">
        <f>+H27</f>
        <v>Sel</v>
      </c>
      <c r="I35" s="408" t="str">
        <f>+I27</f>
        <v>Pts</v>
      </c>
      <c r="J35" s="408" t="str">
        <f>+J27</f>
        <v>DG</v>
      </c>
      <c r="K35" s="409" t="str">
        <f>+K27</f>
        <v>GF-GC</v>
      </c>
      <c r="L35" s="177"/>
      <c r="M35" s="177">
        <v>23</v>
      </c>
      <c r="N35" s="544" t="s">
        <v>449</v>
      </c>
      <c r="O35" s="403" t="str">
        <f ca="1">+MID(INDEX(WORLDCUP!$AA$4:$AA$147,MATCH(M35,WORLDCUP!$AH$4:$AH$147,0)),1,3)</f>
        <v>Por</v>
      </c>
      <c r="P35" s="404">
        <f>IF(ISBLANK(INDEX(WORLDCUP!$AC$4:$AC$147,MATCH(M35,WORLDCUP!$AH$4:$AH$147,0))),"",INDEX(WORLDCUP!$AC$4:$AC$147,MATCH(M35,WORLDCUP!$AH$4:$AH$147,0)))</f>
        <v>3</v>
      </c>
      <c r="Q35" s="404">
        <f>IF(ISBLANK(INDEX(WORLDCUP!$AD$4:$AD$147,MATCH(M35,WORLDCUP!$AH$4:$AH$147,0))),"",INDEX(WORLDCUP!$AD$4:$AD$147,MATCH(M35,WORLDCUP!$AH$4:$AH$147,0)))</f>
        <v>0</v>
      </c>
      <c r="R35" s="405" t="str">
        <f ca="1">+MID(INDEX(WORLDCUP!$AF$4:$AF$147,MATCH(M35,WORLDCUP!$AH$4:$AH$147,0)),1,3)</f>
        <v xml:space="preserve">RD </v>
      </c>
      <c r="S35" s="406"/>
      <c r="T35" s="407" t="str">
        <f>+T27</f>
        <v>Sel</v>
      </c>
      <c r="U35" s="408" t="str">
        <f>+U27</f>
        <v>Pts</v>
      </c>
      <c r="V35" s="408" t="str">
        <f>+V27</f>
        <v>DG</v>
      </c>
      <c r="W35" s="409" t="str">
        <f>+W27</f>
        <v>GF-GC</v>
      </c>
      <c r="X35" s="177"/>
      <c r="Y35" s="177"/>
      <c r="Z35" s="411"/>
      <c r="AA35" s="455"/>
      <c r="AB35" s="455"/>
      <c r="AC35" s="456"/>
      <c r="AD35" s="177">
        <v>92</v>
      </c>
      <c r="AE35" s="442" t="str">
        <f ca="1">+MID(INDEX(WORLDCUP!$AF$101:$AF$147,MATCH(AD35,WORLDCUP!$Z$101:$Z$147,0)),1,3)</f>
        <v>Ing</v>
      </c>
      <c r="AF35" s="443">
        <f>+IF(ISBLANK(INDEX(WORLDCUP!$AD$101:$AD$147,MATCH(AD35,WORLDCUP!$Z$101:$Z$147,0))),"",INDEX(WORLDCUP!$AD$101:$AD$147,MATCH(AD35,WORLDCUP!$Z$101:$Z$147,0)))</f>
        <v>1</v>
      </c>
      <c r="AG35" s="460" t="str">
        <f>+IF(ISBLANK(INDEX(WORLDCUP!$AE$101:$AE$147,MATCH(AD35,WORLDCUP!$Z$101:$Z$147,0))),"","( "&amp;INDEX(WORLDCUP!$AE$101:$AE$147,MATCH(AD35,WORLDCUP!$Z$101:$Z$147,0))&amp;" )")</f>
        <v/>
      </c>
      <c r="AH35" s="177"/>
      <c r="AI35" s="445"/>
      <c r="AJ35" s="445"/>
      <c r="AK35" s="485"/>
      <c r="AL35" s="401"/>
      <c r="AM35" s="417"/>
      <c r="AN35" s="545"/>
      <c r="AO35" s="498"/>
      <c r="AP35" s="401"/>
      <c r="AQ35" s="446"/>
      <c r="AR35" s="446"/>
      <c r="AS35" s="446"/>
      <c r="AT35" s="177"/>
      <c r="AU35" s="419"/>
      <c r="AV35" s="419"/>
      <c r="AW35" s="419"/>
      <c r="AX35" s="177"/>
      <c r="AY35" s="149"/>
      <c r="AZ35" s="149"/>
      <c r="BA35" s="149"/>
      <c r="BB35" s="149"/>
      <c r="BC35" s="149"/>
      <c r="BD35" s="149"/>
      <c r="BE35" s="149"/>
      <c r="BG35" s="448" t="str">
        <f ca="1">Horarios!Q34</f>
        <v>México</v>
      </c>
      <c r="BH35" s="449">
        <f t="shared" ca="1" si="0"/>
        <v>0</v>
      </c>
      <c r="BI35" s="449">
        <f ca="1">COUNTIF(Pool!$C$130:$C$161,Fixture!BG35)-BJ35-BK35-BL35-BM35-BN35-BO35</f>
        <v>1</v>
      </c>
      <c r="BJ35" s="450">
        <f ca="1">COUNTIF(Pool!$C$182:$C$197,Fixture!BG35)-BK35-BL35-BM35-BN35-BO35</f>
        <v>0</v>
      </c>
      <c r="BK35" s="451">
        <f ca="1">COUNTIF(Pool!$C$210:$C$217,Fixture!BG35)-BL35-BM35-BN35-BO35</f>
        <v>0</v>
      </c>
      <c r="BL35" s="451">
        <f ca="1">COUNTIF(Pool!$C$226:$C$229,Fixture!BG35)-BM35-BN35-BO35</f>
        <v>0</v>
      </c>
      <c r="BM35" s="449">
        <f ca="1">COUNTIF(Pool!$C$252,Fixture!BG35)</f>
        <v>0</v>
      </c>
      <c r="BN35" s="449">
        <f ca="1">COUNTIF(Pool!$C$251,Fixture!BG35)</f>
        <v>0</v>
      </c>
      <c r="BO35" s="452">
        <f ca="1">COUNTIF(Pool!$C$250,Fixture!BG35)</f>
        <v>0</v>
      </c>
    </row>
    <row r="36" spans="1:67" ht="15" thickBot="1">
      <c r="A36" s="177">
        <v>9</v>
      </c>
      <c r="B36" s="546"/>
      <c r="C36" s="430" t="str">
        <f ca="1">+MID(INDEX(WORLDCUP!$AA$4:$AA$147,MATCH(A36,WORLDCUP!$AH$4:$AH$147,0)),1,3)</f>
        <v>Cos</v>
      </c>
      <c r="D36" s="431">
        <f>IF(ISBLANK(INDEX(WORLDCUP!$AC$4:$AC$147,MATCH(A36,WORLDCUP!$AH$4:$AH$147,0))),"",INDEX(WORLDCUP!$AC$4:$AC$147,MATCH(A36,WORLDCUP!$AH$4:$AH$147,0)))</f>
        <v>0</v>
      </c>
      <c r="E36" s="431">
        <f>IF(ISBLANK(INDEX(WORLDCUP!$AD$4:$AD$147,MATCH(A36,WORLDCUP!$AH$4:$AH$147,0))),"",INDEX(WORLDCUP!$AD$4:$AD$147,MATCH(A36,WORLDCUP!$AH$4:$AH$147,0)))</f>
        <v>2</v>
      </c>
      <c r="F36" s="432" t="str">
        <f ca="1">+MID(INDEX(WORLDCUP!$AF$4:$AF$147,MATCH(A36,WORLDCUP!$AH$4:$AH$147,0)),1,3)</f>
        <v>Ecu</v>
      </c>
      <c r="G36" s="433">
        <v>1</v>
      </c>
      <c r="H36" s="434" t="str">
        <f ca="1">+MID(INDEX(WORLDCUP!$AL$6:$AL$97,MATCH(L36,WORLDCUP!$AI$6:$AI$97,0)),1,3)</f>
        <v>Ecu</v>
      </c>
      <c r="I36" s="435">
        <f ca="1">+INDEX(WORLDCUP!$AM$6:$AM$97,MATCH(L36,WORLDCUP!$AI$6:$AI$97,0))</f>
        <v>7</v>
      </c>
      <c r="J36" s="436">
        <f ca="1">+INDEX(WORLDCUP!$AT$6:$AT$97,MATCH(L36,WORLDCUP!$AI$6:$AI$97,0))</f>
        <v>6</v>
      </c>
      <c r="K36" s="437" t="str">
        <f ca="1">+INDEX(WORLDCUP!$AR$6:$AR$97,MATCH(L36,WORLDCUP!$AI$6:$AI$97,0))&amp;"-"&amp;INDEX(WORLDCUP!$AS$6:$AS$97,MATCH(L36,WORLDCUP!$AI$6:$AI$97,0))</f>
        <v>7-1</v>
      </c>
      <c r="L36" s="177" t="s">
        <v>673</v>
      </c>
      <c r="M36" s="177">
        <v>24</v>
      </c>
      <c r="N36" s="547"/>
      <c r="O36" s="430" t="str">
        <f ca="1">+MID(INDEX(WORLDCUP!$AA$4:$AA$147,MATCH(M36,WORLDCUP!$AH$4:$AH$147,0)),1,3)</f>
        <v>Uzb</v>
      </c>
      <c r="P36" s="431">
        <f>IF(ISBLANK(INDEX(WORLDCUP!$AC$4:$AC$147,MATCH(M36,WORLDCUP!$AH$4:$AH$147,0))),"",INDEX(WORLDCUP!$AC$4:$AC$147,MATCH(M36,WORLDCUP!$AH$4:$AH$147,0)))</f>
        <v>0</v>
      </c>
      <c r="Q36" s="431">
        <f>IF(ISBLANK(INDEX(WORLDCUP!$AD$4:$AD$147,MATCH(M36,WORLDCUP!$AH$4:$AH$147,0))),"",INDEX(WORLDCUP!$AD$4:$AD$147,MATCH(M36,WORLDCUP!$AH$4:$AH$147,0)))</f>
        <v>2</v>
      </c>
      <c r="R36" s="432" t="str">
        <f ca="1">+MID(INDEX(WORLDCUP!$AF$4:$AF$147,MATCH(M36,WORLDCUP!$AH$4:$AH$147,0)),1,3)</f>
        <v>Col</v>
      </c>
      <c r="S36" s="433">
        <v>1</v>
      </c>
      <c r="T36" s="434" t="str">
        <f ca="1">+MID(INDEX(WORLDCUP!$AL$6:$AL$97,MATCH(X36,WORLDCUP!$AI$6:$AI$97,0)),1,3)</f>
        <v>Por</v>
      </c>
      <c r="U36" s="435">
        <f ca="1">+INDEX(WORLDCUP!$AM$6:$AM$97,MATCH(X36,WORLDCUP!$AI$6:$AI$97,0))</f>
        <v>7</v>
      </c>
      <c r="V36" s="436">
        <f ca="1">+INDEX(WORLDCUP!$AT$6:$AT$97,MATCH(X36,WORLDCUP!$AI$6:$AI$97,0))</f>
        <v>5</v>
      </c>
      <c r="W36" s="437" t="str">
        <f ca="1">+INDEX(WORLDCUP!$AR$6:$AR$97,MATCH(X36,WORLDCUP!$AI$6:$AI$97,0))&amp;"-"&amp;INDEX(WORLDCUP!$AS$6:$AS$97,MATCH(X36,WORLDCUP!$AI$6:$AI$97,0))</f>
        <v>6-1</v>
      </c>
      <c r="X36" s="177" t="s">
        <v>691</v>
      </c>
      <c r="Y36" s="177">
        <v>80</v>
      </c>
      <c r="Z36" s="411" t="s">
        <v>694</v>
      </c>
      <c r="AA36" s="412" t="str">
        <f ca="1">+MID(INDEX(WORLDCUP!$AA$101:$AA$147,MATCH(Y36,WORLDCUP!$Z$101:$Z$147,0)),1,3)</f>
        <v>Ing</v>
      </c>
      <c r="AB36" s="458">
        <f>+IF(ISBLANK(INDEX(WORLDCUP!$AC$101:$AC$147,MATCH(Y36,WORLDCUP!$Z$101:$Z$147,0))),"",INDEX(WORLDCUP!$AC$101:$AC$147,MATCH(Y36,WORLDCUP!$Z$101:$Z$147,0)))</f>
        <v>2</v>
      </c>
      <c r="AC36" s="492" t="str">
        <f>+IF(ISBLANK(INDEX(WORLDCUP!$AB$101:$AB$147,MATCH(Y36,WORLDCUP!$Z$101:$Z$147,0))),"","( "&amp;INDEX(WORLDCUP!$AB$101:$AB$147,MATCH(Y36,WORLDCUP!$Z$101:$Z$147,0))&amp;" )")</f>
        <v/>
      </c>
      <c r="AD36" s="177"/>
      <c r="AE36" s="415"/>
      <c r="AF36" s="415"/>
      <c r="AG36" s="415"/>
      <c r="AH36" s="177"/>
      <c r="AI36" s="445"/>
      <c r="AJ36" s="445"/>
      <c r="AK36" s="485"/>
      <c r="AL36" s="401"/>
      <c r="AM36" s="417"/>
      <c r="AN36" s="417"/>
      <c r="AO36" s="498"/>
      <c r="AP36" s="401"/>
      <c r="AQ36" s="446"/>
      <c r="AR36" s="446"/>
      <c r="AS36" s="446"/>
      <c r="AT36" s="177"/>
      <c r="AU36" s="419"/>
      <c r="AV36" s="419"/>
      <c r="AW36" s="419"/>
      <c r="AX36" s="177"/>
      <c r="AY36" s="149"/>
      <c r="AZ36" s="149"/>
      <c r="BA36" s="149"/>
      <c r="BB36" s="149"/>
      <c r="BC36" s="149"/>
      <c r="BD36" s="149"/>
      <c r="BE36" s="149"/>
      <c r="BG36" s="448" t="str">
        <f ca="1">Horarios!Q35</f>
        <v>Noruega</v>
      </c>
      <c r="BH36" s="449">
        <f t="shared" ca="1" si="0"/>
        <v>0</v>
      </c>
      <c r="BI36" s="449">
        <f ca="1">COUNTIF(Pool!$C$130:$C$161,Fixture!BG36)-BJ36-BK36-BL36-BM36-BN36-BO36</f>
        <v>1</v>
      </c>
      <c r="BJ36" s="450">
        <f ca="1">COUNTIF(Pool!$C$182:$C$197,Fixture!BG36)-BK36-BL36-BM36-BN36-BO36</f>
        <v>0</v>
      </c>
      <c r="BK36" s="451">
        <f ca="1">COUNTIF(Pool!$C$210:$C$217,Fixture!BG36)-BL36-BM36-BN36-BO36</f>
        <v>0</v>
      </c>
      <c r="BL36" s="451">
        <f ca="1">COUNTIF(Pool!$C$226:$C$229,Fixture!BG36)-BM36-BN36-BO36</f>
        <v>0</v>
      </c>
      <c r="BM36" s="449">
        <f ca="1">COUNTIF(Pool!$C$252,Fixture!BG36)</f>
        <v>0</v>
      </c>
      <c r="BN36" s="449">
        <f ca="1">COUNTIF(Pool!$C$251,Fixture!BG36)</f>
        <v>0</v>
      </c>
      <c r="BO36" s="452">
        <f ca="1">COUNTIF(Pool!$C$250,Fixture!BG36)</f>
        <v>0</v>
      </c>
    </row>
    <row r="37" spans="1:67" ht="15" thickBot="1">
      <c r="A37" s="177">
        <v>33</v>
      </c>
      <c r="B37" s="546"/>
      <c r="C37" s="430" t="str">
        <f ca="1">+MID(INDEX(WORLDCUP!$AA$4:$AA$147,MATCH(A37,WORLDCUP!$AH$4:$AH$147,0)),1,3)</f>
        <v>Ale</v>
      </c>
      <c r="D37" s="431">
        <f>IF(ISBLANK(INDEX(WORLDCUP!$AC$4:$AC$147,MATCH(A37,WORLDCUP!$AH$4:$AH$147,0))),"",INDEX(WORLDCUP!$AC$4:$AC$147,MATCH(A37,WORLDCUP!$AH$4:$AH$147,0)))</f>
        <v>2</v>
      </c>
      <c r="E37" s="431">
        <f>IF(ISBLANK(INDEX(WORLDCUP!$AD$4:$AD$147,MATCH(A37,WORLDCUP!$AH$4:$AH$147,0))),"",INDEX(WORLDCUP!$AD$4:$AD$147,MATCH(A37,WORLDCUP!$AH$4:$AH$147,0)))</f>
        <v>1</v>
      </c>
      <c r="F37" s="432" t="str">
        <f ca="1">+MID(INDEX(WORLDCUP!$AF$4:$AF$147,MATCH(A37,WORLDCUP!$AH$4:$AH$147,0)),1,3)</f>
        <v>Cos</v>
      </c>
      <c r="G37" s="453">
        <v>2</v>
      </c>
      <c r="H37" s="454" t="str">
        <f ca="1">+MID(INDEX(WORLDCUP!$AL$6:$AL$97,MATCH(L37,WORLDCUP!$AI$6:$AI$97,0)),1,3)</f>
        <v>Ale</v>
      </c>
      <c r="I37" s="35">
        <f ca="1">+INDEX(WORLDCUP!$AM$6:$AM$97,MATCH(L37,WORLDCUP!$AI$6:$AI$97,0))</f>
        <v>7</v>
      </c>
      <c r="J37" s="36">
        <f ca="1">+INDEX(WORLDCUP!$AT$6:$AT$97,MATCH(L37,WORLDCUP!$AI$6:$AI$97,0))</f>
        <v>4</v>
      </c>
      <c r="K37" s="40" t="str">
        <f ca="1">+INDEX(WORLDCUP!$AR$6:$AR$97,MATCH(L37,WORLDCUP!$AI$6:$AI$97,0))&amp;"-"&amp;INDEX(WORLDCUP!$AS$6:$AS$97,MATCH(L37,WORLDCUP!$AI$6:$AI$97,0))</f>
        <v>6-2</v>
      </c>
      <c r="L37" s="177" t="s">
        <v>674</v>
      </c>
      <c r="M37" s="177">
        <v>47</v>
      </c>
      <c r="N37" s="547"/>
      <c r="O37" s="430" t="str">
        <f ca="1">+MID(INDEX(WORLDCUP!$AA$4:$AA$147,MATCH(M37,WORLDCUP!$AH$4:$AH$147,0)),1,3)</f>
        <v>Por</v>
      </c>
      <c r="P37" s="431">
        <f>IF(ISBLANK(INDEX(WORLDCUP!$AC$4:$AC$147,MATCH(M37,WORLDCUP!$AH$4:$AH$147,0))),"",INDEX(WORLDCUP!$AC$4:$AC$147,MATCH(M37,WORLDCUP!$AH$4:$AH$147,0)))</f>
        <v>2</v>
      </c>
      <c r="Q37" s="431">
        <f>IF(ISBLANK(INDEX(WORLDCUP!$AD$4:$AD$147,MATCH(M37,WORLDCUP!$AH$4:$AH$147,0))),"",INDEX(WORLDCUP!$AD$4:$AD$147,MATCH(M37,WORLDCUP!$AH$4:$AH$147,0)))</f>
        <v>0</v>
      </c>
      <c r="R37" s="432" t="str">
        <f ca="1">+MID(INDEX(WORLDCUP!$AF$4:$AF$147,MATCH(M37,WORLDCUP!$AH$4:$AH$147,0)),1,3)</f>
        <v>Uzb</v>
      </c>
      <c r="S37" s="453">
        <v>2</v>
      </c>
      <c r="T37" s="454" t="str">
        <f ca="1">+MID(INDEX(WORLDCUP!$AL$6:$AL$97,MATCH(X37,WORLDCUP!$AI$6:$AI$97,0)),1,3)</f>
        <v>Col</v>
      </c>
      <c r="U37" s="35">
        <f ca="1">+INDEX(WORLDCUP!$AM$6:$AM$97,MATCH(X37,WORLDCUP!$AI$6:$AI$97,0))</f>
        <v>7</v>
      </c>
      <c r="V37" s="36">
        <f ca="1">+INDEX(WORLDCUP!$AT$6:$AT$97,MATCH(X37,WORLDCUP!$AI$6:$AI$97,0))</f>
        <v>4</v>
      </c>
      <c r="W37" s="40" t="str">
        <f ca="1">+INDEX(WORLDCUP!$AR$6:$AR$97,MATCH(X37,WORLDCUP!$AI$6:$AI$97,0))&amp;"-"&amp;INDEX(WORLDCUP!$AS$6:$AS$97,MATCH(X37,WORLDCUP!$AI$6:$AI$97,0))</f>
        <v>5-1</v>
      </c>
      <c r="X37" s="177" t="s">
        <v>692</v>
      </c>
      <c r="Y37" s="177">
        <v>80</v>
      </c>
      <c r="Z37" s="411" t="s">
        <v>737</v>
      </c>
      <c r="AA37" s="466" t="str">
        <f ca="1">+MID(INDEX(WORLDCUP!$AF$101:$AF$147,MATCH(Y37,WORLDCUP!$Z$101:$Z$147,0)),1,IF(WORLDCUP!$H$113&lt;144,6,3))</f>
        <v>Sen</v>
      </c>
      <c r="AB37" s="467">
        <f>+IF(ISBLANK(INDEX(WORLDCUP!$AD$101:$AD$147,MATCH(Y37,WORLDCUP!$Z$101:$Z$147,0))),"",INDEX(WORLDCUP!$AD$101:$AD$147,MATCH(Y37,WORLDCUP!$Z$101:$Z$147,0)))</f>
        <v>0</v>
      </c>
      <c r="AC37" s="493" t="str">
        <f>+IF(ISBLANK(INDEX(WORLDCUP!$AE$101:$AE$147,MATCH(Y37,WORLDCUP!$Z$101:$Z$147,0))),"","( "&amp;INDEX(WORLDCUP!$AE$101:$AE$147,MATCH(Y37,WORLDCUP!$Z$101:$Z$147,0))&amp;" )")</f>
        <v/>
      </c>
      <c r="AD37" s="177"/>
      <c r="AE37" s="415"/>
      <c r="AF37" s="415"/>
      <c r="AG37" s="415"/>
      <c r="AH37" s="177"/>
      <c r="AI37" s="445"/>
      <c r="AJ37" s="445"/>
      <c r="AK37" s="485"/>
      <c r="AL37" s="486">
        <v>102</v>
      </c>
      <c r="AM37" s="494" t="str">
        <f ca="1">+MID(INDEX(WORLDCUP!$AA$101:$AA$147,MATCH(AL37,WORLDCUP!$Z$101:$Z$147,0)),1,3)</f>
        <v>Ale</v>
      </c>
      <c r="AN37" s="495">
        <f>+IF(ISBLANK(INDEX(WORLDCUP!$AC$101:$AC$147,MATCH(AL37,WORLDCUP!$Z$101:$Z$147,0))),"",INDEX(WORLDCUP!$AC$101:$AC$147,MATCH(AL37,WORLDCUP!$Z$101:$Z$147,0)))</f>
        <v>1</v>
      </c>
      <c r="AO37" s="548" t="str">
        <f>+IF(ISBLANK(INDEX(WORLDCUP!$AB$101:$AB$147,MATCH(AL37,WORLDCUP!$Z$101:$Z$147,0))),"","( "&amp;INDEX(WORLDCUP!$AB$101:$AB$147,MATCH(AL37,WORLDCUP!$Z$101:$Z$147,0))&amp;" )")</f>
        <v/>
      </c>
      <c r="AP37" s="177"/>
      <c r="AQ37" s="446"/>
      <c r="AR37" s="446"/>
      <c r="AS37" s="446"/>
      <c r="AT37" s="177"/>
      <c r="AU37" s="419"/>
      <c r="AV37" s="419"/>
      <c r="AW37" s="419"/>
      <c r="AX37" s="177"/>
      <c r="AY37" s="149"/>
      <c r="AZ37" s="149"/>
      <c r="BA37" s="149"/>
      <c r="BB37" s="149"/>
      <c r="BC37" s="149"/>
      <c r="BD37" s="149"/>
      <c r="BE37" s="149"/>
      <c r="BG37" s="448" t="str">
        <f ca="1">Horarios!Q36</f>
        <v>Nueva Zelanda</v>
      </c>
      <c r="BH37" s="449">
        <f t="shared" ca="1" si="0"/>
        <v>1</v>
      </c>
      <c r="BI37" s="449">
        <f ca="1">COUNTIF(Pool!$C$130:$C$161,Fixture!BG37)-BJ37-BK37-BL37-BM37-BN37-BO37</f>
        <v>0</v>
      </c>
      <c r="BJ37" s="450">
        <f ca="1">COUNTIF(Pool!$C$182:$C$197,Fixture!BG37)-BK37-BL37-BM37-BN37-BO37</f>
        <v>0</v>
      </c>
      <c r="BK37" s="451">
        <f ca="1">COUNTIF(Pool!$C$210:$C$217,Fixture!BG37)-BL37-BM37-BN37-BO37</f>
        <v>0</v>
      </c>
      <c r="BL37" s="451">
        <f ca="1">COUNTIF(Pool!$C$226:$C$229,Fixture!BG37)-BM37-BN37-BO37</f>
        <v>0</v>
      </c>
      <c r="BM37" s="449">
        <f ca="1">COUNTIF(Pool!$C$252,Fixture!BG37)</f>
        <v>0</v>
      </c>
      <c r="BN37" s="449">
        <f ca="1">COUNTIF(Pool!$C$251,Fixture!BG37)</f>
        <v>0</v>
      </c>
      <c r="BO37" s="452">
        <f ca="1">COUNTIF(Pool!$C$250,Fixture!BG37)</f>
        <v>0</v>
      </c>
    </row>
    <row r="38" spans="1:67">
      <c r="A38" s="177">
        <v>34</v>
      </c>
      <c r="B38" s="546"/>
      <c r="C38" s="430" t="str">
        <f ca="1">+MID(INDEX(WORLDCUP!$AA$4:$AA$147,MATCH(A38,WORLDCUP!$AH$4:$AH$147,0)),1,3)</f>
        <v>Ecu</v>
      </c>
      <c r="D38" s="431">
        <f>IF(ISBLANK(INDEX(WORLDCUP!$AC$4:$AC$147,MATCH(A38,WORLDCUP!$AH$4:$AH$147,0))),"",INDEX(WORLDCUP!$AC$4:$AC$147,MATCH(A38,WORLDCUP!$AH$4:$AH$147,0)))</f>
        <v>4</v>
      </c>
      <c r="E38" s="431">
        <f>IF(ISBLANK(INDEX(WORLDCUP!$AD$4:$AD$147,MATCH(A38,WORLDCUP!$AH$4:$AH$147,0))),"",INDEX(WORLDCUP!$AD$4:$AD$147,MATCH(A38,WORLDCUP!$AH$4:$AH$147,0)))</f>
        <v>0</v>
      </c>
      <c r="F38" s="432" t="str">
        <f ca="1">+MID(INDEX(WORLDCUP!$AF$4:$AF$147,MATCH(A38,WORLDCUP!$AH$4:$AH$147,0)),1,3)</f>
        <v>Cur</v>
      </c>
      <c r="G38" s="453">
        <v>3</v>
      </c>
      <c r="H38" s="454" t="str">
        <f ca="1">+MID(INDEX(WORLDCUP!$AL$6:$AL$97,MATCH(L38,WORLDCUP!$AI$6:$AI$97,0)),1,3)</f>
        <v>Cos</v>
      </c>
      <c r="I38" s="35">
        <f ca="1">+INDEX(WORLDCUP!$AM$6:$AM$97,MATCH(L38,WORLDCUP!$AI$6:$AI$97,0))</f>
        <v>3</v>
      </c>
      <c r="J38" s="36">
        <f ca="1">+INDEX(WORLDCUP!$AT$6:$AT$97,MATCH(L38,WORLDCUP!$AI$6:$AI$97,0))</f>
        <v>-1</v>
      </c>
      <c r="K38" s="40" t="str">
        <f ca="1">+INDEX(WORLDCUP!$AR$6:$AR$97,MATCH(L38,WORLDCUP!$AI$6:$AI$97,0))&amp;"-"&amp;INDEX(WORLDCUP!$AS$6:$AS$97,MATCH(L38,WORLDCUP!$AI$6:$AI$97,0))</f>
        <v>4-5</v>
      </c>
      <c r="L38" s="177" t="s">
        <v>94</v>
      </c>
      <c r="M38" s="177">
        <v>48</v>
      </c>
      <c r="N38" s="547"/>
      <c r="O38" s="430" t="str">
        <f ca="1">+MID(INDEX(WORLDCUP!$AA$4:$AA$147,MATCH(M38,WORLDCUP!$AH$4:$AH$147,0)),1,3)</f>
        <v>Col</v>
      </c>
      <c r="P38" s="431">
        <f>IF(ISBLANK(INDEX(WORLDCUP!$AC$4:$AC$147,MATCH(M38,WORLDCUP!$AH$4:$AH$147,0))),"",INDEX(WORLDCUP!$AC$4:$AC$147,MATCH(M38,WORLDCUP!$AH$4:$AH$147,0)))</f>
        <v>2</v>
      </c>
      <c r="Q38" s="431">
        <f>IF(ISBLANK(INDEX(WORLDCUP!$AD$4:$AD$147,MATCH(M38,WORLDCUP!$AH$4:$AH$147,0))),"",INDEX(WORLDCUP!$AD$4:$AD$147,MATCH(M38,WORLDCUP!$AH$4:$AH$147,0)))</f>
        <v>0</v>
      </c>
      <c r="R38" s="432" t="str">
        <f ca="1">+MID(INDEX(WORLDCUP!$AF$4:$AF$147,MATCH(M38,WORLDCUP!$AH$4:$AH$147,0)),1,3)</f>
        <v xml:space="preserve">RD </v>
      </c>
      <c r="S38" s="453">
        <v>3</v>
      </c>
      <c r="T38" s="454" t="str">
        <f ca="1">+MID(INDEX(WORLDCUP!$AL$6:$AL$97,MATCH(X38,WORLDCUP!$AI$6:$AI$97,0)),1,3)</f>
        <v>Uzb</v>
      </c>
      <c r="U38" s="35">
        <f ca="1">+INDEX(WORLDCUP!$AM$6:$AM$97,MATCH(X38,WORLDCUP!$AI$6:$AI$97,0))</f>
        <v>1</v>
      </c>
      <c r="V38" s="36">
        <f ca="1">+INDEX(WORLDCUP!$AT$6:$AT$97,MATCH(X38,WORLDCUP!$AI$6:$AI$97,0))</f>
        <v>-4</v>
      </c>
      <c r="W38" s="40" t="str">
        <f ca="1">+INDEX(WORLDCUP!$AR$6:$AR$97,MATCH(X38,WORLDCUP!$AI$6:$AI$97,0))&amp;"-"&amp;INDEX(WORLDCUP!$AS$6:$AS$97,MATCH(X38,WORLDCUP!$AI$6:$AI$97,0))</f>
        <v>1-5</v>
      </c>
      <c r="X38" s="177" t="s">
        <v>452</v>
      </c>
      <c r="Y38" s="177"/>
      <c r="Z38" s="411"/>
      <c r="AA38" s="480"/>
      <c r="AB38" s="480"/>
      <c r="AC38" s="480"/>
      <c r="AD38" s="177"/>
      <c r="AE38" s="415"/>
      <c r="AF38" s="415"/>
      <c r="AG38" s="415"/>
      <c r="AH38" s="177"/>
      <c r="AI38" s="445"/>
      <c r="AJ38" s="445"/>
      <c r="AK38" s="485"/>
      <c r="AL38" s="177">
        <v>102</v>
      </c>
      <c r="AM38" s="494" t="str" cm="1">
        <f t="array" aca="1" ref="AM38" ca="1">+MID(INDEX(WORLDCUP!$AF$101:$AF$147,MATCH(AL38,WORLDCUP!$Z$101:$Z$147,0)),1,IF(OR(ISBLANK(AC134:AD134)),4,3))</f>
        <v>Port</v>
      </c>
      <c r="AN38" s="495">
        <f>+IF(ISBLANK(INDEX(WORLDCUP!$AD$101:$AD$147,MATCH(AL38,WORLDCUP!$Z$101:$Z$147,0))),"",INDEX(WORLDCUP!$AD$101:$AD$147,MATCH(AL38,WORLDCUP!$Z$101:$Z$147,0)))</f>
        <v>2</v>
      </c>
      <c r="AO38" s="417" t="str">
        <f>+IF(ISBLANK(INDEX(WORLDCUP!$AE$101:$AE$147,MATCH(AL38,WORLDCUP!$Z$101:$Z$147,0))),"","( "&amp;INDEX(WORLDCUP!$AE$101:$AE$147,MATCH(AL38,WORLDCUP!$Z$101:$Z$147,0))&amp;" )")</f>
        <v/>
      </c>
      <c r="AP38" s="177"/>
      <c r="AQ38" s="446"/>
      <c r="AR38" s="446"/>
      <c r="AS38" s="446"/>
      <c r="AT38" s="177"/>
      <c r="AU38" s="419"/>
      <c r="AV38" s="419"/>
      <c r="AW38" s="419"/>
      <c r="AX38" s="177"/>
      <c r="AY38" s="149"/>
      <c r="AZ38" s="149"/>
      <c r="BA38" s="149"/>
      <c r="BB38" s="149"/>
      <c r="BC38" s="149"/>
      <c r="BD38" s="149"/>
      <c r="BE38" s="149"/>
      <c r="BG38" s="448" t="str">
        <f ca="1">Horarios!Q37</f>
        <v>Países Bajos</v>
      </c>
      <c r="BH38" s="449">
        <f t="shared" ca="1" si="0"/>
        <v>0</v>
      </c>
      <c r="BI38" s="449">
        <f ca="1">COUNTIF(Pool!$C$130:$C$161,Fixture!BG38)-BJ38-BK38-BL38-BM38-BN38-BO38</f>
        <v>0</v>
      </c>
      <c r="BJ38" s="450">
        <f ca="1">COUNTIF(Pool!$C$182:$C$197,Fixture!BG38)-BK38-BL38-BM38-BN38-BO38</f>
        <v>1</v>
      </c>
      <c r="BK38" s="451">
        <f ca="1">COUNTIF(Pool!$C$210:$C$217,Fixture!BG38)-BL38-BM38-BN38-BO38</f>
        <v>0</v>
      </c>
      <c r="BL38" s="451">
        <f ca="1">COUNTIF(Pool!$C$226:$C$229,Fixture!BG38)-BM38-BN38-BO38</f>
        <v>0</v>
      </c>
      <c r="BM38" s="449">
        <f ca="1">COUNTIF(Pool!$C$252,Fixture!BG38)</f>
        <v>0</v>
      </c>
      <c r="BN38" s="449">
        <f ca="1">COUNTIF(Pool!$C$251,Fixture!BG38)</f>
        <v>0</v>
      </c>
      <c r="BO38" s="452">
        <f ca="1">COUNTIF(Pool!$C$250,Fixture!BG38)</f>
        <v>0</v>
      </c>
    </row>
    <row r="39" spans="1:67" ht="15" thickBot="1">
      <c r="A39" s="177">
        <v>55</v>
      </c>
      <c r="B39" s="546"/>
      <c r="C39" s="430" t="str">
        <f ca="1">+MID(INDEX(WORLDCUP!$AA$4:$AA$147,MATCH(A39,WORLDCUP!$AH$4:$AH$147,0)),1,3)</f>
        <v>Cur</v>
      </c>
      <c r="D39" s="431">
        <f>IF(ISBLANK(INDEX(WORLDCUP!$AC$4:$AC$147,MATCH(A39,WORLDCUP!$AH$4:$AH$147,0))),"",INDEX(WORLDCUP!$AC$4:$AC$147,MATCH(A39,WORLDCUP!$AH$4:$AH$147,0)))</f>
        <v>1</v>
      </c>
      <c r="E39" s="431">
        <f>IF(ISBLANK(INDEX(WORLDCUP!$AD$4:$AD$147,MATCH(A39,WORLDCUP!$AH$4:$AH$147,0))),"",INDEX(WORLDCUP!$AD$4:$AD$147,MATCH(A39,WORLDCUP!$AH$4:$AH$147,0)))</f>
        <v>3</v>
      </c>
      <c r="F39" s="432" t="str">
        <f ca="1">+MID(INDEX(WORLDCUP!$AF$4:$AF$147,MATCH(A39,WORLDCUP!$AH$4:$AH$147,0)),1,3)</f>
        <v>Cos</v>
      </c>
      <c r="G39" s="453">
        <v>4</v>
      </c>
      <c r="H39" s="462" t="str">
        <f ca="1">+MID(INDEX(WORLDCUP!$AL$6:$AL$97,MATCH(L39,WORLDCUP!$AI$6:$AI$97,0)),1,3)</f>
        <v>Cur</v>
      </c>
      <c r="I39" s="463">
        <f ca="1">+INDEX(WORLDCUP!$AM$6:$AM$97,MATCH(L39,WORLDCUP!$AI$6:$AI$97,0))</f>
        <v>0</v>
      </c>
      <c r="J39" s="464">
        <f ca="1">+INDEX(WORLDCUP!$AT$6:$AT$97,MATCH(L39,WORLDCUP!$AI$6:$AI$97,0))</f>
        <v>-9</v>
      </c>
      <c r="K39" s="465" t="str">
        <f ca="1">+INDEX(WORLDCUP!$AR$6:$AR$97,MATCH(L39,WORLDCUP!$AI$6:$AI$97,0))&amp;"-"&amp;INDEX(WORLDCUP!$AS$6:$AS$97,MATCH(L39,WORLDCUP!$AI$6:$AI$97,0))</f>
        <v>1-10</v>
      </c>
      <c r="L39" s="177" t="s">
        <v>675</v>
      </c>
      <c r="M39" s="177">
        <v>71</v>
      </c>
      <c r="N39" s="547"/>
      <c r="O39" s="430" t="str">
        <f ca="1">+MID(INDEX(WORLDCUP!$AA$4:$AA$147,MATCH(M39,WORLDCUP!$AH$4:$AH$147,0)),1,3)</f>
        <v>Col</v>
      </c>
      <c r="P39" s="431">
        <f>IF(ISBLANK(INDEX(WORLDCUP!$AC$4:$AC$147,MATCH(M39,WORLDCUP!$AH$4:$AH$147,0))),"",INDEX(WORLDCUP!$AC$4:$AC$147,MATCH(M39,WORLDCUP!$AH$4:$AH$147,0)))</f>
        <v>1</v>
      </c>
      <c r="Q39" s="431">
        <f>IF(ISBLANK(INDEX(WORLDCUP!$AD$4:$AD$147,MATCH(M39,WORLDCUP!$AH$4:$AH$147,0))),"",INDEX(WORLDCUP!$AD$4:$AD$147,MATCH(M39,WORLDCUP!$AH$4:$AH$147,0)))</f>
        <v>1</v>
      </c>
      <c r="R39" s="432" t="str">
        <f ca="1">+MID(INDEX(WORLDCUP!$AF$4:$AF$147,MATCH(M39,WORLDCUP!$AH$4:$AH$147,0)),1,3)</f>
        <v>Por</v>
      </c>
      <c r="S39" s="453">
        <v>4</v>
      </c>
      <c r="T39" s="462" t="str">
        <f ca="1">+MID(INDEX(WORLDCUP!$AL$6:$AL$97,MATCH(X39,WORLDCUP!$AI$6:$AI$97,0)),1,3)</f>
        <v xml:space="preserve">RD </v>
      </c>
      <c r="U39" s="463">
        <f ca="1">+INDEX(WORLDCUP!$AM$6:$AM$97,MATCH(X39,WORLDCUP!$AI$6:$AI$97,0))</f>
        <v>1</v>
      </c>
      <c r="V39" s="464">
        <f ca="1">+INDEX(WORLDCUP!$AT$6:$AT$97,MATCH(X39,WORLDCUP!$AI$6:$AI$97,0))</f>
        <v>-5</v>
      </c>
      <c r="W39" s="465" t="str">
        <f ca="1">+INDEX(WORLDCUP!$AR$6:$AR$97,MATCH(X39,WORLDCUP!$AI$6:$AI$97,0))&amp;"-"&amp;INDEX(WORLDCUP!$AS$6:$AS$97,MATCH(X39,WORLDCUP!$AI$6:$AI$97,0))</f>
        <v>1-6</v>
      </c>
      <c r="X39" s="177" t="s">
        <v>693</v>
      </c>
      <c r="Y39" s="177">
        <v>86</v>
      </c>
      <c r="Z39" s="411" t="s">
        <v>688</v>
      </c>
      <c r="AA39" s="412" t="str">
        <f ca="1">+MID(INDEX(WORLDCUP!$AA$101:$AA$147,MATCH(Y39,WORLDCUP!$Z$101:$Z$147,0)),1,3)</f>
        <v>Arg</v>
      </c>
      <c r="AB39" s="413">
        <f>+IF(ISBLANK(INDEX(WORLDCUP!$AC$101:$AC$147,MATCH(Y39,WORLDCUP!$Z$101:$Z$147,0))),"",INDEX(WORLDCUP!$AC$101:$AC$147,MATCH(Y39,WORLDCUP!$Z$101:$Z$147,0)))</f>
        <v>3</v>
      </c>
      <c r="AC39" s="484" t="str">
        <f>+IF(ISBLANK(INDEX(WORLDCUP!$AB$101:$AB$147,MATCH(Y39,WORLDCUP!$Z$101:$Z$147,0))),"","( "&amp;INDEX(WORLDCUP!$AB$101:$AB$147,MATCH(Y39,WORLDCUP!$Z$101:$Z$147,0))&amp;" )")</f>
        <v/>
      </c>
      <c r="AD39" s="175"/>
      <c r="AE39" s="415"/>
      <c r="AF39" s="415"/>
      <c r="AG39" s="415"/>
      <c r="AH39" s="177"/>
      <c r="AI39" s="445"/>
      <c r="AJ39" s="445"/>
      <c r="AK39" s="485"/>
      <c r="AL39" s="401"/>
      <c r="AM39" s="417"/>
      <c r="AN39" s="417"/>
      <c r="AO39" s="417"/>
      <c r="AP39" s="177"/>
      <c r="AQ39" s="446"/>
      <c r="AR39" s="446"/>
      <c r="AS39" s="446"/>
      <c r="AT39" s="177"/>
      <c r="AU39" s="419"/>
      <c r="AV39" s="419"/>
      <c r="AW39" s="419"/>
      <c r="AX39" s="177"/>
      <c r="AY39" s="149"/>
      <c r="AZ39" s="149"/>
      <c r="BA39" s="149"/>
      <c r="BB39" s="149"/>
      <c r="BC39" s="149"/>
      <c r="BD39" s="149"/>
      <c r="BE39" s="149"/>
      <c r="BG39" s="448" t="str">
        <f ca="1">Horarios!Q38</f>
        <v>Panamá</v>
      </c>
      <c r="BH39" s="449">
        <f t="shared" ca="1" si="0"/>
        <v>1</v>
      </c>
      <c r="BI39" s="449">
        <f ca="1">COUNTIF(Pool!$C$130:$C$161,Fixture!BG39)-BJ39-BK39-BL39-BM39-BN39-BO39</f>
        <v>0</v>
      </c>
      <c r="BJ39" s="450">
        <f ca="1">COUNTIF(Pool!$C$182:$C$197,Fixture!BG39)-BK39-BL39-BM39-BN39-BO39</f>
        <v>0</v>
      </c>
      <c r="BK39" s="451">
        <f ca="1">COUNTIF(Pool!$C$210:$C$217,Fixture!BG39)-BL39-BM39-BN39-BO39</f>
        <v>0</v>
      </c>
      <c r="BL39" s="451">
        <f ca="1">COUNTIF(Pool!$C$226:$C$229,Fixture!BG39)-BM39-BN39-BO39</f>
        <v>0</v>
      </c>
      <c r="BM39" s="449">
        <f ca="1">COUNTIF(Pool!$C$252,Fixture!BG39)</f>
        <v>0</v>
      </c>
      <c r="BN39" s="449">
        <f ca="1">COUNTIF(Pool!$C$251,Fixture!BG39)</f>
        <v>0</v>
      </c>
      <c r="BO39" s="452">
        <f ca="1">COUNTIF(Pool!$C$250,Fixture!BG39)</f>
        <v>0</v>
      </c>
    </row>
    <row r="40" spans="1:67" ht="15" thickBot="1">
      <c r="A40" s="177">
        <v>56</v>
      </c>
      <c r="B40" s="549"/>
      <c r="C40" s="473" t="str">
        <f ca="1">+MID(INDEX(WORLDCUP!$AA$4:$AA$147,MATCH(A40,WORLDCUP!$AH$4:$AH$147,0)),1,3)</f>
        <v>Ecu</v>
      </c>
      <c r="D40" s="474">
        <f>IF(ISBLANK(INDEX(WORLDCUP!$AC$4:$AC$147,MATCH(A40,WORLDCUP!$AH$4:$AH$147,0))),"",INDEX(WORLDCUP!$AC$4:$AC$147,MATCH(A40,WORLDCUP!$AH$4:$AH$147,0)))</f>
        <v>1</v>
      </c>
      <c r="E40" s="474">
        <f>IF(ISBLANK(INDEX(WORLDCUP!$AD$4:$AD$147,MATCH(A40,WORLDCUP!$AH$4:$AH$147,0))),"",INDEX(WORLDCUP!$AD$4:$AD$147,MATCH(A40,WORLDCUP!$AH$4:$AH$147,0)))</f>
        <v>1</v>
      </c>
      <c r="F40" s="475" t="str">
        <f ca="1">+MID(INDEX(WORLDCUP!$AF$4:$AF$147,MATCH(A40,WORLDCUP!$AH$4:$AH$147,0)),1,3)</f>
        <v>Ale</v>
      </c>
      <c r="G40" s="476"/>
      <c r="H40" s="476"/>
      <c r="I40" s="477"/>
      <c r="J40" s="477"/>
      <c r="K40" s="478"/>
      <c r="L40" s="177"/>
      <c r="M40" s="177">
        <v>72</v>
      </c>
      <c r="N40" s="550"/>
      <c r="O40" s="473" t="str">
        <f ca="1">+MID(INDEX(WORLDCUP!$AA$4:$AA$147,MATCH(M40,WORLDCUP!$AH$4:$AH$147,0)),1,3)</f>
        <v xml:space="preserve">RD </v>
      </c>
      <c r="P40" s="474">
        <f>IF(ISBLANK(INDEX(WORLDCUP!$AC$4:$AC$147,MATCH(M40,WORLDCUP!$AH$4:$AH$147,0))),"",INDEX(WORLDCUP!$AC$4:$AC$147,MATCH(M40,WORLDCUP!$AH$4:$AH$147,0)))</f>
        <v>1</v>
      </c>
      <c r="Q40" s="474">
        <f>IF(ISBLANK(INDEX(WORLDCUP!$AD$4:$AD$147,MATCH(M40,WORLDCUP!$AH$4:$AH$147,0))),"",INDEX(WORLDCUP!$AD$4:$AD$147,MATCH(M40,WORLDCUP!$AH$4:$AH$147,0)))</f>
        <v>1</v>
      </c>
      <c r="R40" s="475" t="str">
        <f ca="1">+MID(INDEX(WORLDCUP!$AF$4:$AF$147,MATCH(M40,WORLDCUP!$AH$4:$AH$147,0)),1,3)</f>
        <v>Uzb</v>
      </c>
      <c r="S40" s="476"/>
      <c r="T40" s="476"/>
      <c r="U40" s="477"/>
      <c r="V40" s="477"/>
      <c r="W40" s="478"/>
      <c r="X40" s="177"/>
      <c r="Y40" s="177">
        <v>86</v>
      </c>
      <c r="Z40" s="411" t="s">
        <v>683</v>
      </c>
      <c r="AA40" s="412" t="str">
        <f ca="1">+MID(INDEX(WORLDCUP!$AF$101:$AF$147,MATCH(Y40,WORLDCUP!$Z$101:$Z$147,0)),1,3)</f>
        <v>Uru</v>
      </c>
      <c r="AB40" s="439">
        <f>+IF(ISBLANK(INDEX(WORLDCUP!$AD$101:$AD$147,MATCH(Y40,WORLDCUP!$Z$101:$Z$147,0))),"",INDEX(WORLDCUP!$AD$101:$AD$147,MATCH(Y40,WORLDCUP!$Z$101:$Z$147,0)))</f>
        <v>2</v>
      </c>
      <c r="AC40" s="440" t="str">
        <f>+IF(ISBLANK(INDEX(WORLDCUP!$AE$101:$AE$147,MATCH(Y40,WORLDCUP!$Z$101:$Z$147,0))),"","( "&amp;INDEX(WORLDCUP!$AE$101:$AE$147,MATCH(Y40,WORLDCUP!$Z$101:$Z$147,0))&amp;" )")</f>
        <v/>
      </c>
      <c r="AD40" s="441">
        <v>95</v>
      </c>
      <c r="AE40" s="442" t="str">
        <f ca="1">+MID(INDEX(WORLDCUP!$AA$101:$AA$147,MATCH(AD40,WORLDCUP!$Z$101:$Z$147,0)),1,3)</f>
        <v>Arg</v>
      </c>
      <c r="AF40" s="443">
        <f>+IF(ISBLANK(INDEX(WORLDCUP!$AC$101:$AC$147,MATCH(AD40,WORLDCUP!$Z$101:$Z$147,0))),"",INDEX(WORLDCUP!$AC$101:$AC$147,MATCH(AD40,WORLDCUP!$Z$101:$Z$147,0)))</f>
        <v>2</v>
      </c>
      <c r="AG40" s="444" t="str">
        <f>+IF(ISBLANK(INDEX(WORLDCUP!$AB$101:$AB$147,MATCH(AD40,WORLDCUP!$Z$101:$Z$147,0))),"","( "&amp;INDEX(WORLDCUP!$AB$101:$AB$147,MATCH(AD40,WORLDCUP!$Z$101:$Z$147,0))&amp;" )")</f>
        <v/>
      </c>
      <c r="AH40" s="177"/>
      <c r="AI40" s="445"/>
      <c r="AJ40" s="445"/>
      <c r="AK40" s="485"/>
      <c r="AL40" s="401"/>
      <c r="AM40" s="417"/>
      <c r="AN40" s="417"/>
      <c r="AO40" s="417"/>
      <c r="AP40" s="177"/>
      <c r="AQ40" s="446"/>
      <c r="AR40" s="446"/>
      <c r="AS40" s="446"/>
      <c r="AT40" s="177"/>
      <c r="AU40" s="419"/>
      <c r="AV40" s="419"/>
      <c r="AW40" s="419"/>
      <c r="AX40" s="177"/>
      <c r="AY40" s="149"/>
      <c r="AZ40" s="149"/>
      <c r="BA40" s="149"/>
      <c r="BB40" s="149"/>
      <c r="BC40" s="149"/>
      <c r="BD40" s="149"/>
      <c r="BE40" s="149"/>
      <c r="BG40" s="448" t="str">
        <f ca="1">Horarios!Q39</f>
        <v>Paraguay</v>
      </c>
      <c r="BH40" s="449">
        <f t="shared" ca="1" si="0"/>
        <v>0</v>
      </c>
      <c r="BI40" s="449">
        <f ca="1">COUNTIF(Pool!$C$130:$C$161,Fixture!BG40)-BJ40-BK40-BL40-BM40-BN40-BO40</f>
        <v>0</v>
      </c>
      <c r="BJ40" s="450">
        <f ca="1">COUNTIF(Pool!$C$182:$C$197,Fixture!BG40)-BK40-BL40-BM40-BN40-BO40</f>
        <v>1</v>
      </c>
      <c r="BK40" s="451">
        <f ca="1">COUNTIF(Pool!$C$210:$C$217,Fixture!BG40)-BL40-BM40-BN40-BO40</f>
        <v>0</v>
      </c>
      <c r="BL40" s="451">
        <f ca="1">COUNTIF(Pool!$C$226:$C$229,Fixture!BG40)-BM40-BN40-BO40</f>
        <v>0</v>
      </c>
      <c r="BM40" s="449">
        <f ca="1">COUNTIF(Pool!$C$252,Fixture!BG40)</f>
        <v>0</v>
      </c>
      <c r="BN40" s="449">
        <f ca="1">COUNTIF(Pool!$C$251,Fixture!BG40)</f>
        <v>0</v>
      </c>
      <c r="BO40" s="452">
        <f ca="1">COUNTIF(Pool!$C$250,Fixture!BG40)</f>
        <v>0</v>
      </c>
    </row>
    <row r="41" spans="1:67">
      <c r="A41" s="177"/>
      <c r="B41" s="397"/>
      <c r="C41" s="482"/>
      <c r="D41" s="483"/>
      <c r="E41" s="483"/>
      <c r="F41" s="149"/>
      <c r="G41" s="149"/>
      <c r="H41" s="482"/>
      <c r="I41" s="149"/>
      <c r="J41" s="149"/>
      <c r="K41" s="149"/>
      <c r="L41" s="177"/>
      <c r="M41" s="177"/>
      <c r="N41" s="148"/>
      <c r="O41" s="482"/>
      <c r="P41" s="483"/>
      <c r="Q41" s="483"/>
      <c r="R41" s="149"/>
      <c r="S41" s="149"/>
      <c r="T41" s="482"/>
      <c r="U41" s="149"/>
      <c r="V41" s="149"/>
      <c r="W41" s="149"/>
      <c r="X41" s="177"/>
      <c r="Y41" s="177"/>
      <c r="Z41" s="411"/>
      <c r="AA41" s="455"/>
      <c r="AB41" s="455"/>
      <c r="AC41" s="456"/>
      <c r="AD41" s="177">
        <v>95</v>
      </c>
      <c r="AE41" s="442" t="str">
        <f ca="1">+MID(INDEX(WORLDCUP!$AF$101:$AF$147,MATCH(AD41,WORLDCUP!$Z$101:$Z$147,0)),1,3)</f>
        <v>Par</v>
      </c>
      <c r="AF41" s="443">
        <f>+IF(ISBLANK(INDEX(WORLDCUP!$AD$101:$AD$147,MATCH(AD41,WORLDCUP!$Z$101:$Z$147,0))),"",INDEX(WORLDCUP!$AD$101:$AD$147,MATCH(AD41,WORLDCUP!$Z$101:$Z$147,0)))</f>
        <v>0</v>
      </c>
      <c r="AG41" s="501" t="str">
        <f>+IF(ISBLANK(INDEX(WORLDCUP!$AE$101:$AE$147,MATCH(AD41,WORLDCUP!$Z$101:$Z$147,0))),"","( "&amp;INDEX(WORLDCUP!$AE$101:$AE$147,MATCH(AD41,WORLDCUP!$Z$101:$Z$147,0))&amp;" )")</f>
        <v/>
      </c>
      <c r="AH41" s="177"/>
      <c r="AI41" s="445"/>
      <c r="AJ41" s="445"/>
      <c r="AK41" s="485"/>
      <c r="AL41" s="401"/>
      <c r="AM41" s="417"/>
      <c r="AN41" s="417"/>
      <c r="AO41" s="417"/>
      <c r="AP41" s="177"/>
      <c r="AQ41" s="446"/>
      <c r="AR41" s="446"/>
      <c r="AS41" s="446"/>
      <c r="AT41" s="177"/>
      <c r="AU41" s="419"/>
      <c r="AV41" s="419"/>
      <c r="AW41" s="419"/>
      <c r="AX41" s="177"/>
      <c r="AY41" s="149"/>
      <c r="AZ41" s="149"/>
      <c r="BA41" s="149"/>
      <c r="BB41" s="149"/>
      <c r="BC41" s="149"/>
      <c r="BD41" s="149"/>
      <c r="BE41" s="149"/>
      <c r="BG41" s="448" t="str">
        <f ca="1">Horarios!Q40</f>
        <v>Portugal</v>
      </c>
      <c r="BH41" s="449">
        <f t="shared" ca="1" si="0"/>
        <v>0</v>
      </c>
      <c r="BI41" s="449">
        <f ca="1">COUNTIF(Pool!$C$130:$C$161,Fixture!BG41)-BJ41-BK41-BL41-BM41-BN41-BO41</f>
        <v>0</v>
      </c>
      <c r="BJ41" s="450">
        <f ca="1">COUNTIF(Pool!$C$182:$C$197,Fixture!BG41)-BK41-BL41-BM41-BN41-BO41</f>
        <v>0</v>
      </c>
      <c r="BK41" s="451">
        <f ca="1">COUNTIF(Pool!$C$210:$C$217,Fixture!BG41)-BL41-BM41-BN41-BO41</f>
        <v>0</v>
      </c>
      <c r="BL41" s="451">
        <f ca="1">COUNTIF(Pool!$C$226:$C$229,Fixture!BG41)-BM41-BN41-BO41</f>
        <v>0</v>
      </c>
      <c r="BM41" s="449">
        <f ca="1">COUNTIF(Pool!$C$252,Fixture!BG41)</f>
        <v>0</v>
      </c>
      <c r="BN41" s="449">
        <f ca="1">COUNTIF(Pool!$C$251,Fixture!BG41)</f>
        <v>1</v>
      </c>
      <c r="BO41" s="452">
        <f ca="1">COUNTIF(Pool!$C$250,Fixture!BG41)</f>
        <v>0</v>
      </c>
    </row>
    <row r="42" spans="1:67" ht="15" thickBot="1">
      <c r="A42" s="177"/>
      <c r="B42" s="397"/>
      <c r="C42" s="482"/>
      <c r="D42" s="483"/>
      <c r="E42" s="483"/>
      <c r="F42" s="149"/>
      <c r="G42" s="149"/>
      <c r="H42" s="482"/>
      <c r="I42" s="149"/>
      <c r="J42" s="149"/>
      <c r="K42" s="149"/>
      <c r="L42" s="177"/>
      <c r="M42" s="177"/>
      <c r="N42" s="148"/>
      <c r="O42" s="482"/>
      <c r="P42" s="483"/>
      <c r="Q42" s="483"/>
      <c r="R42" s="149"/>
      <c r="S42" s="149"/>
      <c r="T42" s="482"/>
      <c r="U42" s="149"/>
      <c r="V42" s="149"/>
      <c r="W42" s="149"/>
      <c r="X42" s="177"/>
      <c r="Y42" s="177">
        <v>88</v>
      </c>
      <c r="Z42" s="411" t="s">
        <v>671</v>
      </c>
      <c r="AA42" s="412" t="str">
        <f ca="1">+MID(INDEX(WORLDCUP!$AA$101:$AA$147,MATCH(Y42,WORLDCUP!$Z$101:$Z$147,0)),1,3)</f>
        <v>Par</v>
      </c>
      <c r="AB42" s="458">
        <f>+IF(ISBLANK(INDEX(WORLDCUP!$AC$101:$AC$147,MATCH(Y42,WORLDCUP!$Z$101:$Z$147,0))),"",INDEX(WORLDCUP!$AC$101:$AC$147,MATCH(Y42,WORLDCUP!$Z$101:$Z$147,0)))</f>
        <v>2</v>
      </c>
      <c r="AC42" s="492" t="str">
        <f>+IF(ISBLANK(INDEX(WORLDCUP!$AB$101:$AB$147,MATCH(Y42,WORLDCUP!$Z$101:$Z$147,0))),"","( "&amp;INDEX(WORLDCUP!$AB$101:$AB$147,MATCH(Y42,WORLDCUP!$Z$101:$Z$147,0))&amp;" )")</f>
        <v/>
      </c>
      <c r="AD42" s="177"/>
      <c r="AE42" s="460"/>
      <c r="AF42" s="460"/>
      <c r="AG42" s="461"/>
      <c r="AH42" s="177"/>
      <c r="AI42" s="445"/>
      <c r="AJ42" s="445"/>
      <c r="AK42" s="485"/>
      <c r="AL42" s="401"/>
      <c r="AM42" s="417"/>
      <c r="AN42" s="417"/>
      <c r="AO42" s="417"/>
      <c r="AP42" s="177"/>
      <c r="AQ42" s="446"/>
      <c r="AR42" s="446"/>
      <c r="AS42" s="446"/>
      <c r="AT42" s="177"/>
      <c r="AU42" s="419"/>
      <c r="AV42" s="419"/>
      <c r="AW42" s="419"/>
      <c r="AX42" s="177"/>
      <c r="AY42" s="149"/>
      <c r="AZ42" s="149"/>
      <c r="BA42" s="149"/>
      <c r="BB42" s="149"/>
      <c r="BC42" s="149"/>
      <c r="BD42" s="149"/>
      <c r="BE42" s="149"/>
      <c r="BG42" s="448" t="str">
        <f ca="1">Horarios!Q41</f>
        <v>RD Congo</v>
      </c>
      <c r="BH42" s="449">
        <f t="shared" ca="1" si="0"/>
        <v>1</v>
      </c>
      <c r="BI42" s="449">
        <f ca="1">COUNTIF(Pool!$C$130:$C$161,Fixture!BG42)-BJ42-BK42-BL42-BM42-BN42-BO42</f>
        <v>0</v>
      </c>
      <c r="BJ42" s="450">
        <f ca="1">COUNTIF(Pool!$C$182:$C$197,Fixture!BG42)-BK42-BL42-BM42-BN42-BO42</f>
        <v>0</v>
      </c>
      <c r="BK42" s="451">
        <f ca="1">COUNTIF(Pool!$C$210:$C$217,Fixture!BG42)-BL42-BM42-BN42-BO42</f>
        <v>0</v>
      </c>
      <c r="BL42" s="451">
        <f ca="1">COUNTIF(Pool!$C$226:$C$229,Fixture!BG42)-BM42-BN42-BO42</f>
        <v>0</v>
      </c>
      <c r="BM42" s="449">
        <f ca="1">COUNTIF(Pool!$C$252,Fixture!BG42)</f>
        <v>0</v>
      </c>
      <c r="BN42" s="449">
        <f ca="1">COUNTIF(Pool!$C$251,Fixture!BG42)</f>
        <v>0</v>
      </c>
      <c r="BO42" s="452">
        <f ca="1">COUNTIF(Pool!$C$250,Fixture!BG42)</f>
        <v>0</v>
      </c>
    </row>
    <row r="43" spans="1:67" ht="15" thickBot="1">
      <c r="A43" s="177">
        <v>11</v>
      </c>
      <c r="B43" s="551" t="s">
        <v>4</v>
      </c>
      <c r="C43" s="403" t="str">
        <f ca="1">+MID(INDEX(WORLDCUP!$AA$4:$AA$147,MATCH(A43,WORLDCUP!$AH$4:$AH$147,0)),1,3)</f>
        <v>Paí</v>
      </c>
      <c r="D43" s="404">
        <f>IF(ISBLANK(INDEX(WORLDCUP!$AC$4:$AC$147,MATCH(A43,WORLDCUP!$AH$4:$AH$147,0))),"",INDEX(WORLDCUP!$AC$4:$AC$147,MATCH(A43,WORLDCUP!$AH$4:$AH$147,0)))</f>
        <v>2</v>
      </c>
      <c r="E43" s="404">
        <f>IF(ISBLANK(INDEX(WORLDCUP!$AD$4:$AD$147,MATCH(A43,WORLDCUP!$AH$4:$AH$147,0))),"",INDEX(WORLDCUP!$AD$4:$AD$147,MATCH(A43,WORLDCUP!$AH$4:$AH$147,0)))</f>
        <v>2</v>
      </c>
      <c r="F43" s="405" t="str">
        <f ca="1">+MID(INDEX(WORLDCUP!$AF$4:$AF$147,MATCH(A43,WORLDCUP!$AH$4:$AH$147,0)),1,3)</f>
        <v>Jap</v>
      </c>
      <c r="G43" s="406"/>
      <c r="H43" s="407" t="str">
        <f>+H35</f>
        <v>Sel</v>
      </c>
      <c r="I43" s="408" t="str">
        <f>+I35</f>
        <v>Pts</v>
      </c>
      <c r="J43" s="408" t="str">
        <f>+J35</f>
        <v>DG</v>
      </c>
      <c r="K43" s="409" t="str">
        <f>+K35</f>
        <v>GF-GC</v>
      </c>
      <c r="L43" s="177"/>
      <c r="M43" s="177">
        <v>22</v>
      </c>
      <c r="N43" s="552" t="s">
        <v>247</v>
      </c>
      <c r="O43" s="403" t="str">
        <f ca="1">+MID(INDEX(WORLDCUP!$AA$4:$AA$147,MATCH(M43,WORLDCUP!$AH$4:$AH$147,0)),1,3)</f>
        <v>Ing</v>
      </c>
      <c r="P43" s="404">
        <f>IF(ISBLANK(INDEX(WORLDCUP!$AC$4:$AC$147,MATCH(M43,WORLDCUP!$AH$4:$AH$147,0))),"",INDEX(WORLDCUP!$AC$4:$AC$147,MATCH(M43,WORLDCUP!$AH$4:$AH$147,0)))</f>
        <v>1</v>
      </c>
      <c r="Q43" s="404">
        <f>IF(ISBLANK(INDEX(WORLDCUP!$AD$4:$AD$147,MATCH(M43,WORLDCUP!$AH$4:$AH$147,0))),"",INDEX(WORLDCUP!$AD$4:$AD$147,MATCH(M43,WORLDCUP!$AH$4:$AH$147,0)))</f>
        <v>1</v>
      </c>
      <c r="R43" s="405" t="str">
        <f ca="1">+MID(INDEX(WORLDCUP!$AF$4:$AF$147,MATCH(M43,WORLDCUP!$AH$4:$AH$147,0)),1,3)</f>
        <v>Cro</v>
      </c>
      <c r="S43" s="406"/>
      <c r="T43" s="407" t="str">
        <f>+T35</f>
        <v>Sel</v>
      </c>
      <c r="U43" s="408" t="str">
        <f>+U35</f>
        <v>Pts</v>
      </c>
      <c r="V43" s="408" t="str">
        <f>+V35</f>
        <v>DG</v>
      </c>
      <c r="W43" s="409" t="str">
        <f>+W35</f>
        <v>GF-GC</v>
      </c>
      <c r="X43" s="177"/>
      <c r="Y43" s="177">
        <v>88</v>
      </c>
      <c r="Z43" s="411" t="s">
        <v>680</v>
      </c>
      <c r="AA43" s="466" t="str">
        <f ca="1">+MID(INDEX(WORLDCUP!$AF$101:$AF$147,MATCH(Y43,WORLDCUP!$Z$101:$Z$147,0)),1,3)</f>
        <v>Bél</v>
      </c>
      <c r="AB43" s="467">
        <f>+IF(ISBLANK(INDEX(WORLDCUP!$AD$101:$AD$147,MATCH(Y43,WORLDCUP!$Z$101:$Z$147,0))),"",INDEX(WORLDCUP!$AD$101:$AD$147,MATCH(Y43,WORLDCUP!$Z$101:$Z$147,0)))</f>
        <v>0</v>
      </c>
      <c r="AC43" s="493" t="str">
        <f>+IF(ISBLANK(INDEX(WORLDCUP!$AE$101:$AE$147,MATCH(Y43,WORLDCUP!$Z$101:$Z$147,0))),"","( "&amp;INDEX(WORLDCUP!$AE$101:$AE$147,MATCH(Y43,WORLDCUP!$Z$101:$Z$147,0))&amp;" )")</f>
        <v/>
      </c>
      <c r="AD43" s="177"/>
      <c r="AE43" s="460"/>
      <c r="AF43" s="460"/>
      <c r="AG43" s="461"/>
      <c r="AH43" s="486">
        <v>100</v>
      </c>
      <c r="AI43" s="469" t="str">
        <f ca="1">+MID(INDEX(WORLDCUP!$AA$101:$AA$147,MATCH(AH43,WORLDCUP!$Z$101:$Z$147,0)),1,3)</f>
        <v>Arg</v>
      </c>
      <c r="AJ43" s="470">
        <f>+IF(ISBLANK(INDEX(WORLDCUP!$AC$101:$AC$147,MATCH(AH43,WORLDCUP!$Z$101:$Z$147,0))),"",INDEX(WORLDCUP!$AC$101:$AC$147,MATCH(AH43,WORLDCUP!$Z$101:$Z$147,0)))</f>
        <v>1</v>
      </c>
      <c r="AK43" s="506" t="str">
        <f>+IF(ISBLANK(INDEX(WORLDCUP!$AB$101:$AB$147,MATCH(AH43,WORLDCUP!$Z$101:$Z$147,0))),"","( "&amp;INDEX(WORLDCUP!$AB$101:$AB$147,MATCH(AH43,WORLDCUP!$Z$101:$Z$147,0))&amp;" )")</f>
        <v/>
      </c>
      <c r="AL43" s="401"/>
      <c r="AM43" s="417"/>
      <c r="AN43" s="417"/>
      <c r="AO43" s="417"/>
      <c r="AP43" s="177"/>
      <c r="AQ43" s="446"/>
      <c r="AR43" s="446"/>
      <c r="AS43" s="446"/>
      <c r="AT43" s="177"/>
      <c r="AU43" s="419"/>
      <c r="AV43" s="419"/>
      <c r="AW43" s="419"/>
      <c r="AX43" s="177"/>
      <c r="AY43" s="149"/>
      <c r="AZ43" s="149"/>
      <c r="BA43" s="149"/>
      <c r="BB43" s="149"/>
      <c r="BC43" s="149"/>
      <c r="BD43" s="149"/>
      <c r="BE43" s="149"/>
      <c r="BG43" s="448" t="str">
        <f ca="1">Horarios!Q42</f>
        <v>República Checa</v>
      </c>
      <c r="BH43" s="449">
        <f t="shared" ca="1" si="0"/>
        <v>0</v>
      </c>
      <c r="BI43" s="449">
        <f ca="1">COUNTIF(Pool!$C$130:$C$161,Fixture!BG43)-BJ43-BK43-BL43-BM43-BN43-BO43</f>
        <v>1</v>
      </c>
      <c r="BJ43" s="450">
        <f ca="1">COUNTIF(Pool!$C$182:$C$197,Fixture!BG43)-BK43-BL43-BM43-BN43-BO43</f>
        <v>0</v>
      </c>
      <c r="BK43" s="451">
        <f ca="1">COUNTIF(Pool!$C$210:$C$217,Fixture!BG43)-BL43-BM43-BN43-BO43</f>
        <v>0</v>
      </c>
      <c r="BL43" s="451">
        <f ca="1">COUNTIF(Pool!$C$226:$C$229,Fixture!BG43)-BM43-BN43-BO43</f>
        <v>0</v>
      </c>
      <c r="BM43" s="449">
        <f ca="1">COUNTIF(Pool!$C$252,Fixture!BG43)</f>
        <v>0</v>
      </c>
      <c r="BN43" s="449">
        <f ca="1">COUNTIF(Pool!$C$251,Fixture!BG43)</f>
        <v>0</v>
      </c>
      <c r="BO43" s="452">
        <f ca="1">COUNTIF(Pool!$C$250,Fixture!BG43)</f>
        <v>0</v>
      </c>
    </row>
    <row r="44" spans="1:67">
      <c r="A44" s="177">
        <v>12</v>
      </c>
      <c r="B44" s="553"/>
      <c r="C44" s="430" t="str">
        <f ca="1">+MID(INDEX(WORLDCUP!$AA$4:$AA$147,MATCH(A44,WORLDCUP!$AH$4:$AH$147,0)),1,3)</f>
        <v>Sue</v>
      </c>
      <c r="D44" s="431">
        <f>IF(ISBLANK(INDEX(WORLDCUP!$AC$4:$AC$147,MATCH(A44,WORLDCUP!$AH$4:$AH$147,0))),"",INDEX(WORLDCUP!$AC$4:$AC$147,MATCH(A44,WORLDCUP!$AH$4:$AH$147,0)))</f>
        <v>1</v>
      </c>
      <c r="E44" s="431">
        <f>IF(ISBLANK(INDEX(WORLDCUP!$AD$4:$AD$147,MATCH(A44,WORLDCUP!$AH$4:$AH$147,0))),"",INDEX(WORLDCUP!$AD$4:$AD$147,MATCH(A44,WORLDCUP!$AH$4:$AH$147,0)))</f>
        <v>1</v>
      </c>
      <c r="F44" s="432" t="str">
        <f ca="1">+MID(INDEX(WORLDCUP!$AF$4:$AF$147,MATCH(A44,WORLDCUP!$AH$4:$AH$147,0)),1,3)</f>
        <v>Tún</v>
      </c>
      <c r="G44" s="433">
        <v>1</v>
      </c>
      <c r="H44" s="434" t="str">
        <f ca="1">+MID(INDEX(WORLDCUP!$AL$6:$AL$97,MATCH(L44,WORLDCUP!$AI$6:$AI$97,0)),1,3)</f>
        <v>Jap</v>
      </c>
      <c r="I44" s="435">
        <f ca="1">+INDEX(WORLDCUP!$AM$6:$AM$97,MATCH(L44,WORLDCUP!$AI$6:$AI$97,0))</f>
        <v>7</v>
      </c>
      <c r="J44" s="436">
        <f ca="1">+INDEX(WORLDCUP!$AT$6:$AT$97,MATCH(L44,WORLDCUP!$AI$6:$AI$97,0))</f>
        <v>5</v>
      </c>
      <c r="K44" s="437" t="str">
        <f ca="1">+INDEX(WORLDCUP!$AR$6:$AR$97,MATCH(L44,WORLDCUP!$AI$6:$AI$97,0))&amp;"-"&amp;INDEX(WORLDCUP!$AS$6:$AS$97,MATCH(L44,WORLDCUP!$AI$6:$AI$97,0))</f>
        <v>9-4</v>
      </c>
      <c r="L44" s="177" t="s">
        <v>676</v>
      </c>
      <c r="M44" s="177">
        <v>21</v>
      </c>
      <c r="N44" s="554"/>
      <c r="O44" s="430" t="str">
        <f ca="1">+MID(INDEX(WORLDCUP!$AA$4:$AA$147,MATCH(M44,WORLDCUP!$AH$4:$AH$147,0)),1,3)</f>
        <v>Gha</v>
      </c>
      <c r="P44" s="431">
        <f>IF(ISBLANK(INDEX(WORLDCUP!$AC$4:$AC$147,MATCH(M44,WORLDCUP!$AH$4:$AH$147,0))),"",INDEX(WORLDCUP!$AC$4:$AC$147,MATCH(M44,WORLDCUP!$AH$4:$AH$147,0)))</f>
        <v>2</v>
      </c>
      <c r="Q44" s="431">
        <f>IF(ISBLANK(INDEX(WORLDCUP!$AD$4:$AD$147,MATCH(M44,WORLDCUP!$AH$4:$AH$147,0))),"",INDEX(WORLDCUP!$AD$4:$AD$147,MATCH(M44,WORLDCUP!$AH$4:$AH$147,0)))</f>
        <v>1</v>
      </c>
      <c r="R44" s="432" t="str">
        <f ca="1">+MID(INDEX(WORLDCUP!$AF$4:$AF$147,MATCH(M44,WORLDCUP!$AH$4:$AH$147,0)),1,3)</f>
        <v>Pan</v>
      </c>
      <c r="S44" s="433">
        <v>1</v>
      </c>
      <c r="T44" s="434" t="str">
        <f ca="1">+MID(INDEX(WORLDCUP!$AL$6:$AL$97,MATCH(X44,WORLDCUP!$AI$6:$AI$97,0)),1,3)</f>
        <v>Ing</v>
      </c>
      <c r="U44" s="435">
        <f ca="1">+INDEX(WORLDCUP!$AM$6:$AM$97,MATCH(X44,WORLDCUP!$AI$6:$AI$97,0))</f>
        <v>7</v>
      </c>
      <c r="V44" s="436">
        <f ca="1">+INDEX(WORLDCUP!$AT$6:$AT$97,MATCH(X44,WORLDCUP!$AI$6:$AI$97,0))</f>
        <v>4</v>
      </c>
      <c r="W44" s="437" t="str">
        <f ca="1">+INDEX(WORLDCUP!$AR$6:$AR$97,MATCH(X44,WORLDCUP!$AI$6:$AI$97,0))&amp;"-"&amp;INDEX(WORLDCUP!$AS$6:$AS$97,MATCH(X44,WORLDCUP!$AI$6:$AI$97,0))</f>
        <v>6-2</v>
      </c>
      <c r="X44" s="177" t="s">
        <v>694</v>
      </c>
      <c r="Y44" s="177"/>
      <c r="Z44" s="411"/>
      <c r="AA44" s="480"/>
      <c r="AB44" s="480"/>
      <c r="AC44" s="480"/>
      <c r="AD44" s="177"/>
      <c r="AE44" s="415"/>
      <c r="AF44" s="415"/>
      <c r="AG44" s="461"/>
      <c r="AH44" s="177">
        <v>100</v>
      </c>
      <c r="AI44" s="469" t="str">
        <f ca="1">+MID(INDEX(WORLDCUP!$AF$101:$AF$147,MATCH(AH44,WORLDCUP!$Z$101:$Z$147,0)),1,3)</f>
        <v>Por</v>
      </c>
      <c r="AJ44" s="470">
        <f>+IF(ISBLANK(INDEX(WORLDCUP!$AD$101:$AD$147,MATCH(AH44,WORLDCUP!$Z$101:$Z$147,0))),"",INDEX(WORLDCUP!$AD$101:$AD$147,MATCH(AH44,WORLDCUP!$Z$101:$Z$147,0)))</f>
        <v>2</v>
      </c>
      <c r="AK44" s="445" t="str">
        <f>+IF(ISBLANK(INDEX(WORLDCUP!$AE$101:$AE$147,MATCH(AH44,WORLDCUP!$Z$101:$Z$147,0))),"","( "&amp;INDEX(WORLDCUP!$AE$101:$AE$147,MATCH(AH44,WORLDCUP!$Z$101:$Z$147,0))&amp;" )")</f>
        <v/>
      </c>
      <c r="AL44" s="401"/>
      <c r="AM44" s="417"/>
      <c r="AN44" s="417"/>
      <c r="AO44" s="417"/>
      <c r="AP44" s="177"/>
      <c r="AQ44" s="446"/>
      <c r="AR44" s="446"/>
      <c r="AS44" s="446"/>
      <c r="AT44" s="177"/>
      <c r="AU44" s="419"/>
      <c r="AV44" s="419"/>
      <c r="AW44" s="419"/>
      <c r="AX44" s="177"/>
      <c r="AY44" s="149"/>
      <c r="AZ44" s="149"/>
      <c r="BA44" s="149"/>
      <c r="BB44" s="149"/>
      <c r="BC44" s="149"/>
      <c r="BD44" s="149"/>
      <c r="BE44" s="149"/>
      <c r="BG44" s="448" t="str">
        <f ca="1">Horarios!Q43</f>
        <v>Senegal</v>
      </c>
      <c r="BH44" s="449">
        <f t="shared" ca="1" si="0"/>
        <v>0</v>
      </c>
      <c r="BI44" s="449">
        <f ca="1">COUNTIF(Pool!$C$130:$C$161,Fixture!BG44)-BJ44-BK44-BL44-BM44-BN44-BO44</f>
        <v>1</v>
      </c>
      <c r="BJ44" s="450">
        <f ca="1">COUNTIF(Pool!$C$182:$C$197,Fixture!BG44)-BK44-BL44-BM44-BN44-BO44</f>
        <v>0</v>
      </c>
      <c r="BK44" s="451">
        <f ca="1">COUNTIF(Pool!$C$210:$C$217,Fixture!BG44)-BL44-BM44-BN44-BO44</f>
        <v>0</v>
      </c>
      <c r="BL44" s="451">
        <f ca="1">COUNTIF(Pool!$C$226:$C$229,Fixture!BG44)-BM44-BN44-BO44</f>
        <v>0</v>
      </c>
      <c r="BM44" s="449">
        <f ca="1">COUNTIF(Pool!$C$252,Fixture!BG44)</f>
        <v>0</v>
      </c>
      <c r="BN44" s="449">
        <f ca="1">COUNTIF(Pool!$C$251,Fixture!BG44)</f>
        <v>0</v>
      </c>
      <c r="BO44" s="452">
        <f ca="1">COUNTIF(Pool!$C$250,Fixture!BG44)</f>
        <v>0</v>
      </c>
    </row>
    <row r="45" spans="1:67" ht="15" thickBot="1">
      <c r="A45" s="177">
        <v>35</v>
      </c>
      <c r="B45" s="553"/>
      <c r="C45" s="430" t="str">
        <f ca="1">+MID(INDEX(WORLDCUP!$AA$4:$AA$147,MATCH(A45,WORLDCUP!$AH$4:$AH$147,0)),1,3)</f>
        <v>Paí</v>
      </c>
      <c r="D45" s="431">
        <f>IF(ISBLANK(INDEX(WORLDCUP!$AC$4:$AC$147,MATCH(A45,WORLDCUP!$AH$4:$AH$147,0))),"",INDEX(WORLDCUP!$AC$4:$AC$147,MATCH(A45,WORLDCUP!$AH$4:$AH$147,0)))</f>
        <v>3</v>
      </c>
      <c r="E45" s="431">
        <f>IF(ISBLANK(INDEX(WORLDCUP!$AD$4:$AD$147,MATCH(A45,WORLDCUP!$AH$4:$AH$147,0))),"",INDEX(WORLDCUP!$AD$4:$AD$147,MATCH(A45,WORLDCUP!$AH$4:$AH$147,0)))</f>
        <v>2</v>
      </c>
      <c r="F45" s="432" t="str">
        <f ca="1">+MID(INDEX(WORLDCUP!$AF$4:$AF$147,MATCH(A45,WORLDCUP!$AH$4:$AH$147,0)),1,3)</f>
        <v>Sue</v>
      </c>
      <c r="G45" s="453">
        <v>2</v>
      </c>
      <c r="H45" s="454" t="str">
        <f ca="1">+MID(INDEX(WORLDCUP!$AL$6:$AL$97,MATCH(L45,WORLDCUP!$AI$6:$AI$97,0)),1,3)</f>
        <v>Paí</v>
      </c>
      <c r="I45" s="35">
        <f ca="1">+INDEX(WORLDCUP!$AM$6:$AM$97,MATCH(L45,WORLDCUP!$AI$6:$AI$97,0))</f>
        <v>7</v>
      </c>
      <c r="J45" s="36">
        <f ca="1">+INDEX(WORLDCUP!$AT$6:$AT$97,MATCH(L45,WORLDCUP!$AI$6:$AI$97,0))</f>
        <v>4</v>
      </c>
      <c r="K45" s="40" t="str">
        <f ca="1">+INDEX(WORLDCUP!$AR$6:$AR$97,MATCH(L45,WORLDCUP!$AI$6:$AI$97,0))&amp;"-"&amp;INDEX(WORLDCUP!$AS$6:$AS$97,MATCH(L45,WORLDCUP!$AI$6:$AI$97,0))</f>
        <v>8-4</v>
      </c>
      <c r="L45" s="177" t="s">
        <v>677</v>
      </c>
      <c r="M45" s="177">
        <v>45</v>
      </c>
      <c r="N45" s="554"/>
      <c r="O45" s="430" t="str">
        <f ca="1">+MID(INDEX(WORLDCUP!$AA$4:$AA$147,MATCH(M45,WORLDCUP!$AH$4:$AH$147,0)),1,3)</f>
        <v>Ing</v>
      </c>
      <c r="P45" s="431">
        <f>IF(ISBLANK(INDEX(WORLDCUP!$AC$4:$AC$147,MATCH(M45,WORLDCUP!$AH$4:$AH$147,0))),"",INDEX(WORLDCUP!$AC$4:$AC$147,MATCH(M45,WORLDCUP!$AH$4:$AH$147,0)))</f>
        <v>3</v>
      </c>
      <c r="Q45" s="431">
        <f>IF(ISBLANK(INDEX(WORLDCUP!$AD$4:$AD$147,MATCH(M45,WORLDCUP!$AH$4:$AH$147,0))),"",INDEX(WORLDCUP!$AD$4:$AD$147,MATCH(M45,WORLDCUP!$AH$4:$AH$147,0)))</f>
        <v>1</v>
      </c>
      <c r="R45" s="432" t="str">
        <f ca="1">+MID(INDEX(WORLDCUP!$AF$4:$AF$147,MATCH(M45,WORLDCUP!$AH$4:$AH$147,0)),1,3)</f>
        <v>Gha</v>
      </c>
      <c r="S45" s="453">
        <v>2</v>
      </c>
      <c r="T45" s="454" t="str">
        <f ca="1">+MID(INDEX(WORLDCUP!$AL$6:$AL$97,MATCH(X45,WORLDCUP!$AI$6:$AI$97,0)),1,3)</f>
        <v>Cro</v>
      </c>
      <c r="U45" s="35">
        <f ca="1">+INDEX(WORLDCUP!$AM$6:$AM$97,MATCH(X45,WORLDCUP!$AI$6:$AI$97,0))</f>
        <v>7</v>
      </c>
      <c r="V45" s="36">
        <f ca="1">+INDEX(WORLDCUP!$AT$6:$AT$97,MATCH(X45,WORLDCUP!$AI$6:$AI$97,0))</f>
        <v>4</v>
      </c>
      <c r="W45" s="40" t="str">
        <f ca="1">+INDEX(WORLDCUP!$AR$6:$AR$97,MATCH(X45,WORLDCUP!$AI$6:$AI$97,0))&amp;"-"&amp;INDEX(WORLDCUP!$AS$6:$AS$97,MATCH(X45,WORLDCUP!$AI$6:$AI$97,0))</f>
        <v>5-1</v>
      </c>
      <c r="X45" s="177" t="s">
        <v>695</v>
      </c>
      <c r="Y45" s="177">
        <v>85</v>
      </c>
      <c r="Z45" s="411" t="s">
        <v>660</v>
      </c>
      <c r="AA45" s="412" t="str">
        <f ca="1">+MID(INDEX(WORLDCUP!$AA$101:$AA$147,MATCH(Y45,WORLDCUP!$Z$101:$Z$147,0)),1,3)</f>
        <v>Can</v>
      </c>
      <c r="AB45" s="413">
        <f>+IF(ISBLANK(INDEX(WORLDCUP!$AC$101:$AC$147,MATCH(Y45,WORLDCUP!$Z$101:$Z$147,0))),"",INDEX(WORLDCUP!$AC$101:$AC$147,MATCH(Y45,WORLDCUP!$Z$101:$Z$147,0)))</f>
        <v>1</v>
      </c>
      <c r="AC45" s="484" t="str">
        <f>+IF(ISBLANK(INDEX(WORLDCUP!$AB$101:$AB$147,MATCH(Y45,WORLDCUP!$Z$101:$Z$147,0))),"","( "&amp;INDEX(WORLDCUP!$AB$101:$AB$147,MATCH(Y45,WORLDCUP!$Z$101:$Z$147,0))&amp;" )")</f>
        <v/>
      </c>
      <c r="AD45" s="175"/>
      <c r="AE45" s="415"/>
      <c r="AF45" s="415"/>
      <c r="AG45" s="461"/>
      <c r="AH45" s="177"/>
      <c r="AI45" s="445"/>
      <c r="AJ45" s="445"/>
      <c r="AK45" s="445"/>
      <c r="AL45" s="401"/>
      <c r="AM45" s="417"/>
      <c r="AN45" s="417"/>
      <c r="AO45" s="417"/>
      <c r="AP45" s="177"/>
      <c r="AQ45" s="446"/>
      <c r="AR45" s="446"/>
      <c r="AS45" s="446"/>
      <c r="AT45" s="177"/>
      <c r="AU45" s="419"/>
      <c r="AV45" s="419"/>
      <c r="AW45" s="419"/>
      <c r="AX45" s="177"/>
      <c r="AY45" s="149"/>
      <c r="AZ45" s="149"/>
      <c r="BA45" s="149"/>
      <c r="BB45" s="149"/>
      <c r="BC45" s="149"/>
      <c r="BD45" s="149"/>
      <c r="BE45" s="149"/>
      <c r="BG45" s="448" t="str">
        <f ca="1">Horarios!Q44</f>
        <v>Sudáfrica</v>
      </c>
      <c r="BH45" s="449">
        <f t="shared" ca="1" si="0"/>
        <v>1</v>
      </c>
      <c r="BI45" s="449">
        <f ca="1">COUNTIF(Pool!$C$130:$C$161,Fixture!BG45)-BJ45-BK45-BL45-BM45-BN45-BO45</f>
        <v>0</v>
      </c>
      <c r="BJ45" s="450">
        <f ca="1">COUNTIF(Pool!$C$182:$C$197,Fixture!BG45)-BK45-BL45-BM45-BN45-BO45</f>
        <v>0</v>
      </c>
      <c r="BK45" s="451">
        <f ca="1">COUNTIF(Pool!$C$210:$C$217,Fixture!BG45)-BL45-BM45-BN45-BO45</f>
        <v>0</v>
      </c>
      <c r="BL45" s="451">
        <f ca="1">COUNTIF(Pool!$C$226:$C$229,Fixture!BG45)-BM45-BN45-BO45</f>
        <v>0</v>
      </c>
      <c r="BM45" s="449">
        <f ca="1">COUNTIF(Pool!$C$252,Fixture!BG45)</f>
        <v>0</v>
      </c>
      <c r="BN45" s="449">
        <f ca="1">COUNTIF(Pool!$C$251,Fixture!BG45)</f>
        <v>0</v>
      </c>
      <c r="BO45" s="452">
        <f ca="1">COUNTIF(Pool!$C$250,Fixture!BG45)</f>
        <v>0</v>
      </c>
    </row>
    <row r="46" spans="1:67" ht="15" thickBot="1">
      <c r="A46" s="177">
        <v>36</v>
      </c>
      <c r="B46" s="553"/>
      <c r="C46" s="430" t="str">
        <f ca="1">+MID(INDEX(WORLDCUP!$AA$4:$AA$147,MATCH(A46,WORLDCUP!$AH$4:$AH$147,0)),1,3)</f>
        <v>Tún</v>
      </c>
      <c r="D46" s="431">
        <f>IF(ISBLANK(INDEX(WORLDCUP!$AC$4:$AC$147,MATCH(A46,WORLDCUP!$AH$4:$AH$147,0))),"",INDEX(WORLDCUP!$AC$4:$AC$147,MATCH(A46,WORLDCUP!$AH$4:$AH$147,0)))</f>
        <v>1</v>
      </c>
      <c r="E46" s="431">
        <f>IF(ISBLANK(INDEX(WORLDCUP!$AD$4:$AD$147,MATCH(A46,WORLDCUP!$AH$4:$AH$147,0))),"",INDEX(WORLDCUP!$AD$4:$AD$147,MATCH(A46,WORLDCUP!$AH$4:$AH$147,0)))</f>
        <v>3</v>
      </c>
      <c r="F46" s="432" t="str">
        <f ca="1">+MID(INDEX(WORLDCUP!$AF$4:$AF$147,MATCH(A46,WORLDCUP!$AH$4:$AH$147,0)),1,3)</f>
        <v>Jap</v>
      </c>
      <c r="G46" s="453">
        <v>3</v>
      </c>
      <c r="H46" s="454" t="str">
        <f ca="1">+MID(INDEX(WORLDCUP!$AL$6:$AL$97,MATCH(L46,WORLDCUP!$AI$6:$AI$97,0)),1,3)</f>
        <v>Sue</v>
      </c>
      <c r="I46" s="35">
        <f ca="1">+INDEX(WORLDCUP!$AM$6:$AM$97,MATCH(L46,WORLDCUP!$AI$6:$AI$97,0))</f>
        <v>1</v>
      </c>
      <c r="J46" s="36">
        <f ca="1">+INDEX(WORLDCUP!$AT$6:$AT$97,MATCH(L46,WORLDCUP!$AI$6:$AI$97,0))</f>
        <v>-4</v>
      </c>
      <c r="K46" s="40" t="str">
        <f ca="1">+INDEX(WORLDCUP!$AR$6:$AR$97,MATCH(L46,WORLDCUP!$AI$6:$AI$97,0))&amp;"-"&amp;INDEX(WORLDCUP!$AS$6:$AS$97,MATCH(L46,WORLDCUP!$AI$6:$AI$97,0))</f>
        <v>4-8</v>
      </c>
      <c r="L46" s="177" t="s">
        <v>95</v>
      </c>
      <c r="M46" s="177">
        <v>46</v>
      </c>
      <c r="N46" s="554"/>
      <c r="O46" s="430" t="str">
        <f ca="1">+MID(INDEX(WORLDCUP!$AA$4:$AA$147,MATCH(M46,WORLDCUP!$AH$4:$AH$147,0)),1,3)</f>
        <v>Pan</v>
      </c>
      <c r="P46" s="431">
        <f>IF(ISBLANK(INDEX(WORLDCUP!$AC$4:$AC$147,MATCH(M46,WORLDCUP!$AH$4:$AH$147,0))),"",INDEX(WORLDCUP!$AC$4:$AC$147,MATCH(M46,WORLDCUP!$AH$4:$AH$147,0)))</f>
        <v>0</v>
      </c>
      <c r="Q46" s="431">
        <f>IF(ISBLANK(INDEX(WORLDCUP!$AD$4:$AD$147,MATCH(M46,WORLDCUP!$AH$4:$AH$147,0))),"",INDEX(WORLDCUP!$AD$4:$AD$147,MATCH(M46,WORLDCUP!$AH$4:$AH$147,0)))</f>
        <v>3</v>
      </c>
      <c r="R46" s="432" t="str">
        <f ca="1">+MID(INDEX(WORLDCUP!$AF$4:$AF$147,MATCH(M46,WORLDCUP!$AH$4:$AH$147,0)),1,3)</f>
        <v>Cro</v>
      </c>
      <c r="S46" s="453">
        <v>3</v>
      </c>
      <c r="T46" s="454" t="str">
        <f ca="1">+MID(INDEX(WORLDCUP!$AL$6:$AL$97,MATCH(X46,WORLDCUP!$AI$6:$AI$97,0)),1,3)</f>
        <v>Gha</v>
      </c>
      <c r="U46" s="35">
        <f ca="1">+INDEX(WORLDCUP!$AM$6:$AM$97,MATCH(X46,WORLDCUP!$AI$6:$AI$97,0))</f>
        <v>3</v>
      </c>
      <c r="V46" s="36">
        <f ca="1">+INDEX(WORLDCUP!$AT$6:$AT$97,MATCH(X46,WORLDCUP!$AI$6:$AI$97,0))</f>
        <v>-2</v>
      </c>
      <c r="W46" s="40" t="str">
        <f ca="1">+INDEX(WORLDCUP!$AR$6:$AR$97,MATCH(X46,WORLDCUP!$AI$6:$AI$97,0))&amp;"-"&amp;INDEX(WORLDCUP!$AS$6:$AS$97,MATCH(X46,WORLDCUP!$AI$6:$AI$97,0))</f>
        <v>3-5</v>
      </c>
      <c r="X46" s="177" t="s">
        <v>453</v>
      </c>
      <c r="Y46" s="177">
        <v>85</v>
      </c>
      <c r="Z46" s="411" t="s">
        <v>740</v>
      </c>
      <c r="AA46" s="412" t="str">
        <f ca="1">+MID(INDEX(WORLDCUP!$AF$101:$AF$147,MATCH(Y46,WORLDCUP!$Z$101:$Z$147,0)),1,IF(WORLDCUP!$H$113&lt;144,6,3))</f>
        <v>Aus</v>
      </c>
      <c r="AB46" s="439">
        <f>+IF(ISBLANK(INDEX(WORLDCUP!$AD$101:$AD$147,MATCH(Y46,WORLDCUP!$Z$101:$Z$147,0))),"",INDEX(WORLDCUP!$AD$101:$AD$147,MATCH(Y46,WORLDCUP!$Z$101:$Z$147,0)))</f>
        <v>2</v>
      </c>
      <c r="AC46" s="440" t="str">
        <f>+IF(ISBLANK(INDEX(WORLDCUP!$AE$101:$AE$147,MATCH(Y46,WORLDCUP!$Z$101:$Z$147,0))),"","( "&amp;INDEX(WORLDCUP!$AE$101:$AE$147,MATCH(Y46,WORLDCUP!$Z$101:$Z$147,0))&amp;" )")</f>
        <v/>
      </c>
      <c r="AD46" s="441">
        <v>96</v>
      </c>
      <c r="AE46" s="442" t="str">
        <f ca="1">+MID(INDEX(WORLDCUP!$AA$101:$AA$147,MATCH(AD46,WORLDCUP!$Z$101:$Z$147,0)),1,3)</f>
        <v>Aus</v>
      </c>
      <c r="AF46" s="443">
        <f>+IF(ISBLANK(INDEX(WORLDCUP!$AC$101:$AC$147,MATCH(AD46,WORLDCUP!$Z$101:$Z$147,0))),"",INDEX(WORLDCUP!$AC$101:$AC$147,MATCH(AD46,WORLDCUP!$Z$101:$Z$147,0)))</f>
        <v>0</v>
      </c>
      <c r="AG46" s="487" t="str">
        <f>+IF(ISBLANK(INDEX(WORLDCUP!$AB$101:$AB$147,MATCH(AD46,WORLDCUP!$Z$101:$Z$147,0))),"","( "&amp;INDEX(WORLDCUP!$AB$101:$AB$147,MATCH(AD46,WORLDCUP!$Z$101:$Z$147,0))&amp;" )")</f>
        <v/>
      </c>
      <c r="AH46" s="177"/>
      <c r="AI46" s="445"/>
      <c r="AJ46" s="445"/>
      <c r="AK46" s="445"/>
      <c r="AL46" s="401"/>
      <c r="AM46" s="417"/>
      <c r="AN46" s="417"/>
      <c r="AO46" s="417"/>
      <c r="AP46" s="177"/>
      <c r="AQ46" s="446"/>
      <c r="AR46" s="446"/>
      <c r="AS46" s="446"/>
      <c r="AT46" s="177"/>
      <c r="AU46" s="419"/>
      <c r="AV46" s="419"/>
      <c r="AW46" s="419"/>
      <c r="AX46" s="177"/>
      <c r="AY46" s="149"/>
      <c r="AZ46" s="149"/>
      <c r="BA46" s="149"/>
      <c r="BB46" s="149"/>
      <c r="BC46" s="149"/>
      <c r="BD46" s="149"/>
      <c r="BE46" s="149"/>
      <c r="BG46" s="448" t="str">
        <f ca="1">Horarios!Q45</f>
        <v>Suecia</v>
      </c>
      <c r="BH46" s="449">
        <f t="shared" ca="1" si="0"/>
        <v>1</v>
      </c>
      <c r="BI46" s="449">
        <f ca="1">COUNTIF(Pool!$C$130:$C$161,Fixture!BG46)-BJ46-BK46-BL46-BM46-BN46-BO46</f>
        <v>0</v>
      </c>
      <c r="BJ46" s="450">
        <f ca="1">COUNTIF(Pool!$C$182:$C$197,Fixture!BG46)-BK46-BL46-BM46-BN46-BO46</f>
        <v>0</v>
      </c>
      <c r="BK46" s="451">
        <f ca="1">COUNTIF(Pool!$C$210:$C$217,Fixture!BG46)-BL46-BM46-BN46-BO46</f>
        <v>0</v>
      </c>
      <c r="BL46" s="451">
        <f ca="1">COUNTIF(Pool!$C$226:$C$229,Fixture!BG46)-BM46-BN46-BO46</f>
        <v>0</v>
      </c>
      <c r="BM46" s="449">
        <f ca="1">COUNTIF(Pool!$C$252,Fixture!BG46)</f>
        <v>0</v>
      </c>
      <c r="BN46" s="449">
        <f ca="1">COUNTIF(Pool!$C$251,Fixture!BG46)</f>
        <v>0</v>
      </c>
      <c r="BO46" s="452">
        <f ca="1">COUNTIF(Pool!$C$250,Fixture!BG46)</f>
        <v>0</v>
      </c>
    </row>
    <row r="47" spans="1:67">
      <c r="A47" s="177">
        <v>57</v>
      </c>
      <c r="B47" s="553"/>
      <c r="C47" s="430" t="str">
        <f ca="1">+MID(INDEX(WORLDCUP!$AA$4:$AA$147,MATCH(A47,WORLDCUP!$AH$4:$AH$147,0)),1,3)</f>
        <v>Jap</v>
      </c>
      <c r="D47" s="431">
        <f>IF(ISBLANK(INDEX(WORLDCUP!$AC$4:$AC$147,MATCH(A47,WORLDCUP!$AH$4:$AH$147,0))),"",INDEX(WORLDCUP!$AC$4:$AC$147,MATCH(A47,WORLDCUP!$AH$4:$AH$147,0)))</f>
        <v>4</v>
      </c>
      <c r="E47" s="431">
        <f>IF(ISBLANK(INDEX(WORLDCUP!$AD$4:$AD$147,MATCH(A47,WORLDCUP!$AH$4:$AH$147,0))),"",INDEX(WORLDCUP!$AD$4:$AD$147,MATCH(A47,WORLDCUP!$AH$4:$AH$147,0)))</f>
        <v>1</v>
      </c>
      <c r="F47" s="432" t="str">
        <f ca="1">+MID(INDEX(WORLDCUP!$AF$4:$AF$147,MATCH(A47,WORLDCUP!$AH$4:$AH$147,0)),1,3)</f>
        <v>Sue</v>
      </c>
      <c r="G47" s="453">
        <v>4</v>
      </c>
      <c r="H47" s="462" t="str">
        <f ca="1">+MID(INDEX(WORLDCUP!$AL$6:$AL$97,MATCH(L47,WORLDCUP!$AI$6:$AI$97,0)),1,3)</f>
        <v>Tún</v>
      </c>
      <c r="I47" s="463">
        <f ca="1">+INDEX(WORLDCUP!$AM$6:$AM$97,MATCH(L47,WORLDCUP!$AI$6:$AI$97,0))</f>
        <v>1</v>
      </c>
      <c r="J47" s="464">
        <f ca="1">+INDEX(WORLDCUP!$AT$6:$AT$97,MATCH(L47,WORLDCUP!$AI$6:$AI$97,0))</f>
        <v>-5</v>
      </c>
      <c r="K47" s="465" t="str">
        <f ca="1">+INDEX(WORLDCUP!$AR$6:$AR$97,MATCH(L47,WORLDCUP!$AI$6:$AI$97,0))&amp;"-"&amp;INDEX(WORLDCUP!$AS$6:$AS$97,MATCH(L47,WORLDCUP!$AI$6:$AI$97,0))</f>
        <v>2-7</v>
      </c>
      <c r="L47" s="177" t="s">
        <v>678</v>
      </c>
      <c r="M47" s="177">
        <v>67</v>
      </c>
      <c r="N47" s="554"/>
      <c r="O47" s="430" t="str">
        <f ca="1">+MID(INDEX(WORLDCUP!$AA$4:$AA$147,MATCH(M47,WORLDCUP!$AH$4:$AH$147,0)),1,3)</f>
        <v>Pan</v>
      </c>
      <c r="P47" s="431">
        <f>IF(ISBLANK(INDEX(WORLDCUP!$AC$4:$AC$147,MATCH(M47,WORLDCUP!$AH$4:$AH$147,0))),"",INDEX(WORLDCUP!$AC$4:$AC$147,MATCH(M47,WORLDCUP!$AH$4:$AH$147,0)))</f>
        <v>0</v>
      </c>
      <c r="Q47" s="431">
        <f>IF(ISBLANK(INDEX(WORLDCUP!$AD$4:$AD$147,MATCH(M47,WORLDCUP!$AH$4:$AH$147,0))),"",INDEX(WORLDCUP!$AD$4:$AD$147,MATCH(M47,WORLDCUP!$AH$4:$AH$147,0)))</f>
        <v>2</v>
      </c>
      <c r="R47" s="432" t="str">
        <f ca="1">+MID(INDEX(WORLDCUP!$AF$4:$AF$147,MATCH(M47,WORLDCUP!$AH$4:$AH$147,0)),1,3)</f>
        <v>Ing</v>
      </c>
      <c r="S47" s="453">
        <v>4</v>
      </c>
      <c r="T47" s="462" t="str">
        <f ca="1">+MID(INDEX(WORLDCUP!$AL$6:$AL$97,MATCH(X47,WORLDCUP!$AI$6:$AI$97,0)),1,3)</f>
        <v>Pan</v>
      </c>
      <c r="U47" s="463">
        <f ca="1">+INDEX(WORLDCUP!$AM$6:$AM$97,MATCH(X47,WORLDCUP!$AI$6:$AI$97,0))</f>
        <v>0</v>
      </c>
      <c r="V47" s="464">
        <f ca="1">+INDEX(WORLDCUP!$AT$6:$AT$97,MATCH(X47,WORLDCUP!$AI$6:$AI$97,0))</f>
        <v>-6</v>
      </c>
      <c r="W47" s="465" t="str">
        <f ca="1">+INDEX(WORLDCUP!$AR$6:$AR$97,MATCH(X47,WORLDCUP!$AI$6:$AI$97,0))&amp;"-"&amp;INDEX(WORLDCUP!$AS$6:$AS$97,MATCH(X47,WORLDCUP!$AI$6:$AI$97,0))</f>
        <v>1-7</v>
      </c>
      <c r="X47" s="177" t="s">
        <v>696</v>
      </c>
      <c r="Y47" s="177"/>
      <c r="Z47" s="411"/>
      <c r="AA47" s="455"/>
      <c r="AB47" s="455"/>
      <c r="AC47" s="456"/>
      <c r="AD47" s="177">
        <v>96</v>
      </c>
      <c r="AE47" s="442" t="str">
        <f ca="1">+MID(INDEX(WORLDCUP!$AF$101:$AF$147,MATCH(AD47,WORLDCUP!$Z$101:$Z$147,0)),1,3)</f>
        <v>Por</v>
      </c>
      <c r="AF47" s="443">
        <f>+IF(ISBLANK(INDEX(WORLDCUP!$AD$101:$AD$147,MATCH(AD47,WORLDCUP!$Z$101:$Z$147,0))),"",INDEX(WORLDCUP!$AD$101:$AD$147,MATCH(AD47,WORLDCUP!$Z$101:$Z$147,0)))</f>
        <v>2</v>
      </c>
      <c r="AG47" s="460" t="str">
        <f>+IF(ISBLANK(INDEX(WORLDCUP!$AE$101:$AE$147,MATCH(AD47,WORLDCUP!$Z$101:$Z$147,0))),"","( "&amp;INDEX(WORLDCUP!$AE$101:$AE$147,MATCH(AD47,WORLDCUP!$Z$101:$Z$147,0))&amp;" )")</f>
        <v/>
      </c>
      <c r="AH47" s="177"/>
      <c r="AI47" s="445"/>
      <c r="AJ47" s="445"/>
      <c r="AK47" s="445"/>
      <c r="AL47" s="401"/>
      <c r="AM47" s="417"/>
      <c r="AN47" s="417"/>
      <c r="AO47" s="417"/>
      <c r="AP47" s="177"/>
      <c r="AQ47" s="446"/>
      <c r="AR47" s="446"/>
      <c r="AS47" s="446"/>
      <c r="AT47" s="177"/>
      <c r="AU47" s="419"/>
      <c r="AV47" s="419"/>
      <c r="AW47" s="419"/>
      <c r="AX47" s="177"/>
      <c r="AY47" s="149"/>
      <c r="AZ47" s="149"/>
      <c r="BA47" s="149"/>
      <c r="BB47" s="149"/>
      <c r="BC47" s="149"/>
      <c r="BD47" s="149"/>
      <c r="BE47" s="149"/>
      <c r="BG47" s="448" t="str">
        <f ca="1">Horarios!Q46</f>
        <v>Suiza</v>
      </c>
      <c r="BH47" s="449">
        <f t="shared" ca="1" si="0"/>
        <v>0</v>
      </c>
      <c r="BI47" s="449">
        <f ca="1">COUNTIF(Pool!$C$130:$C$161,Fixture!BG47)-BJ47-BK47-BL47-BM47-BN47-BO47</f>
        <v>0</v>
      </c>
      <c r="BJ47" s="450">
        <f ca="1">COUNTIF(Pool!$C$182:$C$197,Fixture!BG47)-BK47-BL47-BM47-BN47-BO47</f>
        <v>1</v>
      </c>
      <c r="BK47" s="451">
        <f ca="1">COUNTIF(Pool!$C$210:$C$217,Fixture!BG47)-BL47-BM47-BN47-BO47</f>
        <v>0</v>
      </c>
      <c r="BL47" s="451">
        <f ca="1">COUNTIF(Pool!$C$226:$C$229,Fixture!BG47)-BM47-BN47-BO47</f>
        <v>0</v>
      </c>
      <c r="BM47" s="449">
        <f ca="1">COUNTIF(Pool!$C$252,Fixture!BG47)</f>
        <v>0</v>
      </c>
      <c r="BN47" s="449">
        <f ca="1">COUNTIF(Pool!$C$251,Fixture!BG47)</f>
        <v>0</v>
      </c>
      <c r="BO47" s="452">
        <f ca="1">COUNTIF(Pool!$C$250,Fixture!BG47)</f>
        <v>0</v>
      </c>
    </row>
    <row r="48" spans="1:67" ht="15" thickBot="1">
      <c r="A48" s="177">
        <v>58</v>
      </c>
      <c r="B48" s="555"/>
      <c r="C48" s="473" t="str">
        <f ca="1">+MID(INDEX(WORLDCUP!$AA$4:$AA$147,MATCH(A48,WORLDCUP!$AH$4:$AH$147,0)),1,3)</f>
        <v>Tún</v>
      </c>
      <c r="D48" s="474">
        <f>IF(ISBLANK(INDEX(WORLDCUP!$AC$4:$AC$147,MATCH(A48,WORLDCUP!$AH$4:$AH$147,0))),"",INDEX(WORLDCUP!$AC$4:$AC$147,MATCH(A48,WORLDCUP!$AH$4:$AH$147,0)))</f>
        <v>0</v>
      </c>
      <c r="E48" s="474">
        <f>IF(ISBLANK(INDEX(WORLDCUP!$AD$4:$AD$147,MATCH(A48,WORLDCUP!$AH$4:$AH$147,0))),"",INDEX(WORLDCUP!$AD$4:$AD$147,MATCH(A48,WORLDCUP!$AH$4:$AH$147,0)))</f>
        <v>3</v>
      </c>
      <c r="F48" s="475" t="str">
        <f ca="1">+MID(INDEX(WORLDCUP!$AF$4:$AF$147,MATCH(A48,WORLDCUP!$AH$4:$AH$147,0)),1,3)</f>
        <v>Paí</v>
      </c>
      <c r="G48" s="476"/>
      <c r="H48" s="476"/>
      <c r="I48" s="477"/>
      <c r="J48" s="477"/>
      <c r="K48" s="478"/>
      <c r="L48" s="177"/>
      <c r="M48" s="177">
        <v>68</v>
      </c>
      <c r="N48" s="556"/>
      <c r="O48" s="473" t="str">
        <f ca="1">+MID(INDEX(WORLDCUP!$AA$4:$AA$147,MATCH(M48,WORLDCUP!$AH$4:$AH$147,0)),1,3)</f>
        <v>Cro</v>
      </c>
      <c r="P48" s="474">
        <f>IF(ISBLANK(INDEX(WORLDCUP!$AC$4:$AC$147,MATCH(M48,WORLDCUP!$AH$4:$AH$147,0))),"",INDEX(WORLDCUP!$AC$4:$AC$147,MATCH(M48,WORLDCUP!$AH$4:$AH$147,0)))</f>
        <v>1</v>
      </c>
      <c r="Q48" s="474">
        <f>IF(ISBLANK(INDEX(WORLDCUP!$AD$4:$AD$147,MATCH(M48,WORLDCUP!$AH$4:$AH$147,0))),"",INDEX(WORLDCUP!$AD$4:$AD$147,MATCH(M48,WORLDCUP!$AH$4:$AH$147,0)))</f>
        <v>0</v>
      </c>
      <c r="R48" s="475" t="str">
        <f ca="1">+MID(INDEX(WORLDCUP!$AF$4:$AF$147,MATCH(M48,WORLDCUP!$AH$4:$AH$147,0)),1,3)</f>
        <v>Gha</v>
      </c>
      <c r="S48" s="476"/>
      <c r="T48" s="476"/>
      <c r="U48" s="477"/>
      <c r="V48" s="477"/>
      <c r="W48" s="478"/>
      <c r="X48" s="177"/>
      <c r="Y48" s="177">
        <v>87</v>
      </c>
      <c r="Z48" s="411" t="s">
        <v>691</v>
      </c>
      <c r="AA48" s="412" t="str">
        <f ca="1">+MID(INDEX(WORLDCUP!$AA$101:$AA$147,MATCH(Y48,WORLDCUP!$Z$101:$Z$147,0)),1,3)</f>
        <v>Por</v>
      </c>
      <c r="AB48" s="458">
        <f>+IF(ISBLANK(INDEX(WORLDCUP!$AC$101:$AC$147,MATCH(Y48,WORLDCUP!$Z$101:$Z$147,0))),"",INDEX(WORLDCUP!$AC$101:$AC$147,MATCH(Y48,WORLDCUP!$Z$101:$Z$147,0)))</f>
        <v>2</v>
      </c>
      <c r="AC48" s="492" t="str">
        <f>+IF(ISBLANK(INDEX(WORLDCUP!$AB$101:$AB$147,MATCH(Y48,WORLDCUP!$Z$101:$Z$147,0))),"","( "&amp;INDEX(WORLDCUP!$AB$101:$AB$147,MATCH(Y48,WORLDCUP!$Z$101:$Z$147,0))&amp;" )")</f>
        <v/>
      </c>
      <c r="AD48" s="177"/>
      <c r="AE48" s="415"/>
      <c r="AF48" s="415"/>
      <c r="AG48" s="415"/>
      <c r="AH48" s="177"/>
      <c r="AI48" s="445"/>
      <c r="AJ48" s="445"/>
      <c r="AK48" s="445"/>
      <c r="AL48" s="401"/>
      <c r="AM48" s="417"/>
      <c r="AN48" s="417"/>
      <c r="AO48" s="417"/>
      <c r="AP48" s="177"/>
      <c r="AQ48" s="446"/>
      <c r="AR48" s="446"/>
      <c r="AS48" s="446"/>
      <c r="AT48" s="177"/>
      <c r="AU48" s="419"/>
      <c r="AV48" s="419"/>
      <c r="AW48" s="419"/>
      <c r="AX48" s="177"/>
      <c r="AY48" s="149"/>
      <c r="AZ48" s="149"/>
      <c r="BA48" s="149"/>
      <c r="BB48" s="149"/>
      <c r="BC48" s="149"/>
      <c r="BD48" s="149"/>
      <c r="BE48" s="149"/>
      <c r="BG48" s="448" t="str">
        <f ca="1">Horarios!Q47</f>
        <v>Túnez</v>
      </c>
      <c r="BH48" s="449">
        <f t="shared" ca="1" si="0"/>
        <v>1</v>
      </c>
      <c r="BI48" s="449">
        <f ca="1">COUNTIF(Pool!$C$130:$C$161,Fixture!BG48)-BJ48-BK48-BL48-BM48-BN48-BO48</f>
        <v>0</v>
      </c>
      <c r="BJ48" s="450">
        <f ca="1">COUNTIF(Pool!$C$182:$C$197,Fixture!BG48)-BK48-BL48-BM48-BN48-BO48</f>
        <v>0</v>
      </c>
      <c r="BK48" s="451">
        <f ca="1">COUNTIF(Pool!$C$210:$C$217,Fixture!BG48)-BL48-BM48-BN48-BO48</f>
        <v>0</v>
      </c>
      <c r="BL48" s="451">
        <f ca="1">COUNTIF(Pool!$C$226:$C$229,Fixture!BG48)-BM48-BN48-BO48</f>
        <v>0</v>
      </c>
      <c r="BM48" s="449">
        <f ca="1">COUNTIF(Pool!$C$252,Fixture!BG48)</f>
        <v>0</v>
      </c>
      <c r="BN48" s="449">
        <f ca="1">COUNTIF(Pool!$C$251,Fixture!BG48)</f>
        <v>0</v>
      </c>
      <c r="BO48" s="452">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1" t="s">
        <v>741</v>
      </c>
      <c r="AA49" s="466" t="str">
        <f ca="1">+MID(INDEX(WORLDCUP!$AF$101:$AF$147,MATCH(Y49,WORLDCUP!$Z$101:$Z$147,0)),1,IF(WORLDCUP!$H$113&lt;144,6,3))</f>
        <v>Gha</v>
      </c>
      <c r="AB49" s="467">
        <f>+IF(ISBLANK(INDEX(WORLDCUP!$AD$101:$AD$147,MATCH(Y49,WORLDCUP!$Z$101:$Z$147,0))),"",INDEX(WORLDCUP!$AD$101:$AD$147,MATCH(Y49,WORLDCUP!$Z$101:$Z$147,0)))</f>
        <v>0</v>
      </c>
      <c r="AC49" s="493" t="str">
        <f>+IF(ISBLANK(INDEX(WORLDCUP!$AE$101:$AE$147,MATCH(Y49,WORLDCUP!$Z$101:$Z$147,0))),"","( "&amp;INDEX(WORLDCUP!$AE$101:$AE$147,MATCH(Y49,WORLDCUP!$Z$101:$Z$147,0))&amp;" )")</f>
        <v/>
      </c>
      <c r="AD49" s="177"/>
      <c r="AE49" s="415"/>
      <c r="AF49" s="415"/>
      <c r="AG49" s="415"/>
      <c r="AH49" s="177"/>
      <c r="AI49" s="445"/>
      <c r="AJ49" s="445"/>
      <c r="AK49" s="445"/>
      <c r="AL49" s="401"/>
      <c r="AM49" s="417"/>
      <c r="AN49" s="417"/>
      <c r="AO49" s="417"/>
      <c r="AP49" s="177"/>
      <c r="AQ49" s="446"/>
      <c r="AR49" s="446"/>
      <c r="AS49" s="446"/>
      <c r="AT49" s="177"/>
      <c r="AU49" s="419"/>
      <c r="AV49" s="419"/>
      <c r="AW49" s="419"/>
      <c r="AX49" s="177"/>
      <c r="AY49" s="149"/>
      <c r="AZ49" s="149"/>
      <c r="BA49" s="149"/>
      <c r="BB49" s="149"/>
      <c r="BC49" s="149"/>
      <c r="BD49" s="149"/>
      <c r="BE49" s="149"/>
      <c r="BG49" s="448" t="str">
        <f ca="1">Horarios!Q48</f>
        <v>Turquía</v>
      </c>
      <c r="BH49" s="449">
        <f t="shared" ca="1" si="0"/>
        <v>0</v>
      </c>
      <c r="BI49" s="449">
        <f ca="1">COUNTIF(Pool!$C$130:$C$161,Fixture!BG49)-BJ49-BK49-BL49-BM49-BN49-BO49</f>
        <v>0</v>
      </c>
      <c r="BJ49" s="450">
        <f ca="1">COUNTIF(Pool!$C$182:$C$197,Fixture!BG49)-BK49-BL49-BM49-BN49-BO49</f>
        <v>0</v>
      </c>
      <c r="BK49" s="451">
        <f ca="1">COUNTIF(Pool!$C$210:$C$217,Fixture!BG49)-BL49-BM49-BN49-BO49</f>
        <v>1</v>
      </c>
      <c r="BL49" s="451">
        <f ca="1">COUNTIF(Pool!$C$226:$C$229,Fixture!BG49)-BM49-BN49-BO49</f>
        <v>0</v>
      </c>
      <c r="BM49" s="449">
        <f ca="1">COUNTIF(Pool!$C$252,Fixture!BG49)</f>
        <v>0</v>
      </c>
      <c r="BN49" s="449">
        <f ca="1">COUNTIF(Pool!$C$251,Fixture!BG49)</f>
        <v>0</v>
      </c>
      <c r="BO49" s="452">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7"/>
      <c r="AB50" s="557"/>
      <c r="AC50" s="557"/>
      <c r="AD50" s="177"/>
      <c r="AE50" s="558"/>
      <c r="AF50" s="558"/>
      <c r="AG50" s="558"/>
      <c r="AH50" s="177"/>
      <c r="AI50" s="445"/>
      <c r="AJ50" s="445"/>
      <c r="AK50" s="445"/>
      <c r="AL50" s="401"/>
      <c r="AM50" s="417"/>
      <c r="AN50" s="417"/>
      <c r="AO50" s="417"/>
      <c r="AP50" s="177"/>
      <c r="AQ50" s="418"/>
      <c r="AR50" s="418"/>
      <c r="AS50" s="418"/>
      <c r="AT50" s="177"/>
      <c r="AU50" s="559"/>
      <c r="AV50" s="559"/>
      <c r="AW50" s="559"/>
      <c r="AX50" s="177"/>
      <c r="AY50" s="149"/>
      <c r="AZ50" s="149"/>
      <c r="BA50" s="149"/>
      <c r="BB50" s="149"/>
      <c r="BC50" s="149"/>
      <c r="BD50" s="149"/>
      <c r="BE50" s="149"/>
      <c r="BG50" s="448" t="str">
        <f ca="1">Horarios!Q49</f>
        <v>Uruguay</v>
      </c>
      <c r="BH50" s="449">
        <f t="shared" ca="1" si="0"/>
        <v>0</v>
      </c>
      <c r="BI50" s="449">
        <f ca="1">COUNTIF(Pool!$C$130:$C$161,Fixture!BG50)-BJ50-BK50-BL50-BM50-BN50-BO50</f>
        <v>1</v>
      </c>
      <c r="BJ50" s="450">
        <f ca="1">COUNTIF(Pool!$C$182:$C$197,Fixture!BG50)-BK50-BL50-BM50-BN50-BO50</f>
        <v>0</v>
      </c>
      <c r="BK50" s="451">
        <f ca="1">COUNTIF(Pool!$C$210:$C$217,Fixture!BG50)-BL50-BM50-BN50-BO50</f>
        <v>0</v>
      </c>
      <c r="BL50" s="451">
        <f ca="1">COUNTIF(Pool!$C$226:$C$229,Fixture!BG50)-BM50-BN50-BO50</f>
        <v>0</v>
      </c>
      <c r="BM50" s="449">
        <f ca="1">COUNTIF(Pool!$C$252,Fixture!BG50)</f>
        <v>0</v>
      </c>
      <c r="BN50" s="449">
        <f ca="1">COUNTIF(Pool!$C$251,Fixture!BG50)</f>
        <v>0</v>
      </c>
      <c r="BO50" s="452">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0" t="str">
        <f ca="1">Horarios!Q50</f>
        <v>Uzbekistán</v>
      </c>
      <c r="BH51" s="561">
        <f t="shared" ca="1" si="0"/>
        <v>1</v>
      </c>
      <c r="BI51" s="561">
        <f ca="1">COUNTIF(Pool!$C$130:$C$161,Fixture!BG51)-BJ51-BK51-BL51-BM51-BN51-BO51</f>
        <v>0</v>
      </c>
      <c r="BJ51" s="562">
        <f ca="1">COUNTIF(Pool!$C$182:$C$197,Fixture!BG51)-BK51-BL51-BM51-BN51-BO51</f>
        <v>0</v>
      </c>
      <c r="BK51" s="563">
        <f ca="1">COUNTIF(Pool!$C$210:$C$217,Fixture!BG51)-BL51-BM51-BN51-BO51</f>
        <v>0</v>
      </c>
      <c r="BL51" s="563">
        <f ca="1">COUNTIF(Pool!$C$226:$C$229,Fixture!BG51)-BM51-BN51-BO51</f>
        <v>0</v>
      </c>
      <c r="BM51" s="561">
        <f ca="1">COUNTIF(Pool!$C$252,Fixture!BG51)</f>
        <v>0</v>
      </c>
      <c r="BN51" s="561">
        <f ca="1">COUNTIF(Pool!$C$251,Fixture!BG51)</f>
        <v>0</v>
      </c>
      <c r="BO51" s="564">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2"/>
      <c r="D5" s="13" t="str">
        <f t="shared" ref="D5:D12" si="0">IF($B$2,G5,H5)</f>
        <v>Si quieres organizar una porra (quiniela) con tu grupo puedes descargar el archivo de adminsitrador desde el enlace de abajo</v>
      </c>
      <c r="E5" s="13" t="s">
        <v>23</v>
      </c>
      <c r="F5" s="13" t="s">
        <v>180</v>
      </c>
      <c r="G5" s="13" t="s">
        <v>1352</v>
      </c>
      <c r="H5" s="13" t="s">
        <v>1353</v>
      </c>
      <c r="K5" s="568" t="s">
        <v>1305</v>
      </c>
      <c r="L5" s="568" t="s">
        <v>1306</v>
      </c>
    </row>
    <row r="6" spans="1:12">
      <c r="B6" s="592"/>
      <c r="D6" s="13" t="str">
        <f t="shared" si="0"/>
        <v>Predictor Equipos</v>
      </c>
      <c r="E6" s="13" t="s">
        <v>23</v>
      </c>
      <c r="G6" s="568" t="s">
        <v>1303</v>
      </c>
      <c r="H6" s="568"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2"/>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79"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8" t="s">
        <v>1238</v>
      </c>
      <c r="H67" s="568" t="s">
        <v>1239</v>
      </c>
    </row>
    <row r="68" spans="3:8">
      <c r="D68" s="13" t="str">
        <f t="shared" si="2"/>
        <v xml:space="preserve">Grupos mejores 3ºs: </v>
      </c>
      <c r="E68" s="13" t="s">
        <v>490</v>
      </c>
      <c r="G68" s="568" t="s">
        <v>1347</v>
      </c>
      <c r="H68" s="568"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3"/>
      <c r="K106" s="593"/>
      <c r="L106" s="593"/>
      <c r="M106" s="593"/>
      <c r="N106" s="593"/>
      <c r="O106" s="593"/>
      <c r="P106" s="593"/>
    </row>
    <row r="107" spans="4:16" ht="15" customHeight="1">
      <c r="D107" s="13" t="str">
        <f t="shared" si="4"/>
        <v>·Si haceis todo el Mundial de golpe, copiar de la C5 a la C258 y pegar valores en la plantilla de Administrador.</v>
      </c>
      <c r="E107" s="13" t="s">
        <v>443</v>
      </c>
      <c r="F107" s="13" t="s">
        <v>130</v>
      </c>
      <c r="G107" s="594" t="s">
        <v>1515</v>
      </c>
      <c r="H107" s="13" t="s">
        <v>1412</v>
      </c>
      <c r="I107" s="593"/>
      <c r="K107" s="593"/>
      <c r="L107" s="593"/>
      <c r="M107" s="593"/>
      <c r="N107" s="593"/>
      <c r="O107" s="593"/>
      <c r="P107" s="593"/>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5"/>
      <c r="K109" s="595"/>
      <c r="L109" s="595"/>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8" t="s">
        <v>1419</v>
      </c>
      <c r="H121" s="568" t="s">
        <v>1420</v>
      </c>
    </row>
    <row r="122" spans="4:9">
      <c r="D122" s="13" t="str">
        <f t="shared" si="4"/>
        <v>J1</v>
      </c>
      <c r="E122" s="13" t="s">
        <v>443</v>
      </c>
      <c r="F122" s="13" t="s">
        <v>264</v>
      </c>
      <c r="G122" s="13" t="s">
        <v>28</v>
      </c>
      <c r="H122" s="13" t="s">
        <v>285</v>
      </c>
      <c r="I122" s="568"/>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2"/>
      <c r="K197" s="580"/>
    </row>
    <row r="199" spans="2:11">
      <c r="J199" s="592"/>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8"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8" t="s">
        <v>227</v>
      </c>
    </row>
    <row r="259" spans="4:8">
      <c r="D259" s="13" t="str">
        <f t="shared" si="9"/>
        <v>Cuartos de final</v>
      </c>
      <c r="E259" s="13" t="s">
        <v>1248</v>
      </c>
      <c r="G259" s="13" t="s">
        <v>71</v>
      </c>
      <c r="H259" s="568" t="s">
        <v>226</v>
      </c>
    </row>
    <row r="260" spans="4:8">
      <c r="D260" s="13" t="str">
        <f t="shared" si="9"/>
        <v>Octavos de final</v>
      </c>
      <c r="E260" s="13" t="s">
        <v>1248</v>
      </c>
      <c r="G260" s="13" t="s">
        <v>88</v>
      </c>
      <c r="H260" s="568"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8" t="s">
        <v>1250</v>
      </c>
    </row>
    <row r="263" spans="4:8">
      <c r="D263" s="13" t="str">
        <f t="shared" si="9"/>
        <v>Pronóstica la ronda</v>
      </c>
      <c r="E263" s="13" t="s">
        <v>1248</v>
      </c>
      <c r="G263" s="568" t="s">
        <v>1242</v>
      </c>
      <c r="H263" s="568" t="s">
        <v>1243</v>
      </c>
    </row>
    <row r="264" spans="4:8">
      <c r="D264" s="13" t="str">
        <f t="shared" si="9"/>
        <v>Predice la selección</v>
      </c>
      <c r="E264" s="13" t="s">
        <v>1248</v>
      </c>
      <c r="G264" s="568" t="s">
        <v>1251</v>
      </c>
      <c r="H264" s="568" t="s">
        <v>1252</v>
      </c>
    </row>
    <row r="265" spans="4:8">
      <c r="D265" s="13" t="str">
        <f t="shared" si="9"/>
        <v>Ronda</v>
      </c>
      <c r="E265" s="13" t="s">
        <v>1248</v>
      </c>
      <c r="G265" s="568" t="s">
        <v>1244</v>
      </c>
      <c r="H265" s="568" t="s">
        <v>1245</v>
      </c>
    </row>
    <row r="266" spans="4:8">
      <c r="D266" s="13" t="str">
        <f t="shared" si="9"/>
        <v>·Selecciona para cada ronda el la selección o selecciones que crees que van a llegar hasta esa ronda.</v>
      </c>
      <c r="E266" s="13" t="s">
        <v>1248</v>
      </c>
      <c r="G266" s="13" t="s">
        <v>1253</v>
      </c>
      <c r="H266" s="568" t="s">
        <v>1259</v>
      </c>
    </row>
    <row r="267" spans="4:8">
      <c r="D267" s="13" t="str">
        <f t="shared" si="9"/>
        <v>·Una vez elijas una selección, dejará de aparecer en la lista</v>
      </c>
      <c r="E267" s="13" t="s">
        <v>1248</v>
      </c>
      <c r="G267" s="13" t="s">
        <v>1260</v>
      </c>
      <c r="H267" s="568" t="s">
        <v>1258</v>
      </c>
    </row>
    <row r="268" spans="4:8">
      <c r="D268" s="13" t="str">
        <f t="shared" si="9"/>
        <v xml:space="preserve">·Si has rellenado todos y quieres hacer un cambio, </v>
      </c>
      <c r="E268" s="13" t="s">
        <v>1248</v>
      </c>
      <c r="G268" s="13" t="s">
        <v>1246</v>
      </c>
      <c r="H268" s="568" t="s">
        <v>1247</v>
      </c>
    </row>
    <row r="269" spans="4:8">
      <c r="D269" s="13" t="str">
        <f t="shared" si="9"/>
        <v xml:space="preserve"> borra las selecciones que quieras cambiar y podrás volver a elegirlas</v>
      </c>
      <c r="E269" s="13" t="s">
        <v>1248</v>
      </c>
      <c r="G269" s="13" t="s">
        <v>1254</v>
      </c>
      <c r="H269" s="568" t="s">
        <v>1257</v>
      </c>
    </row>
    <row r="270" spans="4:8">
      <c r="D270" s="13" t="str">
        <f t="shared" si="9"/>
        <v>Rellenar antes del comienzo del Mundial</v>
      </c>
      <c r="E270" s="13" t="s">
        <v>1248</v>
      </c>
      <c r="G270" s="13" t="s">
        <v>1255</v>
      </c>
      <c r="H270" s="568"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4" t="s">
        <v>84</v>
      </c>
      <c r="B1" s="394" t="s">
        <v>85</v>
      </c>
      <c r="C1" s="392" t="s">
        <v>0</v>
      </c>
      <c r="D1" s="392" t="s">
        <v>1</v>
      </c>
      <c r="E1" s="392" t="s">
        <v>74</v>
      </c>
      <c r="F1" s="392" t="s">
        <v>3</v>
      </c>
      <c r="G1" s="392" t="s">
        <v>6</v>
      </c>
      <c r="H1" s="392" t="s">
        <v>448</v>
      </c>
      <c r="I1" s="392" t="s">
        <v>449</v>
      </c>
      <c r="J1" s="392" t="s">
        <v>247</v>
      </c>
      <c r="N1" s="13" t="s">
        <v>776</v>
      </c>
      <c r="O1" s="396" t="s">
        <v>1372</v>
      </c>
      <c r="P1" s="396" t="s">
        <v>657</v>
      </c>
      <c r="Q1" s="396" t="s">
        <v>660</v>
      </c>
      <c r="R1" s="396" t="s">
        <v>670</v>
      </c>
      <c r="S1" s="396" t="s">
        <v>673</v>
      </c>
      <c r="T1" s="396" t="s">
        <v>679</v>
      </c>
      <c r="U1" s="396" t="s">
        <v>685</v>
      </c>
      <c r="V1" s="396" t="s">
        <v>691</v>
      </c>
      <c r="W1" s="396"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Estados Unidos</v>
      </c>
      <c r="G3" s="7" t="str">
        <f ca="1">+WORLDCUP!BD67</f>
        <v>Austria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Estados Unidos</v>
      </c>
      <c r="G4" s="7" t="str">
        <f ca="1">+WORLDCUP!BD65</f>
        <v>Arabia Saudita</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Estados Unidos</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Estados Unidos</v>
      </c>
      <c r="G6" s="7" t="str">
        <f ca="1">+WORLDCUP!BD67</f>
        <v>Austria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Austria</v>
      </c>
      <c r="F7" s="7" t="str">
        <f ca="1">+WORLDCUP!BD61</f>
        <v>Estados Unidos</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Estados Unidos</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Austria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Austria</v>
      </c>
      <c r="F10" s="7" t="str">
        <f ca="1">+WORLDCUP!BD61</f>
        <v>Estados Unidos</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Austria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Austria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Austria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Austria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Austria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Austria</v>
      </c>
      <c r="H19" s="7" t="str">
        <f ca="1">+WORLDCUP!BD61</f>
        <v>Estados Unidos</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Estados Unidos</v>
      </c>
      <c r="G21" s="7" t="str">
        <f ca="1">+WORLDCUP!BD67</f>
        <v>Austria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Austria</v>
      </c>
      <c r="F22" s="7" t="str">
        <f ca="1">+WORLDCUP!BD61</f>
        <v>Estados Unidos</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Austria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Austria</v>
      </c>
      <c r="F25" s="7" t="str">
        <f ca="1">+WORLDCUP!BD61</f>
        <v>Estados Unidos</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Austria</v>
      </c>
      <c r="H27" s="7" t="str">
        <f ca="1">+WORLDCUP!BD61</f>
        <v>Estados Unidos</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Austria</v>
      </c>
      <c r="F28" s="7" t="str">
        <f ca="1">+WORLDCUP!BD60</f>
        <v>Escocia</v>
      </c>
      <c r="G28" s="7" t="str">
        <f ca="1">+WORLDCUP!BD65</f>
        <v>Arabia Saudita</v>
      </c>
      <c r="H28" s="7" t="str">
        <f ca="1">+WORLDCUP!BD61</f>
        <v>Estados Unidos</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Austria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Austria</v>
      </c>
      <c r="F31" s="7" t="str">
        <f ca="1">+WORLDCUP!BD60</f>
        <v>Escocia</v>
      </c>
      <c r="G31" s="7" t="str">
        <f ca="1">+WORLDCUP!BD65</f>
        <v>Arabia Saudita</v>
      </c>
      <c r="H31" s="7" t="str">
        <f ca="1">+WORLDCUP!BD61</f>
        <v>Estados Unidos</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Estados Unidos</v>
      </c>
      <c r="G37" s="7" t="str">
        <f ca="1">+WORLDCUP!BD67</f>
        <v>Austria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Estados Unidos</v>
      </c>
      <c r="G39" s="7" t="str">
        <f ca="1">+WORLDCUP!BD67</f>
        <v>Austria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Estados Unidos</v>
      </c>
      <c r="G40" s="7" t="str">
        <f ca="1">+WORLDCUP!BD67</f>
        <v>Austria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Austria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Austria</v>
      </c>
      <c r="F43" s="7" t="str">
        <f ca="1">+WORLDCUP!BD61</f>
        <v>Estados Unidos</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Austria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Senegal</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Bosnia y Herzegovina</v>
      </c>
      <c r="G48" s="7" t="str">
        <f ca="1">+WORLDCUP!BD65</f>
        <v>Arabia Saudita</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Senegal</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Irán</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Estados Unidos</v>
      </c>
      <c r="G55" s="7" t="str">
        <f ca="1">+WORLDCUP!BD66</f>
        <v>Senegal</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Estados Unidos</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Estados Unidos</v>
      </c>
      <c r="G57" s="7" t="str">
        <f ca="1">+WORLDCUP!BD67</f>
        <v>Austria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Estados Unidos</v>
      </c>
      <c r="G58" s="7" t="str">
        <f ca="1">+WORLDCUP!BD67</f>
        <v>Austria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Estados Unidos</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Estados Unidos</v>
      </c>
      <c r="G60" s="7" t="str">
        <f ca="1">+WORLDCUP!BD67</f>
        <v>Austria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Estados Unidos</v>
      </c>
      <c r="G61" s="7" t="str">
        <f ca="1">+WORLDCUP!BD67</f>
        <v>Austria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Estados Unidos</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Estados Unidos</v>
      </c>
      <c r="G63" s="7" t="str">
        <f ca="1">+WORLDCUP!BD66</f>
        <v>Senegal</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Estados Unidos</v>
      </c>
      <c r="G64" s="7" t="str">
        <f ca="1">+WORLDCUP!BD65</f>
        <v>Arabia Saudita</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Estados Unidos</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Estados Unidos</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Estados Unidos</v>
      </c>
      <c r="G67" s="7" t="str">
        <f ca="1">+WORLDCUP!BD65</f>
        <v>Arabia Saudita</v>
      </c>
      <c r="H67" s="7" t="str">
        <f ca="1">+WORLDCUP!BD64</f>
        <v>Irán</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Estados Unidos</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Estados Unidos</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Estados Unidos</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Estados Unidos</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Estados Unidos</v>
      </c>
      <c r="G73" s="7" t="str">
        <f ca="1">+WORLDCUP!BD67</f>
        <v>Austria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Estados Unidos</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Estados Unidos</v>
      </c>
      <c r="G75" s="7" t="str">
        <f ca="1">+WORLDCUP!BD67</f>
        <v>Austria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Estados Unidos</v>
      </c>
      <c r="G76" s="7" t="str">
        <f ca="1">+WORLDCUP!BD67</f>
        <v>Austria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Estados Unidos</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Estados Unidos</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Estados Unidos</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Estados Unidos</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Estados Unidos</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Senegal</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Austria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Austria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Austria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Austria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Senegal</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Austria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Austria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Austria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Senegal</v>
      </c>
      <c r="H111" s="7" t="str">
        <f ca="1">+WORLDCUP!BD61</f>
        <v>Estados Unidos</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Austria</v>
      </c>
      <c r="H112" s="7" t="str">
        <f ca="1">+WORLDCUP!BD61</f>
        <v>Estados Unidos</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Austria</v>
      </c>
      <c r="H113" s="7" t="str">
        <f ca="1">+WORLDCUP!BD61</f>
        <v>Estados Unidos</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Estados Unidos</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Austria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Austria</v>
      </c>
      <c r="H116" s="7" t="str">
        <f ca="1">+WORLDCUP!BD61</f>
        <v>Estados Unidos</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Estados Unidos</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Estados Unidos</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Estados Unidos</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Estados Unidos</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Estados Unidos</v>
      </c>
      <c r="G122" s="7" t="str">
        <f ca="1">+WORLDCUP!BD67</f>
        <v>Austria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Estados Unidos</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Estados Unidos</v>
      </c>
      <c r="G124" s="7" t="str">
        <f ca="1">+WORLDCUP!BD67</f>
        <v>Austria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Estados Unidos</v>
      </c>
      <c r="G125" s="7" t="str">
        <f ca="1">+WORLDCUP!BD67</f>
        <v>Austria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Estados Unidos</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Estados Unidos</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Austria</v>
      </c>
      <c r="H128" s="7" t="str">
        <f ca="1">+WORLDCUP!BD63</f>
        <v>Suecia</v>
      </c>
      <c r="I128" s="7" t="str">
        <f ca="1">+WORLDCUP!BD61</f>
        <v>Estados Unidos</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Estados Unidos</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Austria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Senegal</v>
      </c>
      <c r="H132" s="7" t="str">
        <f ca="1">+WORLDCUP!BD61</f>
        <v>Estados Unidos</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Estados Unidos</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Estados Unidos</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Estados Unidos</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Austria</v>
      </c>
      <c r="H137" s="7" t="str">
        <f ca="1">+WORLDCUP!BD61</f>
        <v>Estados Unidos</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Senegal</v>
      </c>
      <c r="H138" s="7" t="str">
        <f ca="1">+WORLDCUP!BD61</f>
        <v>Estados Unidos</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Austria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Austria</v>
      </c>
      <c r="H140" s="7" t="str">
        <f ca="1">+WORLDCUP!BD61</f>
        <v>Estados Unidos</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Estados Unidos</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Austria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Austria</v>
      </c>
      <c r="H143" s="7" t="str">
        <f ca="1">+WORLDCUP!BD61</f>
        <v>Estados Unidos</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Estados Unidos</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Austria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Estados Unidos</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Estados Unidos</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Estados Unidos</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Estados Unidos</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Estados Unidos</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Estados Unidos</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Estados Unidos</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Estados Unidos</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Estados Unidos</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Estados Unidos</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Estados Unidos</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Estados Unidos</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Austria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República Checa</v>
      </c>
      <c r="G168" s="7" t="str">
        <f ca="1">+WORLDCUP!BD65</f>
        <v>Arabia Saudita</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República Checa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Austria</v>
      </c>
      <c r="F171" s="7" t="str">
        <f ca="1">+WORLDCUP!BD63</f>
        <v>Suecia</v>
      </c>
      <c r="G171" s="7" t="str">
        <f ca="1">+WORLDCUP!BD58</f>
        <v>República Checa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Austria</v>
      </c>
      <c r="F173" s="7" t="str">
        <f ca="1">+WORLDCUP!BD63</f>
        <v>Suecia</v>
      </c>
      <c r="G173" s="7" t="str">
        <f ca="1">+WORLDCUP!BD58</f>
        <v>República Checa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Austria</v>
      </c>
      <c r="F174" s="7" t="str">
        <f ca="1">+WORLDCUP!BD63</f>
        <v>Suecia</v>
      </c>
      <c r="G174" s="7" t="str">
        <f ca="1">+WORLDCUP!BD58</f>
        <v>República Checa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Estados Unidos</v>
      </c>
      <c r="G175" s="7" t="str">
        <f ca="1">+WORLDCUP!BD58</f>
        <v>República Checa</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Estados Unidos</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Austria</v>
      </c>
      <c r="F177" s="7" t="str">
        <f ca="1">+WORLDCUP!BD61</f>
        <v>Estados Unidos</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Austria</v>
      </c>
      <c r="F178" s="7" t="str">
        <f ca="1">+WORLDCUP!BD61</f>
        <v>Estados Unidos</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Estados Unidos</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Austria</v>
      </c>
      <c r="F180" s="7" t="str">
        <f ca="1">+WORLDCUP!BD61</f>
        <v>Estados Unidos</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Austria</v>
      </c>
      <c r="F181" s="7" t="str">
        <f ca="1">+WORLDCUP!BD61</f>
        <v>Estados Unidos</v>
      </c>
      <c r="G181" s="7" t="str">
        <f ca="1">+WORLDCUP!BD58</f>
        <v>República Checa</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Estados Unidos</v>
      </c>
      <c r="G182" s="7" t="str">
        <f ca="1">+WORLDCUP!BD58</f>
        <v>República Checa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Estados Unidos</v>
      </c>
      <c r="G183" s="7" t="str">
        <f ca="1">+WORLDCUP!BD58</f>
        <v>República Checa</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Austria</v>
      </c>
      <c r="F184" s="7" t="str">
        <f ca="1">+WORLDCUP!BD61</f>
        <v>Estados Unidos</v>
      </c>
      <c r="G184" s="7" t="str">
        <f ca="1">+WORLDCUP!BD58</f>
        <v>República Checa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Estados Unidos</v>
      </c>
      <c r="G185" s="7" t="str">
        <f ca="1">+WORLDCUP!BD58</f>
        <v>República Checa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Austria</v>
      </c>
      <c r="F186" s="7" t="str">
        <f ca="1">+WORLDCUP!BD61</f>
        <v>Estados Unidos</v>
      </c>
      <c r="G186" s="7" t="str">
        <f ca="1">+WORLDCUP!BD58</f>
        <v>República Checa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Austria</v>
      </c>
      <c r="F187" s="7" t="str">
        <f ca="1">+WORLDCUP!BD61</f>
        <v>Estados Unidos</v>
      </c>
      <c r="G187" s="7" t="str">
        <f ca="1">+WORLDCUP!BD58</f>
        <v>República Checa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Estados Unidos</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Estados Unidos</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Estados Unidos</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Estados Unidos</v>
      </c>
      <c r="G192" s="7" t="str">
        <f ca="1">+WORLDCUP!BD58</f>
        <v>República Checa</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Austria</v>
      </c>
      <c r="F193" s="7" t="str">
        <f ca="1">+WORLDCUP!BD61</f>
        <v>Estados Unidos</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Estados Unidos</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Austria</v>
      </c>
      <c r="F195" s="7" t="str">
        <f ca="1">+WORLDCUP!BD61</f>
        <v>Estados Unidos</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Austria</v>
      </c>
      <c r="F196" s="7" t="str">
        <f ca="1">+WORLDCUP!BD61</f>
        <v>Estados Unidos</v>
      </c>
      <c r="G196" s="7" t="str">
        <f ca="1">+WORLDCUP!BD58</f>
        <v>República Checa</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Estados Unidos</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Austria</v>
      </c>
      <c r="F198" s="7" t="str">
        <f ca="1">+WORLDCUP!BD61</f>
        <v>Estados Unidos</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Austria</v>
      </c>
      <c r="F199" s="7" t="str">
        <f ca="1">+WORLDCUP!BD61</f>
        <v>Estados Unidos</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Estados Unidos</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Estados Unidos</v>
      </c>
      <c r="G201" s="7" t="str">
        <f ca="1">+WORLDCUP!BD58</f>
        <v>República Checa</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Austria</v>
      </c>
      <c r="F202" s="7" t="str">
        <f ca="1">+WORLDCUP!BD61</f>
        <v>Estados Unidos</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República Checa</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Austria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Austria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Austria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Austria</v>
      </c>
      <c r="F209" s="7" t="str">
        <f ca="1">+WORLDCUP!BD60</f>
        <v>Escocia</v>
      </c>
      <c r="G209" s="7" t="str">
        <f ca="1">+WORLDCUP!BD58</f>
        <v>República Checa</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República Checa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República Checa</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Austria</v>
      </c>
      <c r="F212" s="7" t="str">
        <f ca="1">+WORLDCUP!BD60</f>
        <v>Escocia</v>
      </c>
      <c r="G212" s="7" t="str">
        <f ca="1">+WORLDCUP!BD58</f>
        <v>República Checa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República Checa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Austria</v>
      </c>
      <c r="F214" s="7" t="str">
        <f ca="1">+WORLDCUP!BD60</f>
        <v>Escocia</v>
      </c>
      <c r="G214" s="7" t="str">
        <f ca="1">+WORLDCUP!BD58</f>
        <v>República Checa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Austria</v>
      </c>
      <c r="F215" s="7" t="str">
        <f ca="1">+WORLDCUP!BD60</f>
        <v>Escocia</v>
      </c>
      <c r="G215" s="7" t="str">
        <f ca="1">+WORLDCUP!BD58</f>
        <v>República Checa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Austria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Austria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Austria</v>
      </c>
      <c r="F224" s="7" t="str">
        <f ca="1">+WORLDCUP!BD60</f>
        <v>Escocia</v>
      </c>
      <c r="G224" s="7" t="str">
        <f ca="1">+WORLDCUP!BD58</f>
        <v>República Checa</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Austria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Austria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Austria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República Checa</v>
      </c>
      <c r="H231" s="7" t="str">
        <f ca="1">+WORLDCUP!BD61</f>
        <v>Estados Unidos</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Austria</v>
      </c>
      <c r="F232" s="7" t="str">
        <f ca="1">+WORLDCUP!BD60</f>
        <v>Escocia</v>
      </c>
      <c r="G232" s="7" t="str">
        <f ca="1">+WORLDCUP!BD58</f>
        <v>República Checa</v>
      </c>
      <c r="H232" s="7" t="str">
        <f ca="1">+WORLDCUP!BD61</f>
        <v>Estados Unidos</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Austria</v>
      </c>
      <c r="F233" s="7" t="str">
        <f ca="1">+WORLDCUP!BD60</f>
        <v>Escocia</v>
      </c>
      <c r="G233" s="7" t="str">
        <f ca="1">+WORLDCUP!BD58</f>
        <v>República Checa</v>
      </c>
      <c r="H233" s="7" t="str">
        <f ca="1">+WORLDCUP!BD61</f>
        <v>Estados Unidos</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República Checa</v>
      </c>
      <c r="H234" s="7" t="str">
        <f ca="1">+WORLDCUP!BD61</f>
        <v>Estados Unidos</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Austria</v>
      </c>
      <c r="F235" s="7" t="str">
        <f ca="1">+WORLDCUP!BD60</f>
        <v>Escocia</v>
      </c>
      <c r="G235" s="7" t="str">
        <f ca="1">+WORLDCUP!BD58</f>
        <v>República Checa</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Austria</v>
      </c>
      <c r="F236" s="7" t="str">
        <f ca="1">+WORLDCUP!BD60</f>
        <v>Escocia</v>
      </c>
      <c r="G236" s="7" t="str">
        <f ca="1">+WORLDCUP!BD58</f>
        <v>República Checa</v>
      </c>
      <c r="H236" s="7" t="str">
        <f ca="1">+WORLDCUP!BD61</f>
        <v>Estados Unidos</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Estados Unidos</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República Checa</v>
      </c>
      <c r="H238" s="7" t="str">
        <f ca="1">+WORLDCUP!BD61</f>
        <v>Estados Unidos</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Estados Unidos</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República Checa</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República Checa</v>
      </c>
      <c r="H241" s="7" t="str">
        <f ca="1">+WORLDCUP!BD61</f>
        <v>Estados Unidos</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Austria</v>
      </c>
      <c r="F242" s="7" t="str">
        <f ca="1">+WORLDCUP!BD61</f>
        <v>Estados Unidos</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Estados Unidos</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Austria</v>
      </c>
      <c r="F244" s="7" t="str">
        <f ca="1">+WORLDCUP!BD61</f>
        <v>Estados Unidos</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Austria</v>
      </c>
      <c r="F245" s="7" t="str">
        <f ca="1">+WORLDCUP!BD61</f>
        <v>Estados Unidos</v>
      </c>
      <c r="G245" s="7" t="str">
        <f ca="1">+WORLDCUP!BD58</f>
        <v>República Checa</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Estados Unidos</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Austria</v>
      </c>
      <c r="F247" s="7" t="str">
        <f ca="1">+WORLDCUP!BD61</f>
        <v>Estados Unidos</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Austria</v>
      </c>
      <c r="F248" s="7" t="str">
        <f ca="1">+WORLDCUP!BD60</f>
        <v>Escocia</v>
      </c>
      <c r="G248" s="7" t="str">
        <f ca="1">+WORLDCUP!BD58</f>
        <v>República Checa</v>
      </c>
      <c r="H248" s="7" t="str">
        <f ca="1">+WORLDCUP!BD63</f>
        <v>Suecia</v>
      </c>
      <c r="I248" s="7" t="str">
        <f ca="1">+WORLDCUP!BD61</f>
        <v>Estados Unidos</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Estados Unidos</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Austria</v>
      </c>
      <c r="F251" s="7" t="str">
        <f ca="1">+WORLDCUP!BD60</f>
        <v>Escocia</v>
      </c>
      <c r="G251" s="7" t="str">
        <f ca="1">+WORLDCUP!BD58</f>
        <v>República Checa</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República Checa</v>
      </c>
      <c r="H252" s="7" t="str">
        <f ca="1">+WORLDCUP!BD61</f>
        <v>Estados Unidos</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República Checa</v>
      </c>
      <c r="H253" s="7" t="str">
        <f ca="1">+WORLDCUP!BD61</f>
        <v>Estados Unidos</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Estados Unidos</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República Checa</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República Checa</v>
      </c>
      <c r="H256" s="7" t="str">
        <f ca="1">+WORLDCUP!BD61</f>
        <v>Estados Unidos</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Austria</v>
      </c>
      <c r="F257" s="7" t="str">
        <f ca="1">+WORLDCUP!BD60</f>
        <v>Escocia</v>
      </c>
      <c r="G257" s="7" t="str">
        <f ca="1">+WORLDCUP!BD58</f>
        <v>República Checa</v>
      </c>
      <c r="H257" s="7" t="str">
        <f ca="1">+WORLDCUP!BD61</f>
        <v>Estados Unidos</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República Checa</v>
      </c>
      <c r="H258" s="7" t="str">
        <f ca="1">+WORLDCUP!BD61</f>
        <v>Estados Unidos</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Austria</v>
      </c>
      <c r="F259" s="7" t="str">
        <f ca="1">+WORLDCUP!BD60</f>
        <v>Escocia</v>
      </c>
      <c r="G259" s="7" t="str">
        <f ca="1">+WORLDCUP!BD58</f>
        <v>República Checa</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Austria</v>
      </c>
      <c r="F260" s="7" t="str">
        <f ca="1">+WORLDCUP!BD60</f>
        <v>Escocia</v>
      </c>
      <c r="G260" s="7" t="str">
        <f ca="1">+WORLDCUP!BD58</f>
        <v>República Checa</v>
      </c>
      <c r="H260" s="7" t="str">
        <f ca="1">+WORLDCUP!BD61</f>
        <v>Estados Unidos</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Estados Unidos</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Austria</v>
      </c>
      <c r="F262" s="7" t="str">
        <f ca="1">+WORLDCUP!BD60</f>
        <v>Escocia</v>
      </c>
      <c r="G262" s="7" t="str">
        <f ca="1">+WORLDCUP!BD58</f>
        <v>República Checa</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Austria</v>
      </c>
      <c r="F263" s="7" t="str">
        <f ca="1">+WORLDCUP!BD60</f>
        <v>Escocia</v>
      </c>
      <c r="G263" s="7" t="str">
        <f ca="1">+WORLDCUP!BD58</f>
        <v>República Checa</v>
      </c>
      <c r="H263" s="7" t="str">
        <f ca="1">+WORLDCUP!BD61</f>
        <v>Estados Unidos</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Estados Unidos</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Austria</v>
      </c>
      <c r="F266" s="7" t="str">
        <f ca="1">+WORLDCUP!BD60</f>
        <v>Escocia</v>
      </c>
      <c r="G266" s="7" t="str">
        <f ca="1">+WORLDCUP!BD58</f>
        <v>República Checa</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Estados Unidos</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Estados Unidos</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Estados Unidos</v>
      </c>
      <c r="G270" s="7" t="str">
        <f ca="1">+WORLDCUP!BD58</f>
        <v>República Checa</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Estados Unidos</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República Checa</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República Checa</v>
      </c>
      <c r="H273" s="7" t="str">
        <f ca="1">+WORLDCUP!BD63</f>
        <v>Suecia</v>
      </c>
      <c r="I273" s="7" t="str">
        <f ca="1">+WORLDCUP!BD61</f>
        <v>Estados Unidos</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Estados Unidos</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República Checa</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Estados Unidos</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Austria</v>
      </c>
      <c r="F278" s="7" t="str">
        <f ca="1">+WORLDCUP!BD61</f>
        <v>Estados Unidos</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Austria</v>
      </c>
      <c r="F279" s="7" t="str">
        <f ca="1">+WORLDCUP!BD61</f>
        <v>Estados Unidos</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Estados Unidos</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Estados Unidos</v>
      </c>
      <c r="G281" s="7" t="str">
        <f ca="1">+WORLDCUP!BD58</f>
        <v>República Checa</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Austria</v>
      </c>
      <c r="F282" s="7" t="str">
        <f ca="1">+WORLDCUP!BD61</f>
        <v>Estados Unidos</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Estados Unidos</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Austria</v>
      </c>
      <c r="F285" s="7" t="str">
        <f ca="1">+WORLDCUP!BD60</f>
        <v>Escocia</v>
      </c>
      <c r="G285" s="7" t="str">
        <f ca="1">+WORLDCUP!BD58</f>
        <v>República Checa</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República Checa</v>
      </c>
      <c r="G287" s="7" t="str">
        <f ca="1">+WORLDCUP!BD66</f>
        <v>Senegal</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República Checa</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Bosnia y Herzegovina</v>
      </c>
      <c r="F289" s="7" t="str">
        <f ca="1">+WORLDCUP!BD63</f>
        <v>Suecia</v>
      </c>
      <c r="G289" s="7" t="str">
        <f ca="1">+WORLDCUP!BD58</f>
        <v>República Checa</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República Checa</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República Checa</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República Checa</v>
      </c>
      <c r="H293" s="7" t="str">
        <f ca="1">+WORLDCUP!BD64</f>
        <v>Irán</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República Checa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República Checa</v>
      </c>
      <c r="G295" s="7" t="str">
        <f ca="1">+WORLDCUP!BD66</f>
        <v>Senegal</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República Checa</v>
      </c>
      <c r="G296" s="7" t="str">
        <f ca="1">+WORLDCUP!BD65</f>
        <v>Arabia Saudita</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República Checa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1</v>
      </c>
      <c r="C298" s="7" t="str">
        <f ca="1">+WORLDCUP!BD62</f>
        <v>Costa de Marfil</v>
      </c>
      <c r="D298" s="7" t="str">
        <f ca="1">+WORLDCUP!BD67</f>
        <v>Austria</v>
      </c>
      <c r="E298" s="7" t="str">
        <f ca="1">+WORLDCUP!BD59</f>
        <v>Bosnia y Herzegovina</v>
      </c>
      <c r="F298" s="7" t="str">
        <f ca="1">+WORLDCUP!BD58</f>
        <v>República Checa</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República Checa</v>
      </c>
      <c r="G299" s="7" t="str">
        <f ca="1">+WORLDCUP!BD65</f>
        <v>Arabia Saudita</v>
      </c>
      <c r="H299" s="7" t="str">
        <f ca="1">+WORLDCUP!BD64</f>
        <v>Irán</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República Checa</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República Checa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República Checa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República Checa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República Checa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República Checa</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Bosnia y Herzegovina</v>
      </c>
      <c r="F306" s="7" t="str">
        <f ca="1">+WORLDCUP!BD58</f>
        <v>República Checa</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República Checa</v>
      </c>
      <c r="H308" s="7" t="str">
        <f ca="1">+WORLDCUP!BD64</f>
        <v>Irán</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Suecia</v>
      </c>
      <c r="G309" s="7" t="str">
        <f ca="1">+WORLDCUP!BD58</f>
        <v>República Checa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República Checa</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Suecia</v>
      </c>
      <c r="G312" s="7" t="str">
        <f ca="1">+WORLDCUP!BD58</f>
        <v>República Checa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Suecia</v>
      </c>
      <c r="G313" s="7" t="str">
        <f ca="1">+WORLDCUP!BD58</f>
        <v>República Checa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Bosnia y Herzegovina</v>
      </c>
      <c r="F315" s="7" t="str">
        <f ca="1">+WORLDCUP!BD61</f>
        <v>Estados Unidos</v>
      </c>
      <c r="G315" s="7" t="str">
        <f ca="1">+WORLDCUP!BD58</f>
        <v>República Checa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Bosnia y Herzegovina</v>
      </c>
      <c r="F316" s="7" t="str">
        <f ca="1">+WORLDCUP!BD61</f>
        <v>Estados Unidos</v>
      </c>
      <c r="G316" s="7" t="str">
        <f ca="1">+WORLDCUP!BD58</f>
        <v>República Checa</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Estados Unidos</v>
      </c>
      <c r="G317" s="7" t="str">
        <f ca="1">+WORLDCUP!BD58</f>
        <v>República Checa</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Estados Unidos</v>
      </c>
      <c r="G318" s="7" t="str">
        <f ca="1">+WORLDCUP!BD58</f>
        <v>República Checa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Estados Unidos</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Estados Unidos</v>
      </c>
      <c r="G320" s="7" t="str">
        <f ca="1">+WORLDCUP!BD58</f>
        <v>República Checa</v>
      </c>
      <c r="H320" s="7" t="str">
        <f ca="1">+WORLDCUP!BD64</f>
        <v>Irán</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Bosnia y Herzegovina</v>
      </c>
      <c r="F321" s="7" t="str">
        <f ca="1">+WORLDCUP!BD61</f>
        <v>Estados Unidos</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Estados Unidos</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Estados Unidos</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Estados Unidos</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Estados Unidos</v>
      </c>
      <c r="G325" s="7" t="str">
        <f ca="1">+WORLDCUP!BD58</f>
        <v>República Checa</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Estados Unidos</v>
      </c>
      <c r="G326" s="7" t="str">
        <f ca="1">+WORLDCUP!BD58</f>
        <v>República Checa</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Estados Unidos</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Estados Unidos</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Estados Unidos</v>
      </c>
      <c r="G329" s="7" t="str">
        <f ca="1">+WORLDCUP!BD58</f>
        <v>República Checa</v>
      </c>
      <c r="H329" s="7" t="str">
        <f ca="1">+WORLDCUP!BD64</f>
        <v>Irán</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Estados Unidos</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Estados Unidos</v>
      </c>
      <c r="G331" s="7" t="str">
        <f ca="1">+WORLDCUP!BD58</f>
        <v>República Checa</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Estados Unidos</v>
      </c>
      <c r="G332" s="7" t="str">
        <f ca="1">+WORLDCUP!BD58</f>
        <v>República Checa</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Estados Unidos</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Estados Unidos</v>
      </c>
      <c r="G334" s="7" t="str">
        <f ca="1">+WORLDCUP!BD58</f>
        <v>República Checa</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Estados Unidos</v>
      </c>
      <c r="G335" s="7" t="str">
        <f ca="1">+WORLDCUP!BD58</f>
        <v>República Checa</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República Checa</v>
      </c>
      <c r="G336" s="7" t="str">
        <f ca="1">+WORLDCUP!BD66</f>
        <v>Senegal</v>
      </c>
      <c r="H336" s="7" t="str">
        <f ca="1">+WORLDCUP!BD61</f>
        <v>Estados Unidos</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Estados Unidos</v>
      </c>
      <c r="G337" s="7" t="str">
        <f ca="1">+WORLDCUP!BD58</f>
        <v>República Checa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Estados Unidos</v>
      </c>
      <c r="G338" s="7" t="str">
        <f ca="1">+WORLDCUP!BD58</f>
        <v>República Checa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Estados Unidos</v>
      </c>
      <c r="G339" s="7" t="str">
        <f ca="1">+WORLDCUP!BD58</f>
        <v>República Checa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Estados Unidos</v>
      </c>
      <c r="G340" s="7" t="str">
        <f ca="1">+WORLDCUP!BD58</f>
        <v>República Checa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Estados Unidos</v>
      </c>
      <c r="G341" s="7" t="str">
        <f ca="1">+WORLDCUP!BD58</f>
        <v>República Checa</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República Checa</v>
      </c>
      <c r="G342" s="7" t="str">
        <f ca="1">+WORLDCUP!BD66</f>
        <v>Senegal</v>
      </c>
      <c r="H342" s="7" t="str">
        <f ca="1">+WORLDCUP!BD61</f>
        <v>Estados Unidos</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Estados Unidos</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Estados Unidos</v>
      </c>
      <c r="G344" s="7" t="str">
        <f ca="1">+WORLDCUP!BD58</f>
        <v>República Checa</v>
      </c>
      <c r="H344" s="7" t="str">
        <f ca="1">+WORLDCUP!BD64</f>
        <v>Irán</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Estados Unidos</v>
      </c>
      <c r="G345" s="7" t="str">
        <f ca="1">+WORLDCUP!BD58</f>
        <v>República Checa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Estados Unidos</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Estados Unidos</v>
      </c>
      <c r="G347" s="7" t="str">
        <f ca="1">+WORLDCUP!BD58</f>
        <v>República Checa</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Estados Unidos</v>
      </c>
      <c r="G348" s="7" t="str">
        <f ca="1">+WORLDCUP!BD58</f>
        <v>República Checa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Estados Unidos</v>
      </c>
      <c r="G349" s="7" t="str">
        <f ca="1">+WORLDCUP!BD58</f>
        <v>República Checa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Estados Unidos</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Estados Unidos</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Estados Unidos</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Estados Unidos</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Estados Unidos</v>
      </c>
      <c r="G354" s="7" t="str">
        <f ca="1">+WORLDCUP!BD58</f>
        <v>República Checa</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Estados Unidos</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Estados Unidos</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Estados Unidos</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Estados Unidos</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Estados Unidos</v>
      </c>
      <c r="G359" s="7" t="str">
        <f ca="1">+WORLDCUP!BD58</f>
        <v>República Checa</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Estados Unidos</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Estados Unidos</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Estados Unidos</v>
      </c>
      <c r="G362" s="7" t="str">
        <f ca="1">+WORLDCUP!BD58</f>
        <v>República Checa</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Estados Unidos</v>
      </c>
      <c r="G363" s="7" t="str">
        <f ca="1">+WORLDCUP!BD58</f>
        <v>República Checa</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Estados Unidos</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Estados Unidos</v>
      </c>
      <c r="G365" s="7" t="str">
        <f ca="1">+WORLDCUP!BD58</f>
        <v>República Checa</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Estados Unidos</v>
      </c>
      <c r="G366" s="7" t="str">
        <f ca="1">+WORLDCUP!BD58</f>
        <v>República Checa</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Estados Unidos</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Estados Unidos</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Estados Unidos</v>
      </c>
      <c r="G369" s="7" t="str">
        <f ca="1">+WORLDCUP!BD58</f>
        <v>República Checa</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Estados Unidos</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Bosnia y Herzegovina</v>
      </c>
      <c r="F371" s="7" t="str">
        <f ca="1">+WORLDCUP!BD60</f>
        <v>Escocia</v>
      </c>
      <c r="G371" s="7" t="str">
        <f ca="1">+WORLDCUP!BD58</f>
        <v>República Checa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Bosnia y Herzegovina</v>
      </c>
      <c r="F372" s="7" t="str">
        <f ca="1">+WORLDCUP!BD60</f>
        <v>Escocia</v>
      </c>
      <c r="G372" s="7" t="str">
        <f ca="1">+WORLDCUP!BD58</f>
        <v>República Checa</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República Checa</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República Checa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República Checa</v>
      </c>
      <c r="H376" s="7" t="str">
        <f ca="1">+WORLDCUP!BD64</f>
        <v>Irán</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Bosnia y Herzegovina</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República Checa</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República Checa</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República Checa</v>
      </c>
      <c r="H385" s="7" t="str">
        <f ca="1">+WORLDCUP!BD64</f>
        <v>Irán</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República Checa</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República Checa</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República Checa</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República Checa</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República Checa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República Checa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República Checa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República Checa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República Checa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República Checa</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República Checa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República Checa</v>
      </c>
      <c r="H400" s="7" t="str">
        <f ca="1">+WORLDCUP!BD64</f>
        <v>Irán</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República Checa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República Checa</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República Checa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República Checa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República Checa</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República Checa</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República Checa</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República Checa</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República Checa</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Bosnia y Herzegovina</v>
      </c>
      <c r="F427" s="7" t="str">
        <f ca="1">+WORLDCUP!BD60</f>
        <v>Escocia</v>
      </c>
      <c r="G427" s="7" t="str">
        <f ca="1">+WORLDCUP!BD58</f>
        <v>República Checa</v>
      </c>
      <c r="H427" s="7" t="str">
        <f ca="1">+WORLDCUP!BD61</f>
        <v>Estados Unidos</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República Checa</v>
      </c>
      <c r="H428" s="7" t="str">
        <f ca="1">+WORLDCUP!BD61</f>
        <v>Estados Unidos</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República Checa</v>
      </c>
      <c r="H429" s="7" t="str">
        <f ca="1">+WORLDCUP!BD61</f>
        <v>Estados Unidos</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República Checa</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República Checa</v>
      </c>
      <c r="H431" s="7" t="str">
        <f ca="1">+WORLDCUP!BD61</f>
        <v>Estados Unidos</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Estados Unidos</v>
      </c>
      <c r="G432" s="7" t="str">
        <f ca="1">+WORLDCUP!BD58</f>
        <v>República Checa</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República Checa</v>
      </c>
      <c r="H433" s="7" t="str">
        <f ca="1">+WORLDCUP!BD61</f>
        <v>Estados Unidos</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Estados Unidos</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Estados Unidos</v>
      </c>
      <c r="G435" s="7" t="str">
        <f ca="1">+WORLDCUP!BD58</f>
        <v>República Checa</v>
      </c>
      <c r="H435" s="7" t="str">
        <f ca="1">+WORLDCUP!BD64</f>
        <v>Irán</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República Checa</v>
      </c>
      <c r="H436" s="7" t="str">
        <f ca="1">+WORLDCUP!BD61</f>
        <v>Estados Unidos</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República Checa</v>
      </c>
      <c r="H437" s="7" t="str">
        <f ca="1">+WORLDCUP!BD61</f>
        <v>Estados Unidos</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República Checa</v>
      </c>
      <c r="H438" s="7" t="str">
        <f ca="1">+WORLDCUP!BD61</f>
        <v>Estados Unidos</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República Checa</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República Checa</v>
      </c>
      <c r="H440" s="7" t="str">
        <f ca="1">+WORLDCUP!BD61</f>
        <v>Estados Unidos</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República Checa</v>
      </c>
      <c r="H441" s="7" t="str">
        <f ca="1">+WORLDCUP!BD61</f>
        <v>Estados Unidos</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Estados Unidos</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Estados Unidos</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Estados Unidos</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Estados Unidos</v>
      </c>
      <c r="G445" s="7" t="str">
        <f ca="1">+WORLDCUP!BD58</f>
        <v>República Checa</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Estados Unidos</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Estados Unidos</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República Checa</v>
      </c>
      <c r="H448" s="7" t="str">
        <f ca="1">+WORLDCUP!BD63</f>
        <v>Suecia</v>
      </c>
      <c r="I448" s="7" t="str">
        <f ca="1">+WORLDCUP!BD61</f>
        <v>Estados Unidos</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Estados Unidos</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República Checa</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Estados Unidos</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Estados Unidos</v>
      </c>
      <c r="G453" s="7" t="str">
        <f ca="1">+WORLDCUP!BD58</f>
        <v>República Checa</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Estados Unidos</v>
      </c>
      <c r="G454" s="7" t="str">
        <f ca="1">+WORLDCUP!BD58</f>
        <v>República Checa</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Estados Unidos</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Estados Unidos</v>
      </c>
      <c r="G456" s="7" t="str">
        <f ca="1">+WORLDCUP!BD58</f>
        <v>República Checa</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Estados Unidos</v>
      </c>
      <c r="G457" s="7" t="str">
        <f ca="1">+WORLDCUP!BD58</f>
        <v>República Checa</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Estados Unidos</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República Checa</v>
      </c>
      <c r="H459" s="7" t="str">
        <f ca="1">+WORLDCUP!BD63</f>
        <v>Suecia</v>
      </c>
      <c r="I459" s="7" t="str">
        <f ca="1">+WORLDCUP!BD61</f>
        <v>Estados Unidos</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República Checa</v>
      </c>
      <c r="H460" s="7" t="str">
        <f ca="1">+WORLDCUP!BD63</f>
        <v>Suecia</v>
      </c>
      <c r="I460" s="7" t="str">
        <f ca="1">+WORLDCUP!BD61</f>
        <v>Estados Unidos</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República Checa</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República Checa</v>
      </c>
      <c r="H462" s="7" t="str">
        <f ca="1">+WORLDCUP!BD61</f>
        <v>Estados Unidos</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República Checa</v>
      </c>
      <c r="H463" s="7" t="str">
        <f ca="1">+WORLDCUP!BD61</f>
        <v>Estados Unidos</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República Checa</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República Checa</v>
      </c>
      <c r="H465" s="7" t="str">
        <f ca="1">+WORLDCUP!BD61</f>
        <v>Estados Unidos</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Estados Unidos</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República Checa</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República Checa</v>
      </c>
      <c r="H468" s="7" t="str">
        <f ca="1">+WORLDCUP!BD61</f>
        <v>Estados Unidos</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Estados Unidos</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República Checa</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República Checa</v>
      </c>
      <c r="H472" s="7" t="str">
        <f ca="1">+WORLDCUP!BD61</f>
        <v>Estados Unidos</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República Checa</v>
      </c>
      <c r="H473" s="7" t="str">
        <f ca="1">+WORLDCUP!BD61</f>
        <v>Estados Unidos</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República Checa</v>
      </c>
      <c r="H474" s="7" t="str">
        <f ca="1">+WORLDCUP!BD61</f>
        <v>Estados Unidos</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República Checa</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República Checa</v>
      </c>
      <c r="H476" s="7" t="str">
        <f ca="1">+WORLDCUP!BD61</f>
        <v>Estados Unidos</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República Checa</v>
      </c>
      <c r="H477" s="7" t="str">
        <f ca="1">+WORLDCUP!BD61</f>
        <v>Estados Unidos</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República Checa</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República Checa</v>
      </c>
      <c r="H479" s="7" t="str">
        <f ca="1">+WORLDCUP!BD61</f>
        <v>Estados Unidos</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República Checa</v>
      </c>
      <c r="H480" s="7" t="str">
        <f ca="1">+WORLDCUP!BD61</f>
        <v>Estados Unidos</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República Checa</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Estados Unidos</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Estados Unidos</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Estados Unidos</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Estados Unidos</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Estados Unidos</v>
      </c>
      <c r="G486" s="7" t="str">
        <f ca="1">+WORLDCUP!BD58</f>
        <v>República Checa</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Estados Unidos</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Estados Unidos</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República Checa</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Estados Unidos</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Estados Unidos</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Estados Unidos</v>
      </c>
      <c r="G494" s="7" t="str">
        <f ca="1">+WORLDCUP!BD58</f>
        <v>República Checa</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Estados Unidos</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República Checa</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5" t="s">
        <v>733</v>
      </c>
      <c r="B497" s="395"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8"/>
    <col min="23" max="24" width="10.77734375" style="568" hidden="1" customWidth="1"/>
    <col min="25" max="25" width="10.77734375" style="568"/>
    <col min="26" max="28" width="10.77734375" style="393"/>
    <col min="29" max="149" width="10.77734375" style="4"/>
    <col min="150" max="158" width="10.77734375" style="393"/>
    <col min="159" max="16384" width="10.77734375" style="4"/>
  </cols>
  <sheetData>
    <row r="1" spans="1:18">
      <c r="A1" s="214"/>
      <c r="B1" s="214"/>
      <c r="C1" s="214"/>
      <c r="D1" s="214"/>
      <c r="E1" s="216"/>
      <c r="F1" s="216"/>
      <c r="G1" s="216"/>
      <c r="H1" s="216"/>
      <c r="I1" s="216"/>
      <c r="J1" s="216"/>
      <c r="K1" s="215"/>
      <c r="L1" s="215"/>
      <c r="M1" s="215"/>
      <c r="N1" s="215"/>
      <c r="O1" s="215"/>
      <c r="P1" s="215"/>
      <c r="Q1" s="215"/>
    </row>
    <row r="2" spans="1:18">
      <c r="A2" s="214"/>
      <c r="B2" s="253" t="str">
        <f>Idiomas!D82</f>
        <v>Limitación de responsabilidad:</v>
      </c>
      <c r="C2" s="217"/>
      <c r="D2" s="217"/>
      <c r="E2" s="218"/>
      <c r="F2" s="218"/>
      <c r="G2" s="218"/>
      <c r="H2" s="218"/>
      <c r="I2" s="218"/>
      <c r="J2" s="218"/>
      <c r="K2" s="215"/>
      <c r="L2" s="253" t="s">
        <v>188</v>
      </c>
      <c r="M2" s="215"/>
      <c r="N2" s="215"/>
      <c r="O2" s="215"/>
      <c r="P2" s="215"/>
      <c r="Q2" s="215"/>
    </row>
    <row r="3" spans="1:18">
      <c r="A3" s="214"/>
      <c r="B3" s="73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0"/>
      <c r="D3" s="740"/>
      <c r="E3" s="740"/>
      <c r="F3" s="740"/>
      <c r="G3" s="740"/>
      <c r="H3" s="740"/>
      <c r="I3" s="740"/>
      <c r="J3" s="741"/>
      <c r="K3" s="215"/>
      <c r="L3" s="325"/>
      <c r="M3" s="326"/>
      <c r="N3" s="326"/>
      <c r="O3" s="326"/>
      <c r="P3" s="326"/>
      <c r="Q3" s="326"/>
      <c r="R3" s="327"/>
    </row>
    <row r="4" spans="1:18">
      <c r="A4" s="214"/>
      <c r="B4" s="742"/>
      <c r="C4" s="743"/>
      <c r="D4" s="743"/>
      <c r="E4" s="743"/>
      <c r="F4" s="743"/>
      <c r="G4" s="743"/>
      <c r="H4" s="743"/>
      <c r="I4" s="743"/>
      <c r="J4" s="744"/>
      <c r="K4" s="215"/>
      <c r="L4" s="324" t="str">
        <f>+Idiomas!D84</f>
        <v>· Selecciona el idioma y la zona horaria</v>
      </c>
      <c r="M4" s="226"/>
      <c r="N4" s="226"/>
      <c r="O4" s="226"/>
      <c r="P4" s="226"/>
      <c r="Q4" s="226"/>
      <c r="R4" s="328"/>
    </row>
    <row r="5" spans="1:18">
      <c r="A5" s="214"/>
      <c r="B5" s="742"/>
      <c r="C5" s="743"/>
      <c r="D5" s="743"/>
      <c r="E5" s="743"/>
      <c r="F5" s="743"/>
      <c r="G5" s="743"/>
      <c r="H5" s="743"/>
      <c r="I5" s="743"/>
      <c r="J5" s="744"/>
      <c r="K5" s="215"/>
      <c r="L5" s="324" t="str">
        <f>+Idiomas!D85</f>
        <v>· Si vas a participar en una porra escribe tu nombre</v>
      </c>
      <c r="M5" s="226"/>
      <c r="N5" s="226"/>
      <c r="O5" s="226"/>
      <c r="P5" s="226"/>
      <c r="Q5" s="226"/>
      <c r="R5" s="328"/>
    </row>
    <row r="6" spans="1:18">
      <c r="A6" s="214"/>
      <c r="B6" s="742"/>
      <c r="C6" s="743"/>
      <c r="D6" s="743"/>
      <c r="E6" s="743"/>
      <c r="F6" s="743"/>
      <c r="G6" s="743"/>
      <c r="H6" s="743"/>
      <c r="I6" s="743"/>
      <c r="J6" s="744"/>
      <c r="K6" s="215"/>
      <c r="L6" s="324" t="str">
        <f>+Idiomas!D86</f>
        <v>· Si vas a organizar una porra, puedes descargar el archivo excel de administración desde aquí</v>
      </c>
      <c r="M6" s="226"/>
      <c r="N6" s="226"/>
      <c r="O6" s="226"/>
      <c r="P6" s="226"/>
      <c r="Q6" s="226"/>
      <c r="R6" s="328"/>
    </row>
    <row r="7" spans="1:18">
      <c r="A7" s="214"/>
      <c r="B7" s="742"/>
      <c r="C7" s="743"/>
      <c r="D7" s="743"/>
      <c r="E7" s="743"/>
      <c r="F7" s="743"/>
      <c r="G7" s="743"/>
      <c r="H7" s="743"/>
      <c r="I7" s="743"/>
      <c r="J7" s="744"/>
      <c r="K7" s="215"/>
      <c r="L7" s="329"/>
      <c r="M7" s="330"/>
      <c r="N7" s="330"/>
      <c r="O7" s="330"/>
      <c r="P7" s="330"/>
      <c r="Q7" s="330"/>
      <c r="R7" s="331"/>
    </row>
    <row r="8" spans="1:18">
      <c r="A8" s="214"/>
      <c r="B8" s="742"/>
      <c r="C8" s="743"/>
      <c r="D8" s="743"/>
      <c r="E8" s="743"/>
      <c r="F8" s="743"/>
      <c r="G8" s="743"/>
      <c r="H8" s="743"/>
      <c r="I8" s="743"/>
      <c r="J8" s="744"/>
      <c r="K8" s="215"/>
      <c r="L8"/>
      <c r="M8"/>
      <c r="N8"/>
      <c r="O8"/>
      <c r="P8"/>
      <c r="Q8"/>
      <c r="R8"/>
    </row>
    <row r="9" spans="1:18">
      <c r="A9" s="214"/>
      <c r="B9" s="742"/>
      <c r="C9" s="743"/>
      <c r="D9" s="743"/>
      <c r="E9" s="743"/>
      <c r="F9" s="743"/>
      <c r="G9" s="743"/>
      <c r="H9" s="743"/>
      <c r="I9" s="743"/>
      <c r="J9" s="744"/>
      <c r="K9" s="215"/>
      <c r="L9" s="253" t="s">
        <v>490</v>
      </c>
      <c r="M9"/>
      <c r="N9"/>
      <c r="O9"/>
      <c r="P9"/>
      <c r="Q9"/>
      <c r="R9"/>
    </row>
    <row r="10" spans="1:18">
      <c r="A10" s="214"/>
      <c r="B10" s="742"/>
      <c r="C10" s="743"/>
      <c r="D10" s="743"/>
      <c r="E10" s="743"/>
      <c r="F10" s="743"/>
      <c r="G10" s="743"/>
      <c r="H10" s="743"/>
      <c r="I10" s="743"/>
      <c r="J10" s="744"/>
      <c r="K10" s="215"/>
      <c r="L10" s="325"/>
      <c r="M10" s="326"/>
      <c r="N10" s="326"/>
      <c r="O10" s="326"/>
      <c r="P10" s="326"/>
      <c r="Q10" s="326"/>
      <c r="R10" s="327"/>
    </row>
    <row r="11" spans="1:18">
      <c r="A11" s="214"/>
      <c r="B11" s="742"/>
      <c r="C11" s="743"/>
      <c r="D11" s="743"/>
      <c r="E11" s="743"/>
      <c r="F11" s="743"/>
      <c r="G11" s="743"/>
      <c r="H11" s="743"/>
      <c r="I11" s="743"/>
      <c r="J11" s="744"/>
      <c r="K11" s="215"/>
      <c r="L11" s="324" t="str">
        <f>+Idiomas!D87</f>
        <v>· Rellena los cuadros grises con los resultados de la fase de grupos para cada grupo</v>
      </c>
      <c r="M11" s="226"/>
      <c r="N11" s="226"/>
      <c r="O11" s="226"/>
      <c r="P11" s="226"/>
      <c r="Q11" s="226"/>
      <c r="R11" s="328"/>
    </row>
    <row r="12" spans="1:18">
      <c r="A12" s="214"/>
      <c r="B12" s="745"/>
      <c r="C12" s="746"/>
      <c r="D12" s="746"/>
      <c r="E12" s="746"/>
      <c r="F12" s="746"/>
      <c r="G12" s="746"/>
      <c r="H12" s="746"/>
      <c r="I12" s="746"/>
      <c r="J12" s="747"/>
      <c r="K12" s="215"/>
      <c r="L12" s="324" t="str">
        <f>+Idiomas!D88</f>
        <v>· En caso de empate en la posición de un grupo o en los mejores terceros, puedes seleccionar el orden de los empatados</v>
      </c>
      <c r="M12" s="226"/>
      <c r="N12" s="226"/>
      <c r="O12" s="226"/>
      <c r="P12" s="226"/>
      <c r="Q12" s="226"/>
      <c r="R12" s="328"/>
    </row>
    <row r="13" spans="1:18">
      <c r="A13" s="214"/>
      <c r="B13" s="219"/>
      <c r="C13" s="219"/>
      <c r="D13" s="219"/>
      <c r="E13" s="219"/>
      <c r="F13" s="219"/>
      <c r="G13" s="219"/>
      <c r="H13" s="219"/>
      <c r="I13" s="219"/>
      <c r="J13" s="219"/>
      <c r="K13" s="215"/>
      <c r="L13" s="324" t="str">
        <f>+Idiomas!D89</f>
        <v>· Las eliminatorias se establecen de forma automática</v>
      </c>
      <c r="M13" s="226"/>
      <c r="N13" s="226"/>
      <c r="O13" s="226"/>
      <c r="P13" s="226"/>
      <c r="Q13" s="226"/>
      <c r="R13" s="328"/>
    </row>
    <row r="14" spans="1:18">
      <c r="A14" s="214"/>
      <c r="B14" s="222"/>
      <c r="C14" s="223"/>
      <c r="D14" s="223"/>
      <c r="E14" s="223"/>
      <c r="F14" s="223"/>
      <c r="G14" s="223"/>
      <c r="H14" s="223"/>
      <c r="I14" s="223"/>
      <c r="J14" s="224"/>
      <c r="K14" s="215"/>
      <c r="L14" s="324" t="str">
        <f>+Idiomas!D90</f>
        <v>· Rellena los resultados de las fases eliminatorias. En caso de empate, se abren dos celdas a los lados para poner el resultado de los penaltis</v>
      </c>
      <c r="M14" s="226"/>
      <c r="N14" s="226"/>
      <c r="O14" s="226"/>
      <c r="P14" s="226"/>
      <c r="Q14" s="226"/>
      <c r="R14" s="328"/>
    </row>
    <row r="15" spans="1:18">
      <c r="A15" s="214"/>
      <c r="B15" s="254" t="str">
        <f>Idiomas!D80</f>
        <v>Autor:</v>
      </c>
      <c r="C15" s="225" t="s">
        <v>27</v>
      </c>
      <c r="D15" s="225"/>
      <c r="E15" s="225" t="s">
        <v>1326</v>
      </c>
      <c r="F15" s="226"/>
      <c r="G15" s="225" t="s">
        <v>1327</v>
      </c>
      <c r="H15" s="226"/>
      <c r="I15" s="227"/>
      <c r="J15" s="228"/>
      <c r="K15" s="215"/>
      <c r="L15" s="324" t="str">
        <f>+Idiomas!D91</f>
        <v>· Si vas a participar en una porra, rellenar los mejores jugadores y los máximos goleadores</v>
      </c>
      <c r="M15" s="226"/>
      <c r="N15" s="226"/>
      <c r="O15" s="226"/>
      <c r="P15" s="226"/>
      <c r="Q15" s="226"/>
      <c r="R15" s="328"/>
    </row>
    <row r="16" spans="1:18">
      <c r="A16" s="214"/>
      <c r="B16" s="255" t="str">
        <f>Idiomas!D81</f>
        <v>Útima versión</v>
      </c>
      <c r="C16" s="229">
        <v>46113</v>
      </c>
      <c r="D16" s="229"/>
      <c r="E16" s="230"/>
      <c r="F16" s="230"/>
      <c r="G16" s="230"/>
      <c r="H16" s="230"/>
      <c r="I16" s="231"/>
      <c r="J16" s="232"/>
      <c r="K16" s="215"/>
      <c r="L16" s="329"/>
      <c r="M16" s="330"/>
      <c r="N16" s="330"/>
      <c r="O16" s="330"/>
      <c r="P16" s="330"/>
      <c r="Q16" s="330"/>
      <c r="R16" s="331"/>
    </row>
    <row r="17" spans="1:158">
      <c r="A17" s="214"/>
      <c r="B17" s="233"/>
      <c r="C17" s="234"/>
      <c r="D17" s="234"/>
      <c r="E17" s="234"/>
      <c r="F17" s="234"/>
      <c r="G17" s="234"/>
      <c r="H17" s="234"/>
      <c r="I17" s="234"/>
      <c r="J17" s="235"/>
      <c r="K17" s="215"/>
      <c r="L17"/>
      <c r="M17"/>
      <c r="N17"/>
      <c r="O17"/>
      <c r="P17"/>
      <c r="Q17"/>
      <c r="R17"/>
    </row>
    <row r="18" spans="1:158">
      <c r="A18" s="214"/>
      <c r="B18" s="220"/>
      <c r="C18" s="220"/>
      <c r="D18" s="220"/>
      <c r="E18" s="221"/>
      <c r="F18" s="221"/>
      <c r="G18" s="214"/>
      <c r="H18" s="214"/>
      <c r="I18" s="214"/>
      <c r="J18" s="599"/>
      <c r="K18" s="215"/>
      <c r="L18" s="253" t="s">
        <v>443</v>
      </c>
      <c r="M18"/>
      <c r="N18"/>
      <c r="O18"/>
      <c r="P18"/>
      <c r="Q18"/>
      <c r="R18"/>
    </row>
    <row r="19" spans="1:158" ht="19.95" customHeight="1">
      <c r="A19" s="215"/>
      <c r="B19" s="236"/>
      <c r="C19" s="238" t="str">
        <f>Idiomas!D83</f>
        <v>PARA DESCARGAR, CLICK EN</v>
      </c>
      <c r="D19" s="238"/>
      <c r="E19" s="308">
        <v>2</v>
      </c>
      <c r="F19" s="237"/>
      <c r="G19" s="238"/>
      <c r="H19" s="239"/>
      <c r="I19" s="239"/>
      <c r="J19" s="240"/>
      <c r="K19" s="215"/>
      <c r="L19" s="325"/>
      <c r="M19" s="326"/>
      <c r="N19" s="326"/>
      <c r="O19" s="326"/>
      <c r="P19" s="326"/>
      <c r="Q19" s="326"/>
      <c r="R19" s="327"/>
    </row>
    <row r="20" spans="1:158">
      <c r="A20" s="215"/>
      <c r="B20" s="245"/>
      <c r="C20" s="256" t="s">
        <v>1377</v>
      </c>
      <c r="D20" s="256"/>
      <c r="E20" s="257" t="s">
        <v>223</v>
      </c>
      <c r="F20" s="257"/>
      <c r="G20" s="257" t="s">
        <v>359</v>
      </c>
      <c r="H20" s="241"/>
      <c r="I20" s="241"/>
      <c r="J20" s="232"/>
      <c r="K20" s="215"/>
      <c r="L20" s="324" t="str">
        <f>+Idiomas!D94</f>
        <v>· En esta hoja no hay que escribir nada</v>
      </c>
      <c r="M20" s="226"/>
      <c r="N20" s="226"/>
      <c r="O20" s="226"/>
      <c r="P20" s="226"/>
      <c r="Q20" s="226"/>
      <c r="R20" s="328"/>
    </row>
    <row r="21" spans="1:158" s="250" customFormat="1" ht="19.95" customHeight="1">
      <c r="A21" s="246"/>
      <c r="B21" s="247"/>
      <c r="C21" s="252" t="s">
        <v>1325</v>
      </c>
      <c r="D21" s="261"/>
      <c r="E21" s="258">
        <v>2</v>
      </c>
      <c r="F21" s="261"/>
      <c r="G21" s="258">
        <v>2</v>
      </c>
      <c r="H21" s="248"/>
      <c r="I21" s="241"/>
      <c r="J21" s="249"/>
      <c r="K21" s="246"/>
      <c r="L21" s="324" t="str">
        <f>+Idiomas!D95</f>
        <v>· Sirve para que el organizador de la porra, copie estos resultados y los pegue en el archivo de administrador</v>
      </c>
      <c r="M21" s="226"/>
      <c r="N21" s="226"/>
      <c r="O21" s="226"/>
      <c r="P21" s="226"/>
      <c r="Q21" s="226"/>
      <c r="R21" s="328"/>
      <c r="S21"/>
      <c r="T21" s="13"/>
      <c r="U21" s="578"/>
      <c r="V21" s="578"/>
      <c r="W21" s="578"/>
      <c r="X21" s="578"/>
      <c r="Y21" s="578"/>
      <c r="Z21" s="567"/>
      <c r="AA21" s="567"/>
      <c r="AB21" s="567"/>
      <c r="ET21" s="567"/>
      <c r="EU21" s="567"/>
      <c r="EV21" s="567"/>
      <c r="EW21" s="567"/>
      <c r="EX21" s="567"/>
      <c r="EY21" s="567"/>
      <c r="EZ21" s="567"/>
      <c r="FA21" s="567"/>
      <c r="FB21" s="567"/>
    </row>
    <row r="22" spans="1:158" s="250" customFormat="1" ht="1.95" customHeight="1">
      <c r="A22" s="246"/>
      <c r="B22" s="247"/>
      <c r="C22" s="248"/>
      <c r="D22" s="248"/>
      <c r="E22" s="248"/>
      <c r="F22" s="248"/>
      <c r="G22" s="248"/>
      <c r="H22" s="248"/>
      <c r="I22" s="241"/>
      <c r="J22" s="249"/>
      <c r="K22" s="246"/>
      <c r="L22" s="324"/>
      <c r="M22" s="226"/>
      <c r="N22" s="226"/>
      <c r="O22" s="226"/>
      <c r="P22" s="226"/>
      <c r="Q22" s="226"/>
      <c r="R22" s="328"/>
      <c r="S22"/>
      <c r="T22" s="13"/>
      <c r="U22" s="578"/>
      <c r="V22" s="578"/>
      <c r="W22" s="578"/>
      <c r="X22" s="578"/>
      <c r="Y22" s="578"/>
      <c r="Z22" s="567"/>
      <c r="AA22" s="567"/>
      <c r="AB22" s="567"/>
      <c r="ET22" s="567"/>
      <c r="EU22" s="567"/>
      <c r="EV22" s="567"/>
      <c r="EW22" s="567"/>
      <c r="EX22" s="567"/>
      <c r="EY22" s="567"/>
      <c r="EZ22" s="567"/>
      <c r="FA22" s="567"/>
      <c r="FB22" s="567"/>
    </row>
    <row r="23" spans="1:158" s="250" customFormat="1" ht="19.95" customHeight="1">
      <c r="A23" s="246"/>
      <c r="B23" s="247"/>
      <c r="C23" s="252" t="s">
        <v>1307</v>
      </c>
      <c r="D23" s="261"/>
      <c r="E23" s="259">
        <v>2</v>
      </c>
      <c r="F23" s="261"/>
      <c r="G23" s="259">
        <v>2</v>
      </c>
      <c r="H23" s="248"/>
      <c r="I23" s="248"/>
      <c r="J23" s="249"/>
      <c r="K23" s="246"/>
      <c r="L23" s="329"/>
      <c r="M23" s="330"/>
      <c r="N23" s="330"/>
      <c r="O23" s="330"/>
      <c r="P23" s="330"/>
      <c r="Q23" s="330"/>
      <c r="R23" s="331"/>
      <c r="S23"/>
      <c r="T23" s="13"/>
      <c r="U23" s="578"/>
      <c r="V23" s="578"/>
      <c r="W23" s="578"/>
      <c r="X23" s="578"/>
      <c r="Y23" s="578"/>
      <c r="Z23" s="567"/>
      <c r="AA23" s="567"/>
      <c r="AB23" s="567"/>
      <c r="ET23" s="567"/>
      <c r="EU23" s="567"/>
      <c r="EV23" s="567"/>
      <c r="EW23" s="567"/>
      <c r="EX23" s="567"/>
      <c r="EY23" s="567"/>
      <c r="EZ23" s="567"/>
      <c r="FA23" s="567"/>
      <c r="FB23" s="567"/>
    </row>
    <row r="24" spans="1:158" s="250" customFormat="1" ht="1.95" customHeight="1">
      <c r="A24" s="246"/>
      <c r="B24" s="247"/>
      <c r="C24" s="248"/>
      <c r="D24" s="248"/>
      <c r="E24" s="248"/>
      <c r="F24" s="248"/>
      <c r="G24" s="248"/>
      <c r="H24" s="248"/>
      <c r="I24" s="248"/>
      <c r="J24" s="249"/>
      <c r="K24" s="246"/>
      <c r="L24" s="251"/>
      <c r="M24" s="251"/>
      <c r="N24" s="251"/>
      <c r="O24" s="251"/>
      <c r="P24" s="251"/>
      <c r="Q24" s="251"/>
      <c r="R24" s="251"/>
      <c r="S24"/>
      <c r="T24" s="13"/>
      <c r="U24" s="578"/>
      <c r="V24" s="578"/>
      <c r="W24" s="578"/>
      <c r="X24" s="578"/>
      <c r="Y24" s="578"/>
      <c r="Z24" s="567"/>
      <c r="AA24" s="567"/>
      <c r="AB24" s="567"/>
      <c r="ET24" s="567"/>
      <c r="EU24" s="567"/>
      <c r="EV24" s="567"/>
      <c r="EW24" s="567"/>
      <c r="EX24" s="567"/>
      <c r="EY24" s="567"/>
      <c r="EZ24" s="567"/>
      <c r="FA24" s="567"/>
      <c r="FB24" s="567"/>
    </row>
    <row r="25" spans="1:158" s="250" customFormat="1" ht="19.95" customHeight="1">
      <c r="A25" s="246"/>
      <c r="B25" s="247"/>
      <c r="C25" s="252" t="s">
        <v>1274</v>
      </c>
      <c r="D25" s="261"/>
      <c r="E25" s="259">
        <v>2</v>
      </c>
      <c r="F25" s="261"/>
      <c r="G25" s="260">
        <v>0</v>
      </c>
      <c r="H25" s="248"/>
      <c r="I25" s="248"/>
      <c r="J25" s="249"/>
      <c r="K25" s="246"/>
      <c r="L25" s="332" t="s">
        <v>1313</v>
      </c>
      <c r="M25"/>
      <c r="N25"/>
      <c r="O25"/>
      <c r="P25"/>
      <c r="Q25"/>
      <c r="R25"/>
      <c r="S25"/>
      <c r="T25" s="13"/>
      <c r="U25" s="578"/>
      <c r="V25" s="578"/>
      <c r="W25" s="578"/>
      <c r="X25" s="578"/>
      <c r="Y25" s="578"/>
      <c r="Z25" s="567"/>
      <c r="AA25" s="567"/>
      <c r="AB25" s="567"/>
      <c r="ET25" s="567"/>
      <c r="EU25" s="567"/>
      <c r="EV25" s="567"/>
      <c r="EW25" s="567"/>
      <c r="EX25" s="567"/>
      <c r="EY25" s="567"/>
      <c r="EZ25" s="567"/>
      <c r="FA25" s="567"/>
      <c r="FB25" s="567"/>
    </row>
    <row r="26" spans="1:158" s="250" customFormat="1" ht="1.95" customHeight="1">
      <c r="A26" s="246"/>
      <c r="B26" s="247"/>
      <c r="C26" s="248"/>
      <c r="D26" s="248"/>
      <c r="E26" s="248"/>
      <c r="F26" s="248"/>
      <c r="G26" s="248"/>
      <c r="H26" s="248"/>
      <c r="I26" s="248"/>
      <c r="J26" s="249"/>
      <c r="K26" s="246"/>
      <c r="L26" s="251"/>
      <c r="M26" s="251"/>
      <c r="N26" s="251"/>
      <c r="O26" s="251"/>
      <c r="P26" s="251"/>
      <c r="Q26" s="251"/>
      <c r="R26" s="251"/>
      <c r="S26"/>
      <c r="T26" s="13"/>
      <c r="U26" s="578"/>
      <c r="V26" s="578"/>
      <c r="W26" s="578"/>
      <c r="X26" s="578"/>
      <c r="Y26" s="578"/>
      <c r="Z26" s="567"/>
      <c r="AA26" s="567"/>
      <c r="AB26" s="567"/>
      <c r="ET26" s="567"/>
      <c r="EU26" s="567"/>
      <c r="EV26" s="567"/>
      <c r="EW26" s="567"/>
      <c r="EX26" s="567"/>
      <c r="EY26" s="567"/>
      <c r="EZ26" s="567"/>
      <c r="FA26" s="567"/>
      <c r="FB26" s="567"/>
    </row>
    <row r="27" spans="1:158" s="250" customFormat="1" ht="19.95" customHeight="1">
      <c r="A27" s="246"/>
      <c r="B27" s="247"/>
      <c r="C27" s="252" t="s">
        <v>1275</v>
      </c>
      <c r="D27" s="261"/>
      <c r="E27" s="259">
        <v>2</v>
      </c>
      <c r="F27" s="261"/>
      <c r="G27" s="260">
        <v>0</v>
      </c>
      <c r="H27" s="248"/>
      <c r="I27" s="248"/>
      <c r="J27" s="249"/>
      <c r="K27" s="246"/>
      <c r="L27" s="325" t="str">
        <f>+Idiomas!D96</f>
        <v>· En esta hoja se muestran de un vistazo todos los resultados introducidos en la hoja WORLDCUP, en esta hoja no se rellena nada.</v>
      </c>
      <c r="M27" s="326"/>
      <c r="N27" s="326"/>
      <c r="O27" s="326"/>
      <c r="P27" s="326"/>
      <c r="Q27" s="326"/>
      <c r="R27" s="327"/>
      <c r="S27"/>
      <c r="T27" s="13"/>
      <c r="U27" s="578"/>
      <c r="V27" s="578"/>
      <c r="W27" s="578"/>
      <c r="X27" s="578"/>
      <c r="Y27" s="578"/>
      <c r="Z27" s="567"/>
      <c r="AA27" s="567"/>
      <c r="AB27" s="567"/>
      <c r="ET27" s="567"/>
      <c r="EU27" s="567"/>
      <c r="EV27" s="567"/>
      <c r="EW27" s="567"/>
      <c r="EX27" s="567"/>
      <c r="EY27" s="567"/>
      <c r="EZ27" s="567"/>
      <c r="FA27" s="567"/>
      <c r="FB27" s="567"/>
    </row>
    <row r="28" spans="1:158" s="250" customFormat="1" ht="1.95" customHeight="1">
      <c r="A28" s="246"/>
      <c r="B28" s="247"/>
      <c r="C28" s="248"/>
      <c r="D28" s="248"/>
      <c r="E28" s="248"/>
      <c r="F28" s="248"/>
      <c r="G28" s="248"/>
      <c r="H28" s="248"/>
      <c r="I28" s="248"/>
      <c r="J28" s="249"/>
      <c r="K28" s="246"/>
      <c r="L28" s="381"/>
      <c r="M28" s="382"/>
      <c r="N28" s="382"/>
      <c r="O28" s="382"/>
      <c r="P28" s="382"/>
      <c r="Q28" s="382"/>
      <c r="R28" s="382"/>
      <c r="S28"/>
      <c r="T28" s="13"/>
      <c r="U28" s="578"/>
      <c r="V28" s="578"/>
      <c r="W28" s="578"/>
      <c r="X28" s="578"/>
      <c r="Y28" s="578"/>
      <c r="Z28" s="567"/>
      <c r="AA28" s="567"/>
      <c r="AB28" s="567"/>
      <c r="ET28" s="567"/>
      <c r="EU28" s="567"/>
      <c r="EV28" s="567"/>
      <c r="EW28" s="567"/>
      <c r="EX28" s="567"/>
      <c r="EY28" s="567"/>
      <c r="EZ28" s="567"/>
      <c r="FA28" s="567"/>
      <c r="FB28" s="567"/>
    </row>
    <row r="29" spans="1:158" s="250" customFormat="1" ht="19.95" customHeight="1">
      <c r="A29" s="246"/>
      <c r="B29" s="247"/>
      <c r="C29" s="252" t="s">
        <v>1276</v>
      </c>
      <c r="D29" s="261"/>
      <c r="E29" s="260">
        <v>0</v>
      </c>
      <c r="F29" s="261"/>
      <c r="G29" s="259">
        <v>2</v>
      </c>
      <c r="H29" s="248"/>
      <c r="I29" s="248"/>
      <c r="J29" s="249"/>
      <c r="K29" s="246"/>
      <c r="S29"/>
      <c r="T29" s="13"/>
      <c r="U29" s="578"/>
      <c r="V29" s="578"/>
      <c r="W29" s="578"/>
      <c r="X29" s="578"/>
      <c r="Y29" s="578"/>
      <c r="Z29" s="567"/>
      <c r="AA29" s="567"/>
      <c r="AB29" s="567"/>
      <c r="ET29" s="567"/>
      <c r="EU29" s="567"/>
      <c r="EV29" s="567"/>
      <c r="EW29" s="567"/>
      <c r="EX29" s="567"/>
      <c r="EY29" s="567"/>
      <c r="EZ29" s="567"/>
      <c r="FA29" s="567"/>
      <c r="FB29" s="567"/>
    </row>
    <row r="30" spans="1:158" s="250" customFormat="1" ht="1.95" customHeight="1">
      <c r="A30" s="246"/>
      <c r="B30" s="247"/>
      <c r="C30" s="248"/>
      <c r="D30" s="248"/>
      <c r="E30" s="248"/>
      <c r="F30" s="248"/>
      <c r="G30" s="248"/>
      <c r="H30" s="248"/>
      <c r="I30" s="248"/>
      <c r="J30" s="249"/>
      <c r="K30" s="246"/>
      <c r="S30"/>
      <c r="T30" s="13"/>
      <c r="U30" s="578"/>
      <c r="V30" s="578"/>
      <c r="W30" s="578"/>
      <c r="X30" s="578"/>
      <c r="Y30" s="578"/>
      <c r="Z30" s="567"/>
      <c r="AA30" s="567"/>
      <c r="AB30" s="567"/>
      <c r="ET30" s="567"/>
      <c r="EU30" s="567"/>
      <c r="EV30" s="567"/>
      <c r="EW30" s="567"/>
      <c r="EX30" s="567"/>
      <c r="EY30" s="567"/>
      <c r="EZ30" s="567"/>
      <c r="FA30" s="567"/>
      <c r="FB30" s="567"/>
    </row>
    <row r="31" spans="1:158" s="250" customFormat="1" ht="19.95" customHeight="1">
      <c r="A31" s="246"/>
      <c r="B31" s="247"/>
      <c r="C31" s="252" t="s">
        <v>1277</v>
      </c>
      <c r="D31" s="261"/>
      <c r="E31" s="259">
        <v>2</v>
      </c>
      <c r="F31" s="261"/>
      <c r="G31" s="260">
        <v>0</v>
      </c>
      <c r="H31" s="248"/>
      <c r="I31" s="248"/>
      <c r="J31" s="249"/>
      <c r="K31" s="246"/>
      <c r="S31"/>
      <c r="T31" s="13"/>
      <c r="U31" s="578"/>
      <c r="V31" s="578"/>
      <c r="W31" s="578"/>
      <c r="X31" s="578"/>
      <c r="Y31" s="578"/>
      <c r="Z31" s="567"/>
      <c r="AA31" s="567"/>
      <c r="AB31" s="567"/>
      <c r="ET31" s="567"/>
      <c r="EU31" s="567"/>
      <c r="EV31" s="567"/>
      <c r="EW31" s="567"/>
      <c r="EX31" s="567"/>
      <c r="EY31" s="567"/>
      <c r="EZ31" s="567"/>
      <c r="FA31" s="567"/>
      <c r="FB31" s="567"/>
    </row>
    <row r="32" spans="1:158">
      <c r="A32" s="215"/>
      <c r="B32" s="242"/>
      <c r="C32" s="243"/>
      <c r="D32" s="243"/>
      <c r="E32" s="243"/>
      <c r="F32" s="243"/>
      <c r="G32" s="243"/>
      <c r="H32" s="243"/>
      <c r="I32" s="243"/>
      <c r="J32" s="244"/>
      <c r="K32" s="215"/>
      <c r="L32" s="250"/>
      <c r="M32" s="250"/>
      <c r="N32" s="250"/>
      <c r="O32" s="250"/>
      <c r="P32" s="250"/>
      <c r="Q32" s="250"/>
      <c r="R32" s="250"/>
    </row>
    <row r="33" spans="1:17" ht="15" thickBot="1">
      <c r="A33" s="215"/>
      <c r="K33" s="215"/>
    </row>
    <row r="34" spans="1:17" ht="28.05" customHeight="1" thickBot="1">
      <c r="A34" s="215"/>
      <c r="B34" s="748" t="str">
        <f>HYPERLINK(Idiomas!D10,Idiomas!D9)</f>
        <v>▼ Descargar Excel Administrador Porra ▼</v>
      </c>
      <c r="C34" s="749"/>
      <c r="D34" s="749"/>
      <c r="E34" s="749"/>
      <c r="F34" s="749"/>
      <c r="G34" s="749"/>
      <c r="H34" s="749"/>
      <c r="I34" s="749"/>
      <c r="J34" s="750"/>
      <c r="K34" s="215"/>
      <c r="L34" s="276" t="s">
        <v>1351</v>
      </c>
    </row>
    <row r="35" spans="1:17">
      <c r="A35" s="215"/>
      <c r="C35" s="215"/>
      <c r="D35" s="215"/>
      <c r="E35" s="215"/>
      <c r="F35" s="215"/>
      <c r="G35" s="215"/>
      <c r="H35" s="215"/>
      <c r="I35" s="215"/>
      <c r="J35" s="215"/>
      <c r="K35" s="215"/>
      <c r="L35" s="215"/>
      <c r="M35" s="214"/>
      <c r="N35" s="215"/>
      <c r="O35" s="215"/>
      <c r="P35" s="215"/>
      <c r="Q35" s="215"/>
    </row>
    <row r="36" spans="1:17" ht="28.05" customHeight="1">
      <c r="A36" s="215"/>
      <c r="D36" s="215"/>
      <c r="E36" s="215"/>
      <c r="F36" s="215"/>
      <c r="G36" s="215"/>
      <c r="H36" s="215"/>
      <c r="I36" s="215"/>
      <c r="J36" s="215"/>
      <c r="K36" s="215"/>
      <c r="L36" s="215"/>
      <c r="M36" s="214"/>
      <c r="N36" s="215"/>
      <c r="O36" s="215"/>
      <c r="P36" s="215"/>
      <c r="Q36" s="215"/>
    </row>
    <row r="37" spans="1:17" ht="15" customHeight="1">
      <c r="A37" s="215"/>
      <c r="K37" s="215"/>
      <c r="L37" s="215"/>
      <c r="M37" s="214"/>
      <c r="N37" s="215"/>
      <c r="O37" s="215"/>
      <c r="P37" s="215"/>
      <c r="Q37" s="215"/>
    </row>
    <row r="38" spans="1:17" ht="34.049999999999997" customHeight="1">
      <c r="A38" s="215"/>
      <c r="B38" s="215"/>
      <c r="D38" s="215"/>
      <c r="E38" s="215"/>
      <c r="F38" s="215"/>
      <c r="G38" s="215"/>
      <c r="H38" s="215"/>
      <c r="I38" s="215"/>
      <c r="J38" s="215"/>
      <c r="K38" s="215"/>
      <c r="M38" s="215"/>
      <c r="N38" s="215"/>
      <c r="O38" s="215"/>
      <c r="P38" s="215"/>
      <c r="Q38" s="215"/>
    </row>
    <row r="39" spans="1:17">
      <c r="A39" s="215"/>
      <c r="B39" s="215"/>
      <c r="C39" s="215"/>
      <c r="D39" s="215"/>
      <c r="E39" s="215"/>
      <c r="F39" s="215"/>
      <c r="G39" s="215"/>
      <c r="H39" s="215"/>
      <c r="I39" s="215"/>
      <c r="J39" s="215"/>
      <c r="K39" s="215"/>
      <c r="L39" s="215"/>
      <c r="M39" s="215"/>
      <c r="N39" s="215"/>
      <c r="O39" s="215"/>
      <c r="P39" s="215"/>
      <c r="Q39" s="215"/>
    </row>
    <row r="40" spans="1:17">
      <c r="A40" s="215"/>
      <c r="B40" s="215"/>
      <c r="C40" s="215"/>
      <c r="D40" s="215"/>
      <c r="E40" s="215"/>
      <c r="F40" s="215"/>
      <c r="G40" s="215"/>
      <c r="H40" s="215"/>
      <c r="I40" s="215"/>
      <c r="J40" s="215"/>
      <c r="K40" s="215"/>
      <c r="L40" s="215"/>
      <c r="M40" s="215"/>
      <c r="N40" s="215"/>
      <c r="O40" s="215"/>
      <c r="P40" s="215"/>
      <c r="Q40" s="215"/>
    </row>
    <row r="41" spans="1:17">
      <c r="A41" s="215"/>
      <c r="B41" s="215"/>
      <c r="C41" s="215"/>
      <c r="D41" s="215"/>
      <c r="E41" s="215"/>
      <c r="F41" s="215"/>
      <c r="G41" s="215"/>
      <c r="H41" s="215"/>
      <c r="I41" s="215"/>
      <c r="J41" s="215"/>
      <c r="K41" s="215"/>
      <c r="L41" s="215"/>
      <c r="M41" s="215"/>
      <c r="N41" s="215"/>
      <c r="O41" s="215"/>
      <c r="P41" s="215"/>
      <c r="Q41" s="215"/>
    </row>
    <row r="45" spans="1:17">
      <c r="B45" s="215"/>
    </row>
    <row r="83" spans="12:28">
      <c r="L83" s="3"/>
      <c r="M83" s="3"/>
      <c r="N83" s="3"/>
      <c r="O83" s="569"/>
      <c r="P83" s="5"/>
      <c r="Q83" s="5"/>
      <c r="R83" s="5"/>
      <c r="U83" s="7"/>
      <c r="V83" s="7"/>
      <c r="W83" s="7"/>
      <c r="X83" s="7"/>
      <c r="Y83" s="7"/>
      <c r="Z83" s="5"/>
      <c r="AA83" s="5"/>
      <c r="AB83" s="5"/>
    </row>
    <row r="84" spans="12:28" ht="60" customHeight="1">
      <c r="L84" s="3"/>
      <c r="M84" s="75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1"/>
      <c r="O84" s="751"/>
      <c r="P84" s="751"/>
      <c r="Q84" s="751"/>
      <c r="R84" s="751"/>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5" t="s">
        <v>1472</v>
      </c>
      <c r="N86" s="5"/>
      <c r="O86" s="5"/>
      <c r="P86" s="5"/>
      <c r="Q86" s="5"/>
      <c r="R86" s="5"/>
      <c r="T86" s="13" t="s">
        <v>1477</v>
      </c>
      <c r="U86" s="395" t="s">
        <v>1459</v>
      </c>
      <c r="V86" s="395" t="s">
        <v>1460</v>
      </c>
      <c r="W86" s="395" t="s">
        <v>1473</v>
      </c>
      <c r="X86" s="395" t="s">
        <v>1474</v>
      </c>
      <c r="Y86" s="395" t="s">
        <v>1475</v>
      </c>
      <c r="Z86" s="5"/>
      <c r="AA86" s="5"/>
      <c r="AB86" s="5"/>
    </row>
    <row r="87" spans="12:28">
      <c r="L87" s="3"/>
      <c r="M87" s="598"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0" t="e" vm="51">
        <v>#VALUE!</v>
      </c>
      <c r="Y88" s="7">
        <v>4</v>
      </c>
      <c r="Z88" s="5"/>
      <c r="AA88" s="5"/>
      <c r="AB88" s="5"/>
    </row>
    <row r="89" spans="12:28" ht="15.6">
      <c r="L89" s="3"/>
      <c r="M89" s="3"/>
      <c r="N89" s="3"/>
      <c r="O89" s="5"/>
      <c r="P89" s="5"/>
      <c r="Q89" s="5"/>
      <c r="R89" s="5"/>
      <c r="T89" s="13" t="s">
        <v>1480</v>
      </c>
      <c r="U89" s="7" t="s">
        <v>1467</v>
      </c>
      <c r="V89" s="7" t="s">
        <v>1467</v>
      </c>
      <c r="W89" s="571" t="s">
        <v>1469</v>
      </c>
      <c r="X89" s="570" t="e" vm="52">
        <v>#VALUE!</v>
      </c>
      <c r="Y89" s="7">
        <v>-4</v>
      </c>
      <c r="Z89" s="5"/>
      <c r="AA89" s="5"/>
      <c r="AB89" s="5"/>
    </row>
    <row r="90" spans="12:28" ht="15.6">
      <c r="L90" s="3"/>
      <c r="M90" s="3"/>
      <c r="N90" s="3"/>
      <c r="O90" s="5"/>
      <c r="P90" s="5"/>
      <c r="Q90" s="5"/>
      <c r="R90" s="5"/>
      <c r="T90" s="13" t="s">
        <v>1481</v>
      </c>
      <c r="U90" s="7" t="s">
        <v>1468</v>
      </c>
      <c r="V90" s="7" t="s">
        <v>1471</v>
      </c>
      <c r="W90" s="572" t="s">
        <v>1470</v>
      </c>
      <c r="X90" s="570"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5" t="s">
        <v>1459</v>
      </c>
      <c r="O92" s="395" t="s">
        <v>1460</v>
      </c>
      <c r="P92" s="395" t="s">
        <v>1494</v>
      </c>
      <c r="Q92" s="395" t="s">
        <v>1482</v>
      </c>
      <c r="R92" s="395" t="s">
        <v>1474</v>
      </c>
      <c r="Z92" s="5"/>
      <c r="AA92" s="5"/>
      <c r="AB92" s="5"/>
    </row>
    <row r="93" spans="12:28" ht="25.05" customHeight="1">
      <c r="L93" s="3"/>
      <c r="M93" s="7" t="s">
        <v>1476</v>
      </c>
      <c r="N93" s="573" t="s">
        <v>1514</v>
      </c>
      <c r="O93" s="573" t="s">
        <v>1483</v>
      </c>
      <c r="P93" s="573"/>
      <c r="Q93" s="573"/>
      <c r="R93" s="573"/>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0"/>
      <c r="EZ6119" s="600" t="s">
        <v>78</v>
      </c>
      <c r="FA6119" s="600"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0"/>
      <c r="EZ6120" s="600" t="s">
        <v>1378</v>
      </c>
      <c r="FA6120" s="600"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0"/>
      <c r="EZ6121" s="600" t="s">
        <v>1381</v>
      </c>
      <c r="FA6121" s="600"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0"/>
      <c r="EZ6122" s="600" t="s">
        <v>1262</v>
      </c>
      <c r="FA6122" s="600"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0"/>
      <c r="EZ6123" s="600" t="s">
        <v>1263</v>
      </c>
      <c r="FA6123" s="600"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0"/>
      <c r="EZ6124" s="600" t="s">
        <v>81</v>
      </c>
      <c r="FA6124" s="600"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0"/>
      <c r="EZ6125" s="600" t="s">
        <v>111</v>
      </c>
      <c r="FA6125" s="600"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0"/>
      <c r="EZ6126" s="600" t="s">
        <v>1264</v>
      </c>
      <c r="FA6126" s="600"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0"/>
      <c r="EZ6127" s="600" t="s">
        <v>1384</v>
      </c>
      <c r="FA6127" s="600"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0"/>
      <c r="EZ6128" s="600" t="s">
        <v>1265</v>
      </c>
      <c r="FA6128" s="600"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0"/>
      <c r="EZ6129" s="600" t="s">
        <v>1387</v>
      </c>
      <c r="FA6129" s="600"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0"/>
      <c r="EZ6130" s="600" t="s">
        <v>1336</v>
      </c>
      <c r="FA6130" s="600"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0"/>
      <c r="EZ6131" s="600" t="s">
        <v>1266</v>
      </c>
      <c r="FA6131" s="600"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0"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0"/>
      <c r="EZ6133" s="600" t="s">
        <v>79</v>
      </c>
      <c r="FA6133" s="600"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0"/>
      <c r="EZ6134" s="600" t="s">
        <v>1405</v>
      </c>
      <c r="FA6134" s="600"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0"/>
      <c r="EZ6135" s="600" t="s">
        <v>1267</v>
      </c>
      <c r="FA6135" s="600"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0"/>
      <c r="EZ6136" s="600" t="s">
        <v>1393</v>
      </c>
      <c r="FA6136" s="600"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0"/>
      <c r="EZ6137" s="600" t="s">
        <v>136</v>
      </c>
      <c r="FA6137" s="600"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0"/>
      <c r="EZ6138" s="600" t="s">
        <v>40</v>
      </c>
      <c r="FA6138" s="600"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0"/>
      <c r="EZ6139" s="600" t="s">
        <v>507</v>
      </c>
      <c r="FA6139" s="600"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0"/>
      <c r="EZ6140" s="600" t="s">
        <v>75</v>
      </c>
      <c r="FA6140" s="600"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0"/>
      <c r="EZ6141" s="600" t="s">
        <v>1396</v>
      </c>
      <c r="FA6141" s="600"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0"/>
      <c r="EZ6142" s="600" t="s">
        <v>1404</v>
      </c>
      <c r="FA6142" s="600"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0"/>
      <c r="EZ6143" s="600" t="s">
        <v>77</v>
      </c>
      <c r="FA6143" s="600"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0"/>
      <c r="EZ6144" s="600" t="str">
        <f>N87</f>
        <v>Irán</v>
      </c>
      <c r="FA6144" s="600"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0"/>
      <c r="EZ6145" s="600" t="s">
        <v>1269</v>
      </c>
      <c r="FA6145" s="600"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0"/>
      <c r="EZ6146" s="600" t="s">
        <v>1270</v>
      </c>
      <c r="FA6146" s="600"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0"/>
      <c r="EZ6147" s="600" t="s">
        <v>1337</v>
      </c>
      <c r="FA6147" s="600"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0"/>
      <c r="EZ6148" s="600" t="s">
        <v>1271</v>
      </c>
      <c r="FA6148" s="600"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0"/>
      <c r="EZ6149" s="600" t="s">
        <v>137</v>
      </c>
      <c r="FA6149" s="600"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0"/>
      <c r="EZ6150" s="600" t="s">
        <v>1272</v>
      </c>
      <c r="FA6150" s="600"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0"/>
      <c r="EZ6151" s="600" t="s">
        <v>113</v>
      </c>
      <c r="FA6151" s="600"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0"/>
      <c r="EZ6152" s="600" t="s">
        <v>1403</v>
      </c>
      <c r="FA6152" s="600"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0"/>
      <c r="EZ6153" s="600" t="s">
        <v>1335</v>
      </c>
      <c r="FA6153" s="600"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0"/>
      <c r="EZ6154" s="600" t="s">
        <v>80</v>
      </c>
      <c r="FA6154" s="600"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0"/>
      <c r="EZ6155" s="600" t="s">
        <v>1398</v>
      </c>
      <c r="FA6155" s="600"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0"/>
      <c r="EZ6156" s="600" t="s">
        <v>1400</v>
      </c>
      <c r="FA6156" s="600"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0"/>
      <c r="EZ6157" s="600" t="s">
        <v>76</v>
      </c>
      <c r="FA6157" s="600"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0"/>
      <c r="EZ6158" s="600" t="s">
        <v>1338</v>
      </c>
      <c r="FA6158" s="600"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0"/>
      <c r="EZ6159" s="600" t="s">
        <v>1334</v>
      </c>
      <c r="FA6159" s="600"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0"/>
      <c r="EZ6160" s="600" t="s">
        <v>1273</v>
      </c>
      <c r="FA6160" s="600"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2" customWidth="1"/>
    <col min="15" max="16384" width="20.44140625" style="603"/>
  </cols>
  <sheetData>
    <row r="1" spans="1:18 8826:8826" ht="15" customHeight="1">
      <c r="A1" s="395" t="s">
        <v>379</v>
      </c>
      <c r="B1" s="395" t="s">
        <v>32</v>
      </c>
      <c r="C1" s="395" t="s">
        <v>73</v>
      </c>
      <c r="D1" s="395" t="s">
        <v>11</v>
      </c>
      <c r="E1" s="7"/>
      <c r="F1" s="7" t="s">
        <v>35</v>
      </c>
      <c r="G1" s="7"/>
      <c r="H1" s="395"/>
      <c r="I1" s="395"/>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3"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4" t="s">
        <v>147</v>
      </c>
      <c r="M7" s="604"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5"/>
      <c r="Q15" s="605"/>
      <c r="R15" s="605"/>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3" t="s">
        <v>15</v>
      </c>
      <c r="MAL28" s="603"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6" t="s">
        <v>1513</v>
      </c>
      <c r="M44" s="606"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6" t="s">
        <v>1463</v>
      </c>
      <c r="M45" s="606"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7" t="s">
        <v>1507</v>
      </c>
      <c r="M46" s="607"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6" t="s">
        <v>1501</v>
      </c>
      <c r="M47" s="606"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6" t="s">
        <v>1504</v>
      </c>
      <c r="M48" s="606"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6" t="s">
        <v>1510</v>
      </c>
      <c r="M49" s="606"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1">
        <f ca="1">+INDEX($S$3:$S$86,MATCH($L$2,$Q$3:$Q$86,0))</f>
        <v>0.16666666666666666</v>
      </c>
      <c r="P2" s="396" t="s">
        <v>379</v>
      </c>
      <c r="Q2" s="396" t="s">
        <v>378</v>
      </c>
      <c r="R2" s="396" t="s">
        <v>363</v>
      </c>
      <c r="S2" s="396" t="s">
        <v>382</v>
      </c>
      <c r="T2" s="396" t="s">
        <v>364</v>
      </c>
      <c r="U2" s="396" t="s">
        <v>365</v>
      </c>
      <c r="V2" s="396" t="s">
        <v>381</v>
      </c>
      <c r="W2" s="609" t="s">
        <v>380</v>
      </c>
      <c r="X2" s="396" t="s">
        <v>364</v>
      </c>
      <c r="AA2" s="396" t="s">
        <v>379</v>
      </c>
      <c r="AB2" s="396" t="s">
        <v>378</v>
      </c>
      <c r="AC2" s="396" t="s">
        <v>363</v>
      </c>
      <c r="AD2" s="396" t="s">
        <v>382</v>
      </c>
      <c r="AE2" s="396" t="s">
        <v>364</v>
      </c>
      <c r="AF2" s="396" t="s">
        <v>365</v>
      </c>
      <c r="AG2" s="396" t="s">
        <v>381</v>
      </c>
      <c r="AH2" s="609" t="s">
        <v>380</v>
      </c>
      <c r="AI2" s="396"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1">
        <f t="shared" ca="1" si="0"/>
        <v>8.3333333333333329E-2</v>
      </c>
      <c r="T3" s="13">
        <f t="shared" ca="1" si="0"/>
        <v>0</v>
      </c>
      <c r="U3" s="13">
        <f t="shared" ca="1" si="0"/>
        <v>6</v>
      </c>
      <c r="V3" s="611">
        <f t="shared" ca="1" si="0"/>
        <v>0.25</v>
      </c>
      <c r="W3" s="13">
        <f t="shared" ca="1" si="0"/>
        <v>1</v>
      </c>
      <c r="X3" s="13">
        <f t="shared" ref="X3:X50" ca="1" si="1">IFERROR(IF(Q3=$L$2,1,0),0)</f>
        <v>0</v>
      </c>
      <c r="AA3" s="13">
        <v>1</v>
      </c>
      <c r="AB3" s="13" t="str">
        <f ca="1">Idiomas!D202</f>
        <v>Alemania</v>
      </c>
      <c r="AC3" s="610">
        <v>2</v>
      </c>
      <c r="AD3" s="611">
        <f>ABS(AC3/24)</f>
        <v>8.3333333333333329E-2</v>
      </c>
      <c r="AE3" s="13">
        <v>0</v>
      </c>
      <c r="AF3" s="13">
        <f ca="1">AC3-$M$2</f>
        <v>6</v>
      </c>
      <c r="AG3" s="611">
        <f ca="1">ABS(AF3/24)</f>
        <v>0.25</v>
      </c>
      <c r="AH3" s="13">
        <f ca="1">IF(AC3&gt;$M$2,1,IF(AC3=$M$2,0,-1))</f>
        <v>1</v>
      </c>
      <c r="AI3" s="13">
        <f ca="1">+COUNTIF($AB$3:$AB$50,"&lt;="&amp;AB3)</f>
        <v>1</v>
      </c>
    </row>
    <row r="4" spans="1:35" ht="15.6">
      <c r="A4" s="580">
        <v>46184.625</v>
      </c>
      <c r="B4" s="13"/>
      <c r="C4" s="580">
        <f t="shared" ref="C4:C9" ca="1" si="2">A4+INDEX($V$3:$V$86,MATCH($C$3,$P$3:$P$86,0))*INDEX($W$3:$W$86,MATCH($C$3,$P$3:$P$86,0))</f>
        <v>46184.625</v>
      </c>
      <c r="D4" s="608"/>
      <c r="E4" s="608"/>
      <c r="P4" s="13">
        <v>2</v>
      </c>
      <c r="Q4" s="13" t="str">
        <f t="shared" ref="Q4:Q50" ca="1" si="3">+INDEX($AB$3:$AB$50,MATCH(P4,$AI$3:$AI$50,0))</f>
        <v>Arabia Saudita</v>
      </c>
      <c r="R4" s="13">
        <f t="shared" ca="1" si="0"/>
        <v>3</v>
      </c>
      <c r="S4" s="611">
        <f t="shared" ca="1" si="0"/>
        <v>0.125</v>
      </c>
      <c r="T4" s="13">
        <f t="shared" ca="1" si="0"/>
        <v>0</v>
      </c>
      <c r="U4" s="13">
        <f t="shared" ca="1" si="0"/>
        <v>7</v>
      </c>
      <c r="V4" s="611">
        <f t="shared" ca="1" si="0"/>
        <v>0.29166666666666669</v>
      </c>
      <c r="W4" s="13">
        <f t="shared" ca="1" si="0"/>
        <v>1</v>
      </c>
      <c r="X4" s="13">
        <f t="shared" ca="1" si="1"/>
        <v>0</v>
      </c>
      <c r="AA4" s="13">
        <v>2</v>
      </c>
      <c r="AB4" s="13" t="str">
        <f ca="1">Idiomas!D203</f>
        <v>Arabia Saudita</v>
      </c>
      <c r="AC4" s="610">
        <v>3</v>
      </c>
      <c r="AD4" s="611">
        <f t="shared" ref="AD4:AD67" si="4">ABS(AC4/24)</f>
        <v>0.125</v>
      </c>
      <c r="AE4" s="13">
        <v>0</v>
      </c>
      <c r="AF4" s="13">
        <f t="shared" ref="AF4:AF50" ca="1" si="5">AC4-$M$2</f>
        <v>7</v>
      </c>
      <c r="AG4" s="611">
        <f t="shared" ref="AG4:AG67" ca="1" si="6">ABS(AF4/24)</f>
        <v>0.29166666666666669</v>
      </c>
      <c r="AH4" s="13">
        <f t="shared" ref="AH4:AH50" ca="1" si="7">IF(AC4&gt;$M$2,1,IF(AC4=$M$2,0,-1))</f>
        <v>1</v>
      </c>
      <c r="AI4" s="13">
        <f t="shared" ref="AI4:AI50" ca="1" si="8">+COUNTIF($AB$3:$AB$50,"&lt;="&amp;AB4)</f>
        <v>2</v>
      </c>
    </row>
    <row r="5" spans="1:35" ht="15.6">
      <c r="A5" s="580">
        <v>46184.916666666664</v>
      </c>
      <c r="B5" s="13"/>
      <c r="C5" s="580">
        <f t="shared" ca="1" si="2"/>
        <v>46184.916666666664</v>
      </c>
      <c r="D5" s="608"/>
      <c r="E5" s="608"/>
      <c r="P5" s="13">
        <v>3</v>
      </c>
      <c r="Q5" s="13" t="str">
        <f t="shared" ca="1" si="3"/>
        <v>Argelia</v>
      </c>
      <c r="R5" s="13">
        <f t="shared" ca="1" si="0"/>
        <v>1</v>
      </c>
      <c r="S5" s="611">
        <f t="shared" ca="1" si="0"/>
        <v>4.1666666666666664E-2</v>
      </c>
      <c r="T5" s="13">
        <f t="shared" ca="1" si="0"/>
        <v>0</v>
      </c>
      <c r="U5" s="13">
        <f t="shared" ca="1" si="0"/>
        <v>5</v>
      </c>
      <c r="V5" s="611">
        <f t="shared" ca="1" si="0"/>
        <v>0.20833333333333334</v>
      </c>
      <c r="W5" s="13">
        <f t="shared" ca="1" si="0"/>
        <v>1</v>
      </c>
      <c r="X5" s="13">
        <f t="shared" ca="1" si="1"/>
        <v>0</v>
      </c>
      <c r="AA5" s="13">
        <v>3</v>
      </c>
      <c r="AB5" s="13" t="str">
        <f ca="1">Idiomas!D204</f>
        <v>Argelia</v>
      </c>
      <c r="AC5" s="610">
        <v>1</v>
      </c>
      <c r="AD5" s="611">
        <f t="shared" si="4"/>
        <v>4.1666666666666664E-2</v>
      </c>
      <c r="AE5" s="13">
        <v>0</v>
      </c>
      <c r="AF5" s="13">
        <f t="shared" ca="1" si="5"/>
        <v>5</v>
      </c>
      <c r="AG5" s="611">
        <f t="shared" ca="1" si="6"/>
        <v>0.20833333333333334</v>
      </c>
      <c r="AH5" s="13">
        <f t="shared" ca="1" si="7"/>
        <v>1</v>
      </c>
      <c r="AI5" s="13">
        <f t="shared" ca="1" si="8"/>
        <v>3</v>
      </c>
    </row>
    <row r="6" spans="1:35" ht="15.6">
      <c r="A6" s="580">
        <v>46191.5</v>
      </c>
      <c r="B6" s="13"/>
      <c r="C6" s="580">
        <f t="shared" ca="1" si="2"/>
        <v>46191.5</v>
      </c>
      <c r="D6" s="608"/>
      <c r="E6" s="608"/>
      <c r="P6" s="13">
        <v>4</v>
      </c>
      <c r="Q6" s="13" t="str">
        <f t="shared" ca="1" si="3"/>
        <v>Argentina</v>
      </c>
      <c r="R6" s="13">
        <f t="shared" ca="1" si="0"/>
        <v>-3</v>
      </c>
      <c r="S6" s="611">
        <f t="shared" ca="1" si="0"/>
        <v>0.125</v>
      </c>
      <c r="T6" s="13">
        <f t="shared" ca="1" si="0"/>
        <v>0</v>
      </c>
      <c r="U6" s="13">
        <f t="shared" ca="1" si="0"/>
        <v>1</v>
      </c>
      <c r="V6" s="611">
        <f t="shared" ca="1" si="0"/>
        <v>4.1666666666666664E-2</v>
      </c>
      <c r="W6" s="13">
        <f t="shared" ca="1" si="0"/>
        <v>1</v>
      </c>
      <c r="X6" s="13">
        <f t="shared" ca="1" si="1"/>
        <v>0</v>
      </c>
      <c r="AA6" s="13">
        <v>4</v>
      </c>
      <c r="AB6" s="13" t="str">
        <f ca="1">Idiomas!D205</f>
        <v>Argentina</v>
      </c>
      <c r="AC6" s="610">
        <v>-3</v>
      </c>
      <c r="AD6" s="611">
        <f t="shared" si="4"/>
        <v>0.125</v>
      </c>
      <c r="AE6" s="13">
        <v>0</v>
      </c>
      <c r="AF6" s="13">
        <f t="shared" ca="1" si="5"/>
        <v>1</v>
      </c>
      <c r="AG6" s="611">
        <f t="shared" ca="1" si="6"/>
        <v>4.1666666666666664E-2</v>
      </c>
      <c r="AH6" s="13">
        <f t="shared" ca="1" si="7"/>
        <v>1</v>
      </c>
      <c r="AI6" s="13">
        <f t="shared" ca="1" si="8"/>
        <v>4</v>
      </c>
    </row>
    <row r="7" spans="1:35" ht="15.6">
      <c r="A7" s="580">
        <v>46191.875</v>
      </c>
      <c r="B7" s="13"/>
      <c r="C7" s="580">
        <f t="shared" ca="1" si="2"/>
        <v>46191.875</v>
      </c>
      <c r="D7" s="608"/>
      <c r="E7" s="608"/>
      <c r="P7" s="13">
        <v>5</v>
      </c>
      <c r="Q7" s="13" t="str">
        <f t="shared" ca="1" si="3"/>
        <v>Australia</v>
      </c>
      <c r="R7" s="13">
        <f t="shared" ca="1" si="0"/>
        <v>10.5</v>
      </c>
      <c r="S7" s="611">
        <f t="shared" ca="1" si="0"/>
        <v>0.4375</v>
      </c>
      <c r="T7" s="13">
        <f t="shared" ca="1" si="0"/>
        <v>0</v>
      </c>
      <c r="U7" s="13">
        <f t="shared" ca="1" si="0"/>
        <v>14.5</v>
      </c>
      <c r="V7" s="611">
        <f t="shared" ca="1" si="0"/>
        <v>0.60416666666666663</v>
      </c>
      <c r="W7" s="13">
        <f t="shared" ca="1" si="0"/>
        <v>1</v>
      </c>
      <c r="X7" s="13">
        <f t="shared" ca="1" si="1"/>
        <v>0</v>
      </c>
      <c r="AA7" s="13">
        <v>5</v>
      </c>
      <c r="AB7" s="13" t="str">
        <f ca="1">Idiomas!D206</f>
        <v>Australia</v>
      </c>
      <c r="AC7" s="610">
        <v>10.5</v>
      </c>
      <c r="AD7" s="611">
        <f t="shared" si="4"/>
        <v>0.4375</v>
      </c>
      <c r="AE7" s="13">
        <v>0</v>
      </c>
      <c r="AF7" s="13">
        <f t="shared" ca="1" si="5"/>
        <v>14.5</v>
      </c>
      <c r="AG7" s="611">
        <f t="shared" ca="1" si="6"/>
        <v>0.60416666666666663</v>
      </c>
      <c r="AH7" s="13">
        <f t="shared" ca="1" si="7"/>
        <v>1</v>
      </c>
      <c r="AI7" s="13">
        <f t="shared" ca="1" si="8"/>
        <v>5</v>
      </c>
    </row>
    <row r="8" spans="1:35" ht="15.6">
      <c r="A8" s="580">
        <v>46197.875</v>
      </c>
      <c r="B8" s="13"/>
      <c r="C8" s="580">
        <f t="shared" ca="1" si="2"/>
        <v>46197.875</v>
      </c>
      <c r="D8" s="608"/>
      <c r="E8" s="608"/>
      <c r="P8" s="13">
        <v>6</v>
      </c>
      <c r="Q8" s="13" t="str">
        <f t="shared" ca="1" si="3"/>
        <v>Austria</v>
      </c>
      <c r="R8" s="13">
        <f t="shared" ca="1" si="0"/>
        <v>2</v>
      </c>
      <c r="S8" s="611">
        <f t="shared" ca="1" si="0"/>
        <v>8.3333333333333329E-2</v>
      </c>
      <c r="T8" s="13">
        <f t="shared" ca="1" si="0"/>
        <v>0</v>
      </c>
      <c r="U8" s="13">
        <f t="shared" ca="1" si="0"/>
        <v>6</v>
      </c>
      <c r="V8" s="611">
        <f t="shared" ca="1" si="0"/>
        <v>0.25</v>
      </c>
      <c r="W8" s="13">
        <f t="shared" ca="1" si="0"/>
        <v>1</v>
      </c>
      <c r="X8" s="13">
        <f t="shared" ca="1" si="1"/>
        <v>0</v>
      </c>
      <c r="AA8" s="13">
        <v>6</v>
      </c>
      <c r="AB8" s="13" t="str">
        <f ca="1">Idiomas!D207</f>
        <v>Austria</v>
      </c>
      <c r="AC8" s="610">
        <v>2</v>
      </c>
      <c r="AD8" s="611">
        <f t="shared" si="4"/>
        <v>8.3333333333333329E-2</v>
      </c>
      <c r="AE8" s="13">
        <v>0</v>
      </c>
      <c r="AF8" s="13">
        <f t="shared" ca="1" si="5"/>
        <v>6</v>
      </c>
      <c r="AG8" s="611">
        <f t="shared" ca="1" si="6"/>
        <v>0.25</v>
      </c>
      <c r="AH8" s="13">
        <f t="shared" ca="1" si="7"/>
        <v>1</v>
      </c>
      <c r="AI8" s="13">
        <f t="shared" ca="1" si="8"/>
        <v>6</v>
      </c>
    </row>
    <row r="9" spans="1:35" ht="15.6">
      <c r="A9" s="580">
        <v>46197.875</v>
      </c>
      <c r="B9" s="13"/>
      <c r="C9" s="580">
        <f t="shared" ca="1" si="2"/>
        <v>46197.875</v>
      </c>
      <c r="D9" s="608"/>
      <c r="E9" s="608"/>
      <c r="P9" s="13">
        <v>7</v>
      </c>
      <c r="Q9" s="13" t="str">
        <f t="shared" ca="1" si="3"/>
        <v>Bélgica</v>
      </c>
      <c r="R9" s="13">
        <f t="shared" ca="1" si="0"/>
        <v>2</v>
      </c>
      <c r="S9" s="611">
        <f t="shared" ca="1" si="0"/>
        <v>8.3333333333333329E-2</v>
      </c>
      <c r="T9" s="13">
        <f t="shared" ca="1" si="0"/>
        <v>0</v>
      </c>
      <c r="U9" s="13">
        <f t="shared" ca="1" si="0"/>
        <v>6</v>
      </c>
      <c r="V9" s="611">
        <f t="shared" ca="1" si="0"/>
        <v>0.25</v>
      </c>
      <c r="W9" s="13">
        <f t="shared" ca="1" si="0"/>
        <v>1</v>
      </c>
      <c r="X9" s="13">
        <f t="shared" ca="1" si="1"/>
        <v>0</v>
      </c>
      <c r="AA9" s="13">
        <v>7</v>
      </c>
      <c r="AB9" s="13" t="str">
        <f ca="1">Idiomas!D208</f>
        <v>Bélgica</v>
      </c>
      <c r="AC9" s="610">
        <v>2</v>
      </c>
      <c r="AD9" s="611">
        <f t="shared" si="4"/>
        <v>8.3333333333333329E-2</v>
      </c>
      <c r="AE9" s="13">
        <v>0</v>
      </c>
      <c r="AF9" s="13">
        <f t="shared" ca="1" si="5"/>
        <v>6</v>
      </c>
      <c r="AG9" s="611">
        <f t="shared" ca="1" si="6"/>
        <v>0.25</v>
      </c>
      <c r="AH9" s="13">
        <f t="shared" ca="1" si="7"/>
        <v>1</v>
      </c>
      <c r="AI9" s="13">
        <f t="shared" ca="1" si="8"/>
        <v>7</v>
      </c>
    </row>
    <row r="10" spans="1:35" ht="15.6">
      <c r="A10" s="13"/>
      <c r="B10" s="13"/>
      <c r="C10" s="580"/>
      <c r="P10" s="13">
        <v>8</v>
      </c>
      <c r="Q10" s="13" t="str">
        <f t="shared" ca="1" si="3"/>
        <v>Bosnia y Herzegovina</v>
      </c>
      <c r="R10" s="13">
        <f t="shared" ca="1" si="0"/>
        <v>2</v>
      </c>
      <c r="S10" s="611">
        <f t="shared" ca="1" si="0"/>
        <v>8.3333333333333329E-2</v>
      </c>
      <c r="T10" s="13">
        <f t="shared" ca="1" si="0"/>
        <v>0</v>
      </c>
      <c r="U10" s="13">
        <f t="shared" ca="1" si="0"/>
        <v>6</v>
      </c>
      <c r="V10" s="611">
        <f t="shared" ca="1" si="0"/>
        <v>0.25</v>
      </c>
      <c r="W10" s="13">
        <f t="shared" ca="1" si="0"/>
        <v>1</v>
      </c>
      <c r="X10" s="13">
        <f t="shared" ca="1" si="1"/>
        <v>0</v>
      </c>
      <c r="AA10" s="13">
        <v>8</v>
      </c>
      <c r="AB10" s="13" t="str">
        <f ca="1">Idiomas!D209</f>
        <v>Brasil</v>
      </c>
      <c r="AC10" s="610">
        <v>-3</v>
      </c>
      <c r="AD10" s="611">
        <f t="shared" si="4"/>
        <v>0.125</v>
      </c>
      <c r="AE10" s="13">
        <v>0</v>
      </c>
      <c r="AF10" s="13">
        <f t="shared" ca="1" si="5"/>
        <v>1</v>
      </c>
      <c r="AG10" s="611">
        <f t="shared" ca="1" si="6"/>
        <v>4.1666666666666664E-2</v>
      </c>
      <c r="AH10" s="13">
        <f t="shared" ca="1" si="7"/>
        <v>1</v>
      </c>
      <c r="AI10" s="13">
        <f t="shared" ca="1" si="8"/>
        <v>9</v>
      </c>
    </row>
    <row r="11" spans="1:35" ht="15.6">
      <c r="A11" s="7" t="s">
        <v>42</v>
      </c>
      <c r="B11" s="13"/>
      <c r="C11" s="580"/>
      <c r="P11" s="13">
        <v>9</v>
      </c>
      <c r="Q11" s="13" t="str">
        <f t="shared" ca="1" si="3"/>
        <v>Brasil</v>
      </c>
      <c r="R11" s="13">
        <f t="shared" ca="1" si="0"/>
        <v>-3</v>
      </c>
      <c r="S11" s="611">
        <f t="shared" ca="1" si="0"/>
        <v>0.125</v>
      </c>
      <c r="T11" s="13">
        <f t="shared" ca="1" si="0"/>
        <v>0</v>
      </c>
      <c r="U11" s="13">
        <f t="shared" ca="1" si="0"/>
        <v>1</v>
      </c>
      <c r="V11" s="611">
        <f t="shared" ca="1" si="0"/>
        <v>4.1666666666666664E-2</v>
      </c>
      <c r="W11" s="13">
        <f t="shared" ca="1" si="0"/>
        <v>1</v>
      </c>
      <c r="X11" s="13">
        <f t="shared" ca="1" si="1"/>
        <v>0</v>
      </c>
      <c r="AA11" s="13">
        <v>9</v>
      </c>
      <c r="AB11" s="13" t="str">
        <f ca="1">Idiomas!D210</f>
        <v>Cabo Verde</v>
      </c>
      <c r="AC11" s="610">
        <v>-1</v>
      </c>
      <c r="AD11" s="611">
        <f t="shared" si="4"/>
        <v>4.1666666666666664E-2</v>
      </c>
      <c r="AE11" s="13">
        <v>0</v>
      </c>
      <c r="AF11" s="13">
        <f t="shared" ca="1" si="5"/>
        <v>3</v>
      </c>
      <c r="AG11" s="611">
        <f t="shared" ca="1" si="6"/>
        <v>0.125</v>
      </c>
      <c r="AH11" s="13">
        <f t="shared" ca="1" si="7"/>
        <v>1</v>
      </c>
      <c r="AI11" s="13">
        <f t="shared" ca="1" si="8"/>
        <v>10</v>
      </c>
    </row>
    <row r="12" spans="1:35" ht="15.6">
      <c r="A12" s="580">
        <v>46185.625</v>
      </c>
      <c r="B12" s="13"/>
      <c r="C12" s="580">
        <f t="shared" ref="C12:C17" ca="1" si="9">A12+INDEX($V$3:$V$86,MATCH($C$3,$P$3:$P$86,0))*INDEX($W$3:$W$86,MATCH($C$3,$P$3:$P$86,0))</f>
        <v>46185.625</v>
      </c>
      <c r="D12" s="608"/>
      <c r="E12" s="608"/>
      <c r="P12" s="13">
        <v>10</v>
      </c>
      <c r="Q12" s="13" t="str">
        <f t="shared" ca="1" si="3"/>
        <v>Cabo Verde</v>
      </c>
      <c r="R12" s="13">
        <f t="shared" ca="1" si="0"/>
        <v>-1</v>
      </c>
      <c r="S12" s="611">
        <f t="shared" ca="1" si="0"/>
        <v>4.1666666666666664E-2</v>
      </c>
      <c r="T12" s="13">
        <f t="shared" ca="1" si="0"/>
        <v>0</v>
      </c>
      <c r="U12" s="13">
        <f t="shared" ca="1" si="0"/>
        <v>3</v>
      </c>
      <c r="V12" s="611">
        <f t="shared" ca="1" si="0"/>
        <v>0.125</v>
      </c>
      <c r="W12" s="13">
        <f t="shared" ca="1" si="0"/>
        <v>1</v>
      </c>
      <c r="X12" s="13">
        <f t="shared" ca="1" si="1"/>
        <v>0</v>
      </c>
      <c r="AA12" s="13">
        <v>10</v>
      </c>
      <c r="AB12" s="13" t="str">
        <f ca="1">Idiomas!D211</f>
        <v>Canadá</v>
      </c>
      <c r="AC12" s="610">
        <v>-4</v>
      </c>
      <c r="AD12" s="611">
        <f t="shared" si="4"/>
        <v>0.16666666666666666</v>
      </c>
      <c r="AE12" s="13">
        <v>0</v>
      </c>
      <c r="AF12" s="13">
        <f t="shared" ca="1" si="5"/>
        <v>0</v>
      </c>
      <c r="AG12" s="611">
        <f t="shared" ca="1" si="6"/>
        <v>0</v>
      </c>
      <c r="AH12" s="13">
        <f t="shared" ca="1" si="7"/>
        <v>0</v>
      </c>
      <c r="AI12" s="13">
        <f t="shared" ca="1" si="8"/>
        <v>11</v>
      </c>
    </row>
    <row r="13" spans="1:35" ht="15.6">
      <c r="A13" s="580">
        <v>46186.625</v>
      </c>
      <c r="B13" s="13"/>
      <c r="C13" s="580">
        <f t="shared" ca="1" si="9"/>
        <v>46186.625</v>
      </c>
      <c r="D13" s="608"/>
      <c r="E13" s="608"/>
      <c r="P13" s="13">
        <v>11</v>
      </c>
      <c r="Q13" s="13" t="str">
        <f t="shared" ca="1" si="3"/>
        <v>Canadá</v>
      </c>
      <c r="R13" s="13">
        <f t="shared" ref="R13:W28" ca="1" si="10">+INDEX($AC$3:$AH$86,MATCH($Q13,$AB$3:$AB$86,0),MATCH(R$2,$AC$2:$AH$2,0))</f>
        <v>-4</v>
      </c>
      <c r="S13" s="611">
        <f t="shared" ca="1" si="10"/>
        <v>0.16666666666666666</v>
      </c>
      <c r="T13" s="13">
        <f t="shared" ca="1" si="0"/>
        <v>0</v>
      </c>
      <c r="U13" s="13">
        <f t="shared" ca="1" si="10"/>
        <v>0</v>
      </c>
      <c r="V13" s="611">
        <f t="shared" ca="1" si="10"/>
        <v>0</v>
      </c>
      <c r="W13" s="13">
        <f t="shared" ca="1" si="10"/>
        <v>0</v>
      </c>
      <c r="X13" s="13">
        <f t="shared" ca="1" si="1"/>
        <v>0</v>
      </c>
      <c r="AA13" s="13">
        <v>11</v>
      </c>
      <c r="AB13" s="13" t="str">
        <f ca="1">Idiomas!D212</f>
        <v>Catar</v>
      </c>
      <c r="AC13" s="610">
        <v>3</v>
      </c>
      <c r="AD13" s="611">
        <f t="shared" si="4"/>
        <v>0.125</v>
      </c>
      <c r="AE13" s="13">
        <v>0</v>
      </c>
      <c r="AF13" s="13">
        <f t="shared" ca="1" si="5"/>
        <v>7</v>
      </c>
      <c r="AG13" s="611">
        <f t="shared" ca="1" si="6"/>
        <v>0.29166666666666669</v>
      </c>
      <c r="AH13" s="13">
        <f t="shared" ca="1" si="7"/>
        <v>1</v>
      </c>
      <c r="AI13" s="13">
        <f t="shared" ca="1" si="8"/>
        <v>12</v>
      </c>
    </row>
    <row r="14" spans="1:35" ht="15.6">
      <c r="A14" s="580">
        <v>46191.625</v>
      </c>
      <c r="B14" s="13"/>
      <c r="C14" s="580">
        <f t="shared" ca="1" si="9"/>
        <v>46191.625</v>
      </c>
      <c r="D14" s="608"/>
      <c r="E14" s="608"/>
      <c r="P14" s="13">
        <v>12</v>
      </c>
      <c r="Q14" s="13" t="str">
        <f t="shared" ca="1" si="3"/>
        <v>Catar</v>
      </c>
      <c r="R14" s="13">
        <f t="shared" ca="1" si="10"/>
        <v>3</v>
      </c>
      <c r="S14" s="611">
        <f t="shared" ca="1" si="10"/>
        <v>0.125</v>
      </c>
      <c r="T14" s="13">
        <f t="shared" ca="1" si="0"/>
        <v>0</v>
      </c>
      <c r="U14" s="13">
        <f t="shared" ca="1" si="10"/>
        <v>7</v>
      </c>
      <c r="V14" s="611">
        <f t="shared" ca="1" si="10"/>
        <v>0.29166666666666669</v>
      </c>
      <c r="W14" s="13">
        <f t="shared" ca="1" si="10"/>
        <v>1</v>
      </c>
      <c r="X14" s="13">
        <f t="shared" ca="1" si="1"/>
        <v>0</v>
      </c>
      <c r="AA14" s="13">
        <v>12</v>
      </c>
      <c r="AB14" s="13" t="str">
        <f ca="1">Idiomas!D213</f>
        <v>Colombia</v>
      </c>
      <c r="AC14" s="610">
        <v>-5</v>
      </c>
      <c r="AD14" s="611">
        <f t="shared" si="4"/>
        <v>0.20833333333333334</v>
      </c>
      <c r="AE14" s="13">
        <v>0</v>
      </c>
      <c r="AF14" s="13">
        <f t="shared" ca="1" si="5"/>
        <v>-1</v>
      </c>
      <c r="AG14" s="611">
        <f t="shared" ca="1" si="6"/>
        <v>4.1666666666666664E-2</v>
      </c>
      <c r="AH14" s="13">
        <f t="shared" ca="1" si="7"/>
        <v>-1</v>
      </c>
      <c r="AI14" s="13">
        <f t="shared" ca="1" si="8"/>
        <v>13</v>
      </c>
    </row>
    <row r="15" spans="1:35" ht="15.6">
      <c r="A15" s="580">
        <v>46191.75</v>
      </c>
      <c r="B15" s="13"/>
      <c r="C15" s="580">
        <f t="shared" ca="1" si="9"/>
        <v>46191.75</v>
      </c>
      <c r="D15" s="608"/>
      <c r="E15" s="608"/>
      <c r="P15" s="13">
        <v>13</v>
      </c>
      <c r="Q15" s="13" t="str">
        <f t="shared" ca="1" si="3"/>
        <v>Colombia</v>
      </c>
      <c r="R15" s="13">
        <f t="shared" ca="1" si="10"/>
        <v>-5</v>
      </c>
      <c r="S15" s="611">
        <f t="shared" ca="1" si="10"/>
        <v>0.20833333333333334</v>
      </c>
      <c r="T15" s="13">
        <f t="shared" ca="1" si="0"/>
        <v>0</v>
      </c>
      <c r="U15" s="13">
        <f t="shared" ca="1" si="10"/>
        <v>-1</v>
      </c>
      <c r="V15" s="611">
        <f t="shared" ca="1" si="10"/>
        <v>4.1666666666666664E-2</v>
      </c>
      <c r="W15" s="13">
        <f t="shared" ca="1" si="10"/>
        <v>-1</v>
      </c>
      <c r="X15" s="13">
        <f t="shared" ca="1" si="1"/>
        <v>0</v>
      </c>
      <c r="AA15" s="13">
        <v>13</v>
      </c>
      <c r="AB15" s="13" t="str">
        <f ca="1">Idiomas!D214</f>
        <v>Corea del Sur</v>
      </c>
      <c r="AC15" s="610">
        <v>9</v>
      </c>
      <c r="AD15" s="611">
        <f t="shared" si="4"/>
        <v>0.375</v>
      </c>
      <c r="AE15" s="13">
        <v>0</v>
      </c>
      <c r="AF15" s="13">
        <f t="shared" ca="1" si="5"/>
        <v>13</v>
      </c>
      <c r="AG15" s="611">
        <f t="shared" ca="1" si="6"/>
        <v>0.54166666666666663</v>
      </c>
      <c r="AH15" s="13">
        <f t="shared" ca="1" si="7"/>
        <v>1</v>
      </c>
      <c r="AI15" s="13">
        <f t="shared" ca="1" si="8"/>
        <v>14</v>
      </c>
    </row>
    <row r="16" spans="1:35" ht="15.6">
      <c r="A16" s="580">
        <v>46197.625</v>
      </c>
      <c r="B16" s="13"/>
      <c r="C16" s="580">
        <f t="shared" ca="1" si="9"/>
        <v>46197.625</v>
      </c>
      <c r="D16" s="608"/>
      <c r="E16" s="608"/>
      <c r="P16" s="13">
        <v>14</v>
      </c>
      <c r="Q16" s="13" t="str">
        <f t="shared" ca="1" si="3"/>
        <v>Corea del Sur</v>
      </c>
      <c r="R16" s="13">
        <f t="shared" ca="1" si="10"/>
        <v>9</v>
      </c>
      <c r="S16" s="611">
        <f t="shared" ca="1" si="10"/>
        <v>0.375</v>
      </c>
      <c r="T16" s="13">
        <f t="shared" ca="1" si="0"/>
        <v>0</v>
      </c>
      <c r="U16" s="13">
        <f t="shared" ca="1" si="10"/>
        <v>13</v>
      </c>
      <c r="V16" s="611">
        <f t="shared" ca="1" si="10"/>
        <v>0.54166666666666663</v>
      </c>
      <c r="W16" s="13">
        <f t="shared" ca="1" si="10"/>
        <v>1</v>
      </c>
      <c r="X16" s="13">
        <f t="shared" ca="1" si="1"/>
        <v>0</v>
      </c>
      <c r="AA16" s="13">
        <v>14</v>
      </c>
      <c r="AB16" s="13" t="str">
        <f ca="1">Idiomas!D215</f>
        <v>Costa de Marfil</v>
      </c>
      <c r="AC16" s="610">
        <v>0</v>
      </c>
      <c r="AD16" s="611">
        <f t="shared" si="4"/>
        <v>0</v>
      </c>
      <c r="AE16" s="13">
        <v>0</v>
      </c>
      <c r="AF16" s="13">
        <f t="shared" ca="1" si="5"/>
        <v>4</v>
      </c>
      <c r="AG16" s="611">
        <f t="shared" ca="1" si="6"/>
        <v>0.16666666666666666</v>
      </c>
      <c r="AH16" s="13">
        <f t="shared" ca="1" si="7"/>
        <v>1</v>
      </c>
      <c r="AI16" s="13">
        <f t="shared" ca="1" si="8"/>
        <v>15</v>
      </c>
    </row>
    <row r="17" spans="1:35" ht="15.6">
      <c r="A17" s="580">
        <v>46197.625</v>
      </c>
      <c r="B17" s="13"/>
      <c r="C17" s="580">
        <f t="shared" ca="1" si="9"/>
        <v>46197.625</v>
      </c>
      <c r="D17" s="608"/>
      <c r="E17" s="608"/>
      <c r="P17" s="13">
        <v>15</v>
      </c>
      <c r="Q17" s="13" t="str">
        <f t="shared" ca="1" si="3"/>
        <v>Costa de Marfil</v>
      </c>
      <c r="R17" s="13">
        <f t="shared" ca="1" si="10"/>
        <v>0</v>
      </c>
      <c r="S17" s="611">
        <f t="shared" ca="1" si="10"/>
        <v>0</v>
      </c>
      <c r="T17" s="13">
        <f t="shared" ca="1" si="0"/>
        <v>0</v>
      </c>
      <c r="U17" s="13">
        <f t="shared" ca="1" si="10"/>
        <v>4</v>
      </c>
      <c r="V17" s="611">
        <f t="shared" ca="1" si="10"/>
        <v>0.16666666666666666</v>
      </c>
      <c r="W17" s="13">
        <f t="shared" ca="1" si="10"/>
        <v>1</v>
      </c>
      <c r="X17" s="13">
        <f t="shared" ca="1" si="1"/>
        <v>0</v>
      </c>
      <c r="AA17" s="13">
        <v>15</v>
      </c>
      <c r="AB17" s="13" t="str">
        <f ca="1">Idiomas!D216</f>
        <v>Croacia</v>
      </c>
      <c r="AC17" s="610">
        <v>2</v>
      </c>
      <c r="AD17" s="611">
        <f t="shared" si="4"/>
        <v>8.3333333333333329E-2</v>
      </c>
      <c r="AE17" s="13">
        <v>0</v>
      </c>
      <c r="AF17" s="13">
        <f t="shared" ca="1" si="5"/>
        <v>6</v>
      </c>
      <c r="AG17" s="611">
        <f t="shared" ca="1" si="6"/>
        <v>0.25</v>
      </c>
      <c r="AH17" s="13">
        <f t="shared" ca="1" si="7"/>
        <v>1</v>
      </c>
      <c r="AI17" s="13">
        <f t="shared" ca="1" si="8"/>
        <v>16</v>
      </c>
    </row>
    <row r="18" spans="1:35" ht="15.6">
      <c r="A18" s="13"/>
      <c r="B18" s="13"/>
      <c r="C18" s="580"/>
      <c r="P18" s="13">
        <v>16</v>
      </c>
      <c r="Q18" s="13" t="str">
        <f t="shared" ca="1" si="3"/>
        <v>Croacia</v>
      </c>
      <c r="R18" s="13">
        <f t="shared" ca="1" si="10"/>
        <v>2</v>
      </c>
      <c r="S18" s="611">
        <f t="shared" ca="1" si="10"/>
        <v>8.3333333333333329E-2</v>
      </c>
      <c r="T18" s="13">
        <f t="shared" ca="1" si="0"/>
        <v>0</v>
      </c>
      <c r="U18" s="13">
        <f t="shared" ca="1" si="10"/>
        <v>6</v>
      </c>
      <c r="V18" s="611">
        <f t="shared" ca="1" si="10"/>
        <v>0.25</v>
      </c>
      <c r="W18" s="13">
        <f t="shared" ca="1" si="10"/>
        <v>1</v>
      </c>
      <c r="X18" s="13">
        <f t="shared" ca="1" si="1"/>
        <v>0</v>
      </c>
      <c r="AA18" s="13">
        <v>16</v>
      </c>
      <c r="AB18" s="13" t="str">
        <f ca="1">Idiomas!D217</f>
        <v>Curazao</v>
      </c>
      <c r="AC18" s="610">
        <v>-4</v>
      </c>
      <c r="AD18" s="611">
        <f t="shared" si="4"/>
        <v>0.16666666666666666</v>
      </c>
      <c r="AE18" s="13">
        <v>0</v>
      </c>
      <c r="AF18" s="13">
        <f t="shared" ca="1" si="5"/>
        <v>0</v>
      </c>
      <c r="AG18" s="611">
        <f t="shared" ca="1" si="6"/>
        <v>0</v>
      </c>
      <c r="AH18" s="13">
        <f t="shared" ca="1" si="7"/>
        <v>0</v>
      </c>
      <c r="AI18" s="13">
        <f t="shared" ca="1" si="8"/>
        <v>17</v>
      </c>
    </row>
    <row r="19" spans="1:35" ht="15.6">
      <c r="A19" s="7" t="s">
        <v>9</v>
      </c>
      <c r="B19" s="13"/>
      <c r="C19" s="580"/>
      <c r="P19" s="13">
        <v>17</v>
      </c>
      <c r="Q19" s="13" t="str">
        <f t="shared" ca="1" si="3"/>
        <v>Curazao</v>
      </c>
      <c r="R19" s="13">
        <f t="shared" ca="1" si="10"/>
        <v>-4</v>
      </c>
      <c r="S19" s="611">
        <f t="shared" ca="1" si="10"/>
        <v>0.16666666666666666</v>
      </c>
      <c r="T19" s="13">
        <f t="shared" ca="1" si="10"/>
        <v>0</v>
      </c>
      <c r="U19" s="13">
        <f t="shared" ca="1" si="10"/>
        <v>0</v>
      </c>
      <c r="V19" s="611">
        <f t="shared" ca="1" si="10"/>
        <v>0</v>
      </c>
      <c r="W19" s="13">
        <f t="shared" ca="1" si="10"/>
        <v>0</v>
      </c>
      <c r="X19" s="13">
        <f t="shared" ca="1" si="1"/>
        <v>0</v>
      </c>
      <c r="AA19" s="13">
        <v>17</v>
      </c>
      <c r="AB19" s="13" t="str">
        <f ca="1">Idiomas!D218</f>
        <v>Ecuador</v>
      </c>
      <c r="AC19" s="610">
        <v>-5</v>
      </c>
      <c r="AD19" s="611">
        <f t="shared" si="4"/>
        <v>0.20833333333333334</v>
      </c>
      <c r="AE19" s="13">
        <v>0</v>
      </c>
      <c r="AF19" s="13">
        <f t="shared" ca="1" si="5"/>
        <v>-1</v>
      </c>
      <c r="AG19" s="611">
        <f t="shared" ca="1" si="6"/>
        <v>4.1666666666666664E-2</v>
      </c>
      <c r="AH19" s="13">
        <f t="shared" ca="1" si="7"/>
        <v>-1</v>
      </c>
      <c r="AI19" s="13">
        <f t="shared" ca="1" si="8"/>
        <v>18</v>
      </c>
    </row>
    <row r="20" spans="1:35" ht="15.6">
      <c r="A20" s="580">
        <v>46186.75</v>
      </c>
      <c r="B20" s="13"/>
      <c r="C20" s="580">
        <f t="shared" ref="C20:C25" ca="1" si="11">A20+INDEX($V$3:$V$86,MATCH($C$3,$P$3:$P$86,0))*INDEX($W$3:$W$86,MATCH($C$3,$P$3:$P$86,0))</f>
        <v>46186.75</v>
      </c>
      <c r="D20" s="608"/>
      <c r="E20" s="608"/>
      <c r="P20" s="13">
        <v>18</v>
      </c>
      <c r="Q20" s="13" t="str">
        <f t="shared" ca="1" si="3"/>
        <v>Ecuador</v>
      </c>
      <c r="R20" s="13">
        <f t="shared" ca="1" si="10"/>
        <v>-5</v>
      </c>
      <c r="S20" s="611">
        <f t="shared" ca="1" si="10"/>
        <v>0.20833333333333334</v>
      </c>
      <c r="T20" s="13">
        <f t="shared" ca="1" si="10"/>
        <v>0</v>
      </c>
      <c r="U20" s="13">
        <f t="shared" ca="1" si="10"/>
        <v>-1</v>
      </c>
      <c r="V20" s="611">
        <f t="shared" ca="1" si="10"/>
        <v>4.1666666666666664E-2</v>
      </c>
      <c r="W20" s="13">
        <f t="shared" ca="1" si="10"/>
        <v>-1</v>
      </c>
      <c r="X20" s="13">
        <f t="shared" ca="1" si="1"/>
        <v>0</v>
      </c>
      <c r="AA20" s="13">
        <v>18</v>
      </c>
      <c r="AB20" s="13" t="str">
        <f ca="1">Idiomas!D219</f>
        <v>Egipto</v>
      </c>
      <c r="AC20" s="610">
        <v>3</v>
      </c>
      <c r="AD20" s="611">
        <f t="shared" si="4"/>
        <v>0.125</v>
      </c>
      <c r="AE20" s="13">
        <v>0</v>
      </c>
      <c r="AF20" s="13">
        <f t="shared" ca="1" si="5"/>
        <v>7</v>
      </c>
      <c r="AG20" s="611">
        <f t="shared" ca="1" si="6"/>
        <v>0.29166666666666669</v>
      </c>
      <c r="AH20" s="13">
        <f t="shared" ca="1" si="7"/>
        <v>1</v>
      </c>
      <c r="AI20" s="13">
        <f t="shared" ca="1" si="8"/>
        <v>19</v>
      </c>
    </row>
    <row r="21" spans="1:35" ht="15.6">
      <c r="A21" s="580">
        <v>46186.875</v>
      </c>
      <c r="B21" s="13"/>
      <c r="C21" s="580">
        <f t="shared" ca="1" si="11"/>
        <v>46186.875</v>
      </c>
      <c r="D21" s="608"/>
      <c r="E21" s="608"/>
      <c r="P21" s="13">
        <v>19</v>
      </c>
      <c r="Q21" s="13" t="str">
        <f t="shared" ca="1" si="3"/>
        <v>Egipto</v>
      </c>
      <c r="R21" s="13">
        <f t="shared" ca="1" si="10"/>
        <v>3</v>
      </c>
      <c r="S21" s="611">
        <f t="shared" ca="1" si="10"/>
        <v>0.125</v>
      </c>
      <c r="T21" s="13">
        <f t="shared" ca="1" si="10"/>
        <v>0</v>
      </c>
      <c r="U21" s="13">
        <f t="shared" ca="1" si="10"/>
        <v>7</v>
      </c>
      <c r="V21" s="611">
        <f t="shared" ca="1" si="10"/>
        <v>0.29166666666666669</v>
      </c>
      <c r="W21" s="13">
        <f t="shared" ca="1" si="10"/>
        <v>1</v>
      </c>
      <c r="X21" s="13">
        <f t="shared" ca="1" si="1"/>
        <v>0</v>
      </c>
      <c r="AA21" s="13">
        <v>19</v>
      </c>
      <c r="AB21" s="13" t="str">
        <f ca="1">Idiomas!D220</f>
        <v>Escocia</v>
      </c>
      <c r="AC21" s="610">
        <v>1</v>
      </c>
      <c r="AD21" s="611">
        <f t="shared" si="4"/>
        <v>4.1666666666666664E-2</v>
      </c>
      <c r="AE21" s="13">
        <v>0</v>
      </c>
      <c r="AF21" s="13">
        <f t="shared" ca="1" si="5"/>
        <v>5</v>
      </c>
      <c r="AG21" s="611">
        <f t="shared" ca="1" si="6"/>
        <v>0.20833333333333334</v>
      </c>
      <c r="AH21" s="13">
        <f t="shared" ca="1" si="7"/>
        <v>1</v>
      </c>
      <c r="AI21" s="13">
        <f t="shared" ca="1" si="8"/>
        <v>20</v>
      </c>
    </row>
    <row r="22" spans="1:35" ht="15.6">
      <c r="A22" s="580">
        <v>46192.75</v>
      </c>
      <c r="B22" s="13"/>
      <c r="C22" s="580">
        <f t="shared" ca="1" si="11"/>
        <v>46192.75</v>
      </c>
      <c r="D22" s="608"/>
      <c r="E22" s="608"/>
      <c r="P22" s="13">
        <v>20</v>
      </c>
      <c r="Q22" s="13" t="str">
        <f t="shared" ca="1" si="3"/>
        <v>Escocia</v>
      </c>
      <c r="R22" s="13">
        <f t="shared" ca="1" si="10"/>
        <v>1</v>
      </c>
      <c r="S22" s="611">
        <f t="shared" ca="1" si="10"/>
        <v>4.1666666666666664E-2</v>
      </c>
      <c r="T22" s="13">
        <f t="shared" ca="1" si="10"/>
        <v>0</v>
      </c>
      <c r="U22" s="13">
        <f t="shared" ca="1" si="10"/>
        <v>5</v>
      </c>
      <c r="V22" s="611">
        <f t="shared" ca="1" si="10"/>
        <v>0.20833333333333334</v>
      </c>
      <c r="W22" s="13">
        <f t="shared" ca="1" si="10"/>
        <v>1</v>
      </c>
      <c r="X22" s="13">
        <f t="shared" ca="1" si="1"/>
        <v>0</v>
      </c>
      <c r="AA22" s="13">
        <v>20</v>
      </c>
      <c r="AB22" s="13" t="str">
        <f ca="1">Idiomas!D221</f>
        <v>España</v>
      </c>
      <c r="AC22" s="610">
        <v>2</v>
      </c>
      <c r="AD22" s="611">
        <f t="shared" si="4"/>
        <v>8.3333333333333329E-2</v>
      </c>
      <c r="AE22" s="13">
        <v>0</v>
      </c>
      <c r="AF22" s="13">
        <f t="shared" ca="1" si="5"/>
        <v>6</v>
      </c>
      <c r="AG22" s="611">
        <f t="shared" ca="1" si="6"/>
        <v>0.25</v>
      </c>
      <c r="AH22" s="13">
        <f t="shared" ca="1" si="7"/>
        <v>1</v>
      </c>
      <c r="AI22" s="13">
        <f t="shared" ca="1" si="8"/>
        <v>21</v>
      </c>
    </row>
    <row r="23" spans="1:35" ht="15.6">
      <c r="A23" s="580">
        <v>46192.854166666664</v>
      </c>
      <c r="B23" s="13"/>
      <c r="C23" s="580">
        <f t="shared" ca="1" si="11"/>
        <v>46192.854166666664</v>
      </c>
      <c r="D23" s="608"/>
      <c r="E23" s="608"/>
      <c r="P23" s="13">
        <v>21</v>
      </c>
      <c r="Q23" s="13" t="str">
        <f t="shared" ca="1" si="3"/>
        <v>España</v>
      </c>
      <c r="R23" s="13">
        <f t="shared" ref="R23:W38" ca="1" si="12">+INDEX($AC$3:$AH$86,MATCH($Q23,$AB$3:$AB$86,0),MATCH(R$2,$AC$2:$AH$2,0))</f>
        <v>2</v>
      </c>
      <c r="S23" s="611">
        <f t="shared" ca="1" si="12"/>
        <v>8.3333333333333329E-2</v>
      </c>
      <c r="T23" s="13">
        <f t="shared" ca="1" si="10"/>
        <v>0</v>
      </c>
      <c r="U23" s="13">
        <f t="shared" ca="1" si="12"/>
        <v>6</v>
      </c>
      <c r="V23" s="611">
        <f t="shared" ca="1" si="12"/>
        <v>0.25</v>
      </c>
      <c r="W23" s="13">
        <f t="shared" ca="1" si="12"/>
        <v>1</v>
      </c>
      <c r="X23" s="13">
        <f t="shared" ca="1" si="1"/>
        <v>0</v>
      </c>
      <c r="AA23" s="13">
        <v>21</v>
      </c>
      <c r="AB23" s="13" t="str">
        <f ca="1">Idiomas!D222</f>
        <v>Estados Unidos</v>
      </c>
      <c r="AC23" s="610">
        <v>-4</v>
      </c>
      <c r="AD23" s="611">
        <f t="shared" si="4"/>
        <v>0.16666666666666666</v>
      </c>
      <c r="AE23" s="13">
        <v>1</v>
      </c>
      <c r="AF23" s="13">
        <f t="shared" ca="1" si="5"/>
        <v>0</v>
      </c>
      <c r="AG23" s="611">
        <f t="shared" ca="1" si="6"/>
        <v>0</v>
      </c>
      <c r="AH23" s="13">
        <f t="shared" ca="1" si="7"/>
        <v>0</v>
      </c>
      <c r="AI23" s="13">
        <f t="shared" ca="1" si="8"/>
        <v>22</v>
      </c>
    </row>
    <row r="24" spans="1:35" ht="15.6">
      <c r="A24" s="580">
        <v>46197.75</v>
      </c>
      <c r="B24" s="13"/>
      <c r="C24" s="580">
        <f t="shared" ca="1" si="11"/>
        <v>46197.75</v>
      </c>
      <c r="D24" s="608"/>
      <c r="E24" s="608"/>
      <c r="P24" s="13">
        <v>22</v>
      </c>
      <c r="Q24" s="13" t="str">
        <f t="shared" ca="1" si="3"/>
        <v>Estados Unidos</v>
      </c>
      <c r="R24" s="13">
        <f t="shared" ca="1" si="12"/>
        <v>-4</v>
      </c>
      <c r="S24" s="611">
        <f t="shared" ca="1" si="12"/>
        <v>0.16666666666666666</v>
      </c>
      <c r="T24" s="13">
        <f t="shared" ca="1" si="10"/>
        <v>1</v>
      </c>
      <c r="U24" s="13">
        <f t="shared" ca="1" si="12"/>
        <v>0</v>
      </c>
      <c r="V24" s="611">
        <f t="shared" ca="1" si="12"/>
        <v>0</v>
      </c>
      <c r="W24" s="13">
        <f t="shared" ca="1" si="12"/>
        <v>0</v>
      </c>
      <c r="X24" s="13">
        <f t="shared" ca="1" si="1"/>
        <v>1</v>
      </c>
      <c r="AA24" s="13">
        <v>22</v>
      </c>
      <c r="AB24" s="13" t="str">
        <f ca="1">Idiomas!D223</f>
        <v>Francia</v>
      </c>
      <c r="AC24" s="610">
        <v>2</v>
      </c>
      <c r="AD24" s="611">
        <f t="shared" si="4"/>
        <v>8.3333333333333329E-2</v>
      </c>
      <c r="AE24" s="13">
        <v>0</v>
      </c>
      <c r="AF24" s="13">
        <f t="shared" ca="1" si="5"/>
        <v>6</v>
      </c>
      <c r="AG24" s="611">
        <f t="shared" ca="1" si="6"/>
        <v>0.25</v>
      </c>
      <c r="AH24" s="13">
        <f t="shared" ca="1" si="7"/>
        <v>1</v>
      </c>
      <c r="AI24" s="13">
        <f t="shared" ca="1" si="8"/>
        <v>23</v>
      </c>
    </row>
    <row r="25" spans="1:35" ht="15.6">
      <c r="A25" s="580">
        <v>46197.75</v>
      </c>
      <c r="B25" s="13"/>
      <c r="C25" s="580">
        <f t="shared" ca="1" si="11"/>
        <v>46197.75</v>
      </c>
      <c r="D25" s="608"/>
      <c r="E25" s="608"/>
      <c r="P25" s="13">
        <v>23</v>
      </c>
      <c r="Q25" s="13" t="str">
        <f t="shared" ca="1" si="3"/>
        <v>Francia</v>
      </c>
      <c r="R25" s="13">
        <f t="shared" ca="1" si="12"/>
        <v>2</v>
      </c>
      <c r="S25" s="611">
        <f t="shared" ca="1" si="12"/>
        <v>8.3333333333333329E-2</v>
      </c>
      <c r="T25" s="13">
        <f t="shared" ca="1" si="10"/>
        <v>0</v>
      </c>
      <c r="U25" s="13">
        <f t="shared" ca="1" si="12"/>
        <v>6</v>
      </c>
      <c r="V25" s="611">
        <f t="shared" ca="1" si="12"/>
        <v>0.25</v>
      </c>
      <c r="W25" s="13">
        <f t="shared" ca="1" si="12"/>
        <v>1</v>
      </c>
      <c r="X25" s="13">
        <f t="shared" ca="1" si="1"/>
        <v>0</v>
      </c>
      <c r="AA25" s="13">
        <v>23</v>
      </c>
      <c r="AB25" s="13" t="str">
        <f ca="1">Idiomas!D224</f>
        <v>Ghana</v>
      </c>
      <c r="AC25" s="610">
        <v>0</v>
      </c>
      <c r="AD25" s="611">
        <f t="shared" si="4"/>
        <v>0</v>
      </c>
      <c r="AE25" s="13">
        <v>0</v>
      </c>
      <c r="AF25" s="13">
        <f t="shared" ca="1" si="5"/>
        <v>4</v>
      </c>
      <c r="AG25" s="611">
        <f t="shared" ca="1" si="6"/>
        <v>0.16666666666666666</v>
      </c>
      <c r="AH25" s="13">
        <f t="shared" ca="1" si="7"/>
        <v>1</v>
      </c>
      <c r="AI25" s="13">
        <f t="shared" ca="1" si="8"/>
        <v>24</v>
      </c>
    </row>
    <row r="26" spans="1:35" ht="15.6">
      <c r="A26" s="13"/>
      <c r="B26" s="13"/>
      <c r="C26" s="580"/>
      <c r="E26" s="608"/>
      <c r="P26" s="13">
        <v>24</v>
      </c>
      <c r="Q26" s="13" t="str">
        <f t="shared" ca="1" si="3"/>
        <v>Ghana</v>
      </c>
      <c r="R26" s="13">
        <f t="shared" ca="1" si="12"/>
        <v>0</v>
      </c>
      <c r="S26" s="611">
        <f t="shared" ca="1" si="12"/>
        <v>0</v>
      </c>
      <c r="T26" s="13">
        <f t="shared" ca="1" si="10"/>
        <v>0</v>
      </c>
      <c r="U26" s="13">
        <f t="shared" ca="1" si="12"/>
        <v>4</v>
      </c>
      <c r="V26" s="611">
        <f t="shared" ca="1" si="12"/>
        <v>0.16666666666666666</v>
      </c>
      <c r="W26" s="13">
        <f t="shared" ca="1" si="12"/>
        <v>1</v>
      </c>
      <c r="X26" s="13">
        <f t="shared" ca="1" si="1"/>
        <v>0</v>
      </c>
      <c r="AA26" s="13">
        <v>24</v>
      </c>
      <c r="AB26" s="13" t="str">
        <f ca="1">Idiomas!D225</f>
        <v>Haití</v>
      </c>
      <c r="AC26" s="610">
        <v>-4</v>
      </c>
      <c r="AD26" s="611">
        <f t="shared" si="4"/>
        <v>0.16666666666666666</v>
      </c>
      <c r="AE26" s="13">
        <v>0</v>
      </c>
      <c r="AF26" s="13">
        <f t="shared" ca="1" si="5"/>
        <v>0</v>
      </c>
      <c r="AG26" s="611">
        <f t="shared" ca="1" si="6"/>
        <v>0</v>
      </c>
      <c r="AH26" s="13">
        <f t="shared" ca="1" si="7"/>
        <v>0</v>
      </c>
      <c r="AI26" s="13">
        <f t="shared" ca="1" si="8"/>
        <v>25</v>
      </c>
    </row>
    <row r="27" spans="1:35" ht="15.6">
      <c r="A27" s="7" t="s">
        <v>82</v>
      </c>
      <c r="B27" s="13"/>
      <c r="C27" s="580"/>
      <c r="E27" s="608"/>
      <c r="P27" s="13">
        <v>25</v>
      </c>
      <c r="Q27" s="13" t="str">
        <f t="shared" ca="1" si="3"/>
        <v>Haití</v>
      </c>
      <c r="R27" s="13">
        <f t="shared" ca="1" si="12"/>
        <v>-4</v>
      </c>
      <c r="S27" s="611">
        <f t="shared" ca="1" si="12"/>
        <v>0.16666666666666666</v>
      </c>
      <c r="T27" s="13">
        <f t="shared" ca="1" si="10"/>
        <v>0</v>
      </c>
      <c r="U27" s="13">
        <f t="shared" ca="1" si="12"/>
        <v>0</v>
      </c>
      <c r="V27" s="611">
        <f t="shared" ca="1" si="12"/>
        <v>0</v>
      </c>
      <c r="W27" s="13">
        <f t="shared" ca="1" si="12"/>
        <v>0</v>
      </c>
      <c r="X27" s="13">
        <f t="shared" ca="1" si="1"/>
        <v>0</v>
      </c>
      <c r="AA27" s="13">
        <v>25</v>
      </c>
      <c r="AB27" s="13" t="str">
        <f ca="1">Idiomas!D226</f>
        <v>Inglaterra</v>
      </c>
      <c r="AC27" s="610">
        <v>1</v>
      </c>
      <c r="AD27" s="611">
        <f t="shared" si="4"/>
        <v>4.1666666666666664E-2</v>
      </c>
      <c r="AE27" s="13">
        <v>0</v>
      </c>
      <c r="AF27" s="13">
        <f t="shared" ca="1" si="5"/>
        <v>5</v>
      </c>
      <c r="AG27" s="611">
        <f t="shared" ca="1" si="6"/>
        <v>0.20833333333333334</v>
      </c>
      <c r="AH27" s="13">
        <f t="shared" ca="1" si="7"/>
        <v>1</v>
      </c>
      <c r="AI27" s="13">
        <f t="shared" ca="1" si="8"/>
        <v>26</v>
      </c>
    </row>
    <row r="28" spans="1:35" ht="15.6">
      <c r="A28" s="580">
        <v>46185.875</v>
      </c>
      <c r="B28" s="13"/>
      <c r="C28" s="580">
        <f t="shared" ref="C28:C33" ca="1" si="13">A28+INDEX($V$3:$V$86,MATCH($C$3,$P$3:$P$86,0))*INDEX($W$3:$W$86,MATCH($C$3,$P$3:$P$86,0))</f>
        <v>46185.875</v>
      </c>
      <c r="D28" s="608"/>
      <c r="E28" s="608"/>
      <c r="P28" s="13">
        <v>26</v>
      </c>
      <c r="Q28" s="13" t="str">
        <f t="shared" ca="1" si="3"/>
        <v>Inglaterra</v>
      </c>
      <c r="R28" s="13">
        <f t="shared" ca="1" si="12"/>
        <v>1</v>
      </c>
      <c r="S28" s="611">
        <f t="shared" ca="1" si="12"/>
        <v>4.1666666666666664E-2</v>
      </c>
      <c r="T28" s="13">
        <f t="shared" ca="1" si="10"/>
        <v>0</v>
      </c>
      <c r="U28" s="13">
        <f t="shared" ca="1" si="12"/>
        <v>5</v>
      </c>
      <c r="V28" s="611">
        <f t="shared" ca="1" si="12"/>
        <v>0.20833333333333334</v>
      </c>
      <c r="W28" s="13">
        <f t="shared" ca="1" si="12"/>
        <v>1</v>
      </c>
      <c r="X28" s="13">
        <f t="shared" ca="1" si="1"/>
        <v>0</v>
      </c>
      <c r="AA28" s="13">
        <v>26</v>
      </c>
      <c r="AB28" s="13" t="str">
        <f ca="1">Idiomas!D227</f>
        <v>Irán</v>
      </c>
      <c r="AC28" s="610">
        <f>+INDEX(Credits!$Y$87:$Y$91,MATCH(Credits!$EZ$6144,Credits!$U$87:$U$91,0))</f>
        <v>3.5</v>
      </c>
      <c r="AD28" s="611">
        <f t="shared" si="4"/>
        <v>0.14583333333333334</v>
      </c>
      <c r="AE28" s="13">
        <v>0</v>
      </c>
      <c r="AF28" s="13">
        <f t="shared" ca="1" si="5"/>
        <v>7.5</v>
      </c>
      <c r="AG28" s="611">
        <f t="shared" ca="1" si="6"/>
        <v>0.3125</v>
      </c>
      <c r="AH28" s="13">
        <f t="shared" ca="1" si="7"/>
        <v>1</v>
      </c>
      <c r="AI28" s="13">
        <f t="shared" ca="1" si="8"/>
        <v>28</v>
      </c>
    </row>
    <row r="29" spans="1:35" ht="15.6">
      <c r="A29" s="580">
        <v>46187</v>
      </c>
      <c r="B29" s="13"/>
      <c r="C29" s="580">
        <f t="shared" ca="1" si="13"/>
        <v>46187</v>
      </c>
      <c r="D29" s="608"/>
      <c r="E29" s="608"/>
      <c r="P29" s="13">
        <v>27</v>
      </c>
      <c r="Q29" s="13" t="str">
        <f t="shared" ca="1" si="3"/>
        <v>Irak</v>
      </c>
      <c r="R29" s="13">
        <f t="shared" ca="1" si="12"/>
        <v>3</v>
      </c>
      <c r="S29" s="611">
        <f t="shared" ca="1" si="12"/>
        <v>0.125</v>
      </c>
      <c r="T29" s="13">
        <f t="shared" ca="1" si="12"/>
        <v>0</v>
      </c>
      <c r="U29" s="13">
        <f t="shared" ca="1" si="12"/>
        <v>7</v>
      </c>
      <c r="V29" s="611">
        <f t="shared" ca="1" si="12"/>
        <v>0.29166666666666669</v>
      </c>
      <c r="W29" s="13">
        <f t="shared" ca="1" si="12"/>
        <v>1</v>
      </c>
      <c r="X29" s="13">
        <f t="shared" ca="1" si="1"/>
        <v>0</v>
      </c>
      <c r="AA29" s="13">
        <v>27</v>
      </c>
      <c r="AB29" s="13" t="str">
        <f ca="1">Idiomas!D228</f>
        <v>Japón</v>
      </c>
      <c r="AC29" s="610">
        <v>9</v>
      </c>
      <c r="AD29" s="611">
        <f t="shared" si="4"/>
        <v>0.375</v>
      </c>
      <c r="AE29" s="13">
        <v>0</v>
      </c>
      <c r="AF29" s="13">
        <f t="shared" ca="1" si="5"/>
        <v>13</v>
      </c>
      <c r="AG29" s="611">
        <f t="shared" ca="1" si="6"/>
        <v>0.54166666666666663</v>
      </c>
      <c r="AH29" s="13">
        <f t="shared" ca="1" si="7"/>
        <v>1</v>
      </c>
      <c r="AI29" s="13">
        <f t="shared" ca="1" si="8"/>
        <v>29</v>
      </c>
    </row>
    <row r="30" spans="1:35" ht="15.6">
      <c r="A30" s="580">
        <v>46192.625</v>
      </c>
      <c r="B30" s="13"/>
      <c r="C30" s="580">
        <f t="shared" ca="1" si="13"/>
        <v>46192.625</v>
      </c>
      <c r="D30" s="608"/>
      <c r="E30" s="608"/>
      <c r="P30" s="13">
        <v>28</v>
      </c>
      <c r="Q30" s="13" t="str">
        <f t="shared" ca="1" si="3"/>
        <v>Irán</v>
      </c>
      <c r="R30" s="13">
        <f t="shared" ca="1" si="12"/>
        <v>3.5</v>
      </c>
      <c r="S30" s="611">
        <f t="shared" ca="1" si="12"/>
        <v>0.14583333333333334</v>
      </c>
      <c r="T30" s="13">
        <f t="shared" ca="1" si="12"/>
        <v>0</v>
      </c>
      <c r="U30" s="13">
        <f t="shared" ca="1" si="12"/>
        <v>7.5</v>
      </c>
      <c r="V30" s="611">
        <f t="shared" ca="1" si="12"/>
        <v>0.3125</v>
      </c>
      <c r="W30" s="13">
        <f t="shared" ca="1" si="12"/>
        <v>1</v>
      </c>
      <c r="X30" s="13">
        <f t="shared" ca="1" si="1"/>
        <v>0</v>
      </c>
      <c r="AA30" s="13">
        <v>28</v>
      </c>
      <c r="AB30" s="13" t="str">
        <f ca="1">Idiomas!D229</f>
        <v>Jordania</v>
      </c>
      <c r="AC30" s="610">
        <v>3</v>
      </c>
      <c r="AD30" s="611">
        <f t="shared" si="4"/>
        <v>0.125</v>
      </c>
      <c r="AE30" s="13">
        <v>0</v>
      </c>
      <c r="AF30" s="13">
        <f t="shared" ca="1" si="5"/>
        <v>7</v>
      </c>
      <c r="AG30" s="611">
        <f t="shared" ca="1" si="6"/>
        <v>0.29166666666666669</v>
      </c>
      <c r="AH30" s="13">
        <f t="shared" ca="1" si="7"/>
        <v>1</v>
      </c>
      <c r="AI30" s="13">
        <f t="shared" ca="1" si="8"/>
        <v>30</v>
      </c>
    </row>
    <row r="31" spans="1:35" ht="15.6">
      <c r="A31" s="580">
        <v>46192.958333333336</v>
      </c>
      <c r="B31" s="13"/>
      <c r="C31" s="580">
        <f t="shared" ca="1" si="13"/>
        <v>46192.958333333336</v>
      </c>
      <c r="D31" s="608"/>
      <c r="E31" s="608"/>
      <c r="P31" s="13">
        <v>29</v>
      </c>
      <c r="Q31" s="13" t="str">
        <f t="shared" ca="1" si="3"/>
        <v>Japón</v>
      </c>
      <c r="R31" s="13">
        <f t="shared" ca="1" si="12"/>
        <v>9</v>
      </c>
      <c r="S31" s="611">
        <f t="shared" ca="1" si="12"/>
        <v>0.375</v>
      </c>
      <c r="T31" s="13">
        <f t="shared" ca="1" si="12"/>
        <v>0</v>
      </c>
      <c r="U31" s="13">
        <f t="shared" ca="1" si="12"/>
        <v>13</v>
      </c>
      <c r="V31" s="611">
        <f t="shared" ca="1" si="12"/>
        <v>0.54166666666666663</v>
      </c>
      <c r="W31" s="13">
        <f t="shared" ca="1" si="12"/>
        <v>1</v>
      </c>
      <c r="X31" s="13">
        <f t="shared" ca="1" si="1"/>
        <v>0</v>
      </c>
      <c r="AA31" s="13">
        <v>29</v>
      </c>
      <c r="AB31" s="13" t="str">
        <f ca="1">Idiomas!D230</f>
        <v>Marruecos</v>
      </c>
      <c r="AC31" s="610">
        <v>1</v>
      </c>
      <c r="AD31" s="611">
        <f t="shared" si="4"/>
        <v>4.1666666666666664E-2</v>
      </c>
      <c r="AE31" s="13">
        <v>0</v>
      </c>
      <c r="AF31" s="13">
        <f t="shared" ca="1" si="5"/>
        <v>5</v>
      </c>
      <c r="AG31" s="611">
        <f t="shared" ca="1" si="6"/>
        <v>0.20833333333333334</v>
      </c>
      <c r="AH31" s="13">
        <f t="shared" ca="1" si="7"/>
        <v>1</v>
      </c>
      <c r="AI31" s="13">
        <f t="shared" ca="1" si="8"/>
        <v>31</v>
      </c>
    </row>
    <row r="32" spans="1:35" ht="15.6">
      <c r="A32" s="580">
        <v>46198.916666666664</v>
      </c>
      <c r="B32" s="13"/>
      <c r="C32" s="580">
        <f t="shared" ca="1" si="13"/>
        <v>46198.916666666664</v>
      </c>
      <c r="D32" s="608"/>
      <c r="E32" s="608"/>
      <c r="P32" s="13">
        <v>30</v>
      </c>
      <c r="Q32" s="13" t="str">
        <f t="shared" ca="1" si="3"/>
        <v>Jordania</v>
      </c>
      <c r="R32" s="13">
        <f t="shared" ca="1" si="12"/>
        <v>3</v>
      </c>
      <c r="S32" s="611">
        <f t="shared" ca="1" si="12"/>
        <v>0.125</v>
      </c>
      <c r="T32" s="13">
        <f t="shared" ca="1" si="12"/>
        <v>0</v>
      </c>
      <c r="U32" s="13">
        <f t="shared" ca="1" si="12"/>
        <v>7</v>
      </c>
      <c r="V32" s="611">
        <f t="shared" ca="1" si="12"/>
        <v>0.29166666666666669</v>
      </c>
      <c r="W32" s="13">
        <f t="shared" ca="1" si="12"/>
        <v>1</v>
      </c>
      <c r="X32" s="13">
        <f t="shared" ca="1" si="1"/>
        <v>0</v>
      </c>
      <c r="AA32" s="13">
        <v>30</v>
      </c>
      <c r="AB32" s="13" t="str">
        <f ca="1">Idiomas!D231</f>
        <v>México</v>
      </c>
      <c r="AC32" s="610">
        <v>-6</v>
      </c>
      <c r="AD32" s="611">
        <f t="shared" si="4"/>
        <v>0.25</v>
      </c>
      <c r="AE32" s="13">
        <v>0</v>
      </c>
      <c r="AF32" s="13">
        <f t="shared" ca="1" si="5"/>
        <v>-2</v>
      </c>
      <c r="AG32" s="611">
        <f t="shared" ca="1" si="6"/>
        <v>8.3333333333333329E-2</v>
      </c>
      <c r="AH32" s="13">
        <f t="shared" ca="1" si="7"/>
        <v>-1</v>
      </c>
      <c r="AI32" s="13">
        <f t="shared" ca="1" si="8"/>
        <v>32</v>
      </c>
    </row>
    <row r="33" spans="1:35" ht="15.6">
      <c r="A33" s="580">
        <v>46198.916666666664</v>
      </c>
      <c r="B33" s="13"/>
      <c r="C33" s="580">
        <f t="shared" ca="1" si="13"/>
        <v>46198.916666666664</v>
      </c>
      <c r="D33" s="608"/>
      <c r="P33" s="13">
        <v>31</v>
      </c>
      <c r="Q33" s="13" t="str">
        <f t="shared" ca="1" si="3"/>
        <v>Marruecos</v>
      </c>
      <c r="R33" s="13">
        <f t="shared" ref="R33:W48" ca="1" si="14">+INDEX($AC$3:$AH$86,MATCH($Q33,$AB$3:$AB$86,0),MATCH(R$2,$AC$2:$AH$2,0))</f>
        <v>1</v>
      </c>
      <c r="S33" s="611">
        <f t="shared" ca="1" si="14"/>
        <v>4.1666666666666664E-2</v>
      </c>
      <c r="T33" s="13">
        <f t="shared" ca="1" si="12"/>
        <v>0</v>
      </c>
      <c r="U33" s="13">
        <f t="shared" ca="1" si="12"/>
        <v>5</v>
      </c>
      <c r="V33" s="611">
        <f t="shared" ca="1" si="14"/>
        <v>0.20833333333333334</v>
      </c>
      <c r="W33" s="13">
        <f t="shared" ca="1" si="14"/>
        <v>1</v>
      </c>
      <c r="X33" s="13">
        <f t="shared" ca="1" si="1"/>
        <v>0</v>
      </c>
      <c r="AA33" s="13">
        <v>31</v>
      </c>
      <c r="AB33" s="13" t="str">
        <f ca="1">Idiomas!D232</f>
        <v>Noruega</v>
      </c>
      <c r="AC33" s="610">
        <v>2</v>
      </c>
      <c r="AD33" s="611">
        <f t="shared" si="4"/>
        <v>8.3333333333333329E-2</v>
      </c>
      <c r="AE33" s="13">
        <v>0</v>
      </c>
      <c r="AF33" s="13">
        <f t="shared" ca="1" si="5"/>
        <v>6</v>
      </c>
      <c r="AG33" s="611">
        <f t="shared" ca="1" si="6"/>
        <v>0.25</v>
      </c>
      <c r="AH33" s="13">
        <f t="shared" ca="1" si="7"/>
        <v>1</v>
      </c>
      <c r="AI33" s="13">
        <f t="shared" ca="1" si="8"/>
        <v>33</v>
      </c>
    </row>
    <row r="34" spans="1:35" ht="15.6">
      <c r="A34" s="13"/>
      <c r="B34" s="13"/>
      <c r="C34" s="580"/>
      <c r="P34" s="13">
        <v>32</v>
      </c>
      <c r="Q34" s="13" t="str">
        <f t="shared" ca="1" si="3"/>
        <v>México</v>
      </c>
      <c r="R34" s="13">
        <f t="shared" ca="1" si="14"/>
        <v>-6</v>
      </c>
      <c r="S34" s="611">
        <f t="shared" ca="1" si="14"/>
        <v>0.25</v>
      </c>
      <c r="T34" s="13">
        <f t="shared" ca="1" si="12"/>
        <v>0</v>
      </c>
      <c r="U34" s="13">
        <f t="shared" ca="1" si="12"/>
        <v>-2</v>
      </c>
      <c r="V34" s="611">
        <f t="shared" ca="1" si="14"/>
        <v>8.3333333333333329E-2</v>
      </c>
      <c r="W34" s="13">
        <f t="shared" ca="1" si="14"/>
        <v>-1</v>
      </c>
      <c r="X34" s="13">
        <f t="shared" ca="1" si="1"/>
        <v>0</v>
      </c>
      <c r="AA34" s="13">
        <v>32</v>
      </c>
      <c r="AB34" s="13" t="str">
        <f ca="1">Idiomas!D233</f>
        <v>Nueva Zelanda</v>
      </c>
      <c r="AC34" s="610">
        <v>12</v>
      </c>
      <c r="AD34" s="611">
        <f t="shared" si="4"/>
        <v>0.5</v>
      </c>
      <c r="AE34" s="13">
        <v>0</v>
      </c>
      <c r="AF34" s="13">
        <f t="shared" ca="1" si="5"/>
        <v>16</v>
      </c>
      <c r="AG34" s="611">
        <f t="shared" ca="1" si="6"/>
        <v>0.66666666666666663</v>
      </c>
      <c r="AH34" s="13">
        <f t="shared" ca="1" si="7"/>
        <v>1</v>
      </c>
      <c r="AI34" s="13">
        <f t="shared" ca="1" si="8"/>
        <v>34</v>
      </c>
    </row>
    <row r="35" spans="1:35" ht="15.6">
      <c r="A35" s="7" t="s">
        <v>83</v>
      </c>
      <c r="B35" s="13"/>
      <c r="C35" s="580"/>
      <c r="P35" s="13">
        <v>33</v>
      </c>
      <c r="Q35" s="13" t="str">
        <f t="shared" ca="1" si="3"/>
        <v>Noruega</v>
      </c>
      <c r="R35" s="13">
        <f t="shared" ca="1" si="14"/>
        <v>2</v>
      </c>
      <c r="S35" s="611">
        <f t="shared" ca="1" si="14"/>
        <v>8.3333333333333329E-2</v>
      </c>
      <c r="T35" s="13">
        <f t="shared" ca="1" si="12"/>
        <v>0</v>
      </c>
      <c r="U35" s="13">
        <f t="shared" ca="1" si="12"/>
        <v>6</v>
      </c>
      <c r="V35" s="611">
        <f t="shared" ca="1" si="14"/>
        <v>0.25</v>
      </c>
      <c r="W35" s="13">
        <f t="shared" ca="1" si="14"/>
        <v>1</v>
      </c>
      <c r="X35" s="13">
        <f t="shared" ca="1" si="1"/>
        <v>0</v>
      </c>
      <c r="AA35" s="13">
        <v>33</v>
      </c>
      <c r="AB35" s="13" t="str">
        <f ca="1">Idiomas!D234</f>
        <v>Países Bajos</v>
      </c>
      <c r="AC35" s="610">
        <v>2</v>
      </c>
      <c r="AD35" s="611">
        <f t="shared" si="4"/>
        <v>8.3333333333333329E-2</v>
      </c>
      <c r="AE35" s="13">
        <v>0</v>
      </c>
      <c r="AF35" s="13">
        <f t="shared" ca="1" si="5"/>
        <v>6</v>
      </c>
      <c r="AG35" s="611">
        <f t="shared" ca="1" si="6"/>
        <v>0.25</v>
      </c>
      <c r="AH35" s="13">
        <f t="shared" ca="1" si="7"/>
        <v>1</v>
      </c>
      <c r="AI35" s="13">
        <f t="shared" ca="1" si="8"/>
        <v>35</v>
      </c>
    </row>
    <row r="36" spans="1:35" ht="15.6">
      <c r="A36" s="580">
        <v>46187.541666666664</v>
      </c>
      <c r="B36" s="13"/>
      <c r="C36" s="580">
        <f t="shared" ref="C36:C41" ca="1" si="15">A36+INDEX($V$3:$V$86,MATCH($C$3,$P$3:$P$86,0))*INDEX($W$3:$W$86,MATCH($C$3,$P$3:$P$86,0))</f>
        <v>46187.541666666664</v>
      </c>
      <c r="D36" s="608"/>
      <c r="P36" s="13">
        <v>34</v>
      </c>
      <c r="Q36" s="13" t="str">
        <f t="shared" ca="1" si="3"/>
        <v>Nueva Zelanda</v>
      </c>
      <c r="R36" s="13">
        <f t="shared" ca="1" si="14"/>
        <v>12</v>
      </c>
      <c r="S36" s="611">
        <f t="shared" ca="1" si="14"/>
        <v>0.5</v>
      </c>
      <c r="T36" s="13">
        <f t="shared" ca="1" si="12"/>
        <v>0</v>
      </c>
      <c r="U36" s="13">
        <f t="shared" ca="1" si="12"/>
        <v>16</v>
      </c>
      <c r="V36" s="611">
        <f t="shared" ca="1" si="14"/>
        <v>0.66666666666666663</v>
      </c>
      <c r="W36" s="13">
        <f t="shared" ca="1" si="14"/>
        <v>1</v>
      </c>
      <c r="X36" s="13">
        <f t="shared" ca="1" si="1"/>
        <v>0</v>
      </c>
      <c r="AA36" s="13">
        <v>34</v>
      </c>
      <c r="AB36" s="13" t="str">
        <f ca="1">Idiomas!D235</f>
        <v>Panamá</v>
      </c>
      <c r="AC36" s="610">
        <v>-5</v>
      </c>
      <c r="AD36" s="611">
        <f t="shared" si="4"/>
        <v>0.20833333333333334</v>
      </c>
      <c r="AE36" s="13">
        <v>0</v>
      </c>
      <c r="AF36" s="13">
        <f t="shared" ca="1" si="5"/>
        <v>-1</v>
      </c>
      <c r="AG36" s="611">
        <f t="shared" ca="1" si="6"/>
        <v>4.1666666666666664E-2</v>
      </c>
      <c r="AH36" s="13">
        <f t="shared" ca="1" si="7"/>
        <v>-1</v>
      </c>
      <c r="AI36" s="13">
        <f t="shared" ca="1" si="8"/>
        <v>36</v>
      </c>
    </row>
    <row r="37" spans="1:35" ht="15.6">
      <c r="A37" s="580">
        <v>46187.791666666664</v>
      </c>
      <c r="B37" s="13"/>
      <c r="C37" s="580">
        <f t="shared" ca="1" si="15"/>
        <v>46187.791666666664</v>
      </c>
      <c r="D37" s="608"/>
      <c r="P37" s="13">
        <v>35</v>
      </c>
      <c r="Q37" s="13" t="str">
        <f t="shared" ca="1" si="3"/>
        <v>Países Bajos</v>
      </c>
      <c r="R37" s="13">
        <f t="shared" ca="1" si="14"/>
        <v>2</v>
      </c>
      <c r="S37" s="611">
        <f t="shared" ca="1" si="14"/>
        <v>8.3333333333333329E-2</v>
      </c>
      <c r="T37" s="13">
        <f t="shared" ca="1" si="12"/>
        <v>0</v>
      </c>
      <c r="U37" s="13">
        <f t="shared" ca="1" si="12"/>
        <v>6</v>
      </c>
      <c r="V37" s="611">
        <f t="shared" ca="1" si="14"/>
        <v>0.25</v>
      </c>
      <c r="W37" s="13">
        <f t="shared" ca="1" si="14"/>
        <v>1</v>
      </c>
      <c r="X37" s="13">
        <f t="shared" ca="1" si="1"/>
        <v>0</v>
      </c>
      <c r="AA37" s="13">
        <v>35</v>
      </c>
      <c r="AB37" s="13" t="str">
        <f ca="1">Idiomas!D236</f>
        <v>Paraguay</v>
      </c>
      <c r="AC37" s="610">
        <v>-4</v>
      </c>
      <c r="AD37" s="611">
        <f t="shared" si="4"/>
        <v>0.16666666666666666</v>
      </c>
      <c r="AE37" s="13">
        <v>0</v>
      </c>
      <c r="AF37" s="13">
        <f t="shared" ca="1" si="5"/>
        <v>0</v>
      </c>
      <c r="AG37" s="611">
        <f t="shared" ca="1" si="6"/>
        <v>0</v>
      </c>
      <c r="AH37" s="13">
        <f t="shared" ca="1" si="7"/>
        <v>0</v>
      </c>
      <c r="AI37" s="13">
        <f t="shared" ca="1" si="8"/>
        <v>37</v>
      </c>
    </row>
    <row r="38" spans="1:35" ht="15.6">
      <c r="A38" s="580">
        <v>46193.666666666664</v>
      </c>
      <c r="B38" s="13"/>
      <c r="C38" s="580">
        <f t="shared" ca="1" si="15"/>
        <v>46193.666666666664</v>
      </c>
      <c r="D38" s="608"/>
      <c r="P38" s="13">
        <v>36</v>
      </c>
      <c r="Q38" s="13" t="str">
        <f t="shared" ca="1" si="3"/>
        <v>Panamá</v>
      </c>
      <c r="R38" s="13">
        <f t="shared" ca="1" si="14"/>
        <v>-5</v>
      </c>
      <c r="S38" s="611">
        <f t="shared" ca="1" si="14"/>
        <v>0.20833333333333334</v>
      </c>
      <c r="T38" s="13">
        <f t="shared" ca="1" si="12"/>
        <v>0</v>
      </c>
      <c r="U38" s="13">
        <f t="shared" ca="1" si="12"/>
        <v>-1</v>
      </c>
      <c r="V38" s="611">
        <f t="shared" ca="1" si="14"/>
        <v>4.1666666666666664E-2</v>
      </c>
      <c r="W38" s="13">
        <f t="shared" ca="1" si="14"/>
        <v>-1</v>
      </c>
      <c r="X38" s="13">
        <f t="shared" ca="1" si="1"/>
        <v>0</v>
      </c>
      <c r="AA38" s="13">
        <v>36</v>
      </c>
      <c r="AB38" s="13" t="str">
        <f ca="1">Idiomas!D237</f>
        <v>Portugal</v>
      </c>
      <c r="AC38" s="610">
        <v>1</v>
      </c>
      <c r="AD38" s="611">
        <f t="shared" si="4"/>
        <v>4.1666666666666664E-2</v>
      </c>
      <c r="AE38" s="13">
        <v>0</v>
      </c>
      <c r="AF38" s="13">
        <f t="shared" ca="1" si="5"/>
        <v>5</v>
      </c>
      <c r="AG38" s="611">
        <f t="shared" ca="1" si="6"/>
        <v>0.20833333333333334</v>
      </c>
      <c r="AH38" s="13">
        <f t="shared" ca="1" si="7"/>
        <v>1</v>
      </c>
      <c r="AI38" s="13">
        <f t="shared" ca="1" si="8"/>
        <v>38</v>
      </c>
    </row>
    <row r="39" spans="1:35" ht="15.6">
      <c r="A39" s="580">
        <v>46193.833333333336</v>
      </c>
      <c r="B39" s="13"/>
      <c r="C39" s="580">
        <f t="shared" ca="1" si="15"/>
        <v>46193.833333333336</v>
      </c>
      <c r="D39" s="608"/>
      <c r="P39" s="13">
        <v>37</v>
      </c>
      <c r="Q39" s="13" t="str">
        <f t="shared" ca="1" si="3"/>
        <v>Paraguay</v>
      </c>
      <c r="R39" s="13">
        <f t="shared" ca="1" si="14"/>
        <v>-4</v>
      </c>
      <c r="S39" s="611">
        <f t="shared" ca="1" si="14"/>
        <v>0.16666666666666666</v>
      </c>
      <c r="T39" s="13">
        <f t="shared" ca="1" si="14"/>
        <v>0</v>
      </c>
      <c r="U39" s="13">
        <f t="shared" ca="1" si="14"/>
        <v>0</v>
      </c>
      <c r="V39" s="611">
        <f t="shared" ca="1" si="14"/>
        <v>0</v>
      </c>
      <c r="W39" s="13">
        <f t="shared" ca="1" si="14"/>
        <v>0</v>
      </c>
      <c r="X39" s="13">
        <f t="shared" ca="1" si="1"/>
        <v>0</v>
      </c>
      <c r="AA39" s="13">
        <v>37</v>
      </c>
      <c r="AB39" s="13" t="str">
        <f ca="1">Idiomas!D238</f>
        <v>Senegal</v>
      </c>
      <c r="AC39" s="610">
        <v>0</v>
      </c>
      <c r="AD39" s="611">
        <f t="shared" si="4"/>
        <v>0</v>
      </c>
      <c r="AE39" s="13">
        <v>0</v>
      </c>
      <c r="AF39" s="13">
        <f t="shared" ca="1" si="5"/>
        <v>4</v>
      </c>
      <c r="AG39" s="611">
        <f t="shared" ca="1" si="6"/>
        <v>0.16666666666666666</v>
      </c>
      <c r="AH39" s="13">
        <f t="shared" ca="1" si="7"/>
        <v>1</v>
      </c>
      <c r="AI39" s="13">
        <f t="shared" ca="1" si="8"/>
        <v>41</v>
      </c>
    </row>
    <row r="40" spans="1:35" ht="15.6">
      <c r="A40" s="580">
        <v>46198.666666666664</v>
      </c>
      <c r="B40" s="13"/>
      <c r="C40" s="580">
        <f t="shared" ca="1" si="15"/>
        <v>46198.666666666664</v>
      </c>
      <c r="D40" s="608"/>
      <c r="P40" s="13">
        <v>38</v>
      </c>
      <c r="Q40" s="13" t="str">
        <f t="shared" ca="1" si="3"/>
        <v>Portugal</v>
      </c>
      <c r="R40" s="13">
        <f t="shared" ca="1" si="14"/>
        <v>1</v>
      </c>
      <c r="S40" s="611">
        <f t="shared" ca="1" si="14"/>
        <v>4.1666666666666664E-2</v>
      </c>
      <c r="T40" s="13">
        <f t="shared" ca="1" si="14"/>
        <v>0</v>
      </c>
      <c r="U40" s="13">
        <f t="shared" ca="1" si="14"/>
        <v>5</v>
      </c>
      <c r="V40" s="611">
        <f t="shared" ca="1" si="14"/>
        <v>0.20833333333333334</v>
      </c>
      <c r="W40" s="13">
        <f t="shared" ca="1" si="14"/>
        <v>1</v>
      </c>
      <c r="X40" s="13">
        <f t="shared" ca="1" si="1"/>
        <v>0</v>
      </c>
      <c r="AA40" s="13">
        <v>38</v>
      </c>
      <c r="AB40" s="13" t="str">
        <f ca="1">Idiomas!D239</f>
        <v>Sudáfrica</v>
      </c>
      <c r="AC40" s="610">
        <v>2</v>
      </c>
      <c r="AD40" s="611">
        <f t="shared" si="4"/>
        <v>8.3333333333333329E-2</v>
      </c>
      <c r="AE40" s="13">
        <v>0</v>
      </c>
      <c r="AF40" s="13">
        <f t="shared" ca="1" si="5"/>
        <v>6</v>
      </c>
      <c r="AG40" s="611">
        <f t="shared" ca="1" si="6"/>
        <v>0.25</v>
      </c>
      <c r="AH40" s="13">
        <f t="shared" ca="1" si="7"/>
        <v>1</v>
      </c>
      <c r="AI40" s="13">
        <f t="shared" ca="1" si="8"/>
        <v>42</v>
      </c>
    </row>
    <row r="41" spans="1:35" ht="15.6">
      <c r="A41" s="580">
        <v>46198.666666666664</v>
      </c>
      <c r="B41" s="13"/>
      <c r="C41" s="580">
        <f t="shared" ca="1" si="15"/>
        <v>46198.666666666664</v>
      </c>
      <c r="D41" s="608"/>
      <c r="P41" s="13">
        <v>39</v>
      </c>
      <c r="Q41" s="13" t="str">
        <f t="shared" ca="1" si="3"/>
        <v>RD Congo</v>
      </c>
      <c r="R41" s="13">
        <f t="shared" ca="1" si="14"/>
        <v>1</v>
      </c>
      <c r="S41" s="611">
        <f t="shared" ca="1" si="14"/>
        <v>4.1666666666666664E-2</v>
      </c>
      <c r="T41" s="13">
        <f t="shared" ca="1" si="14"/>
        <v>0</v>
      </c>
      <c r="U41" s="13">
        <f t="shared" ca="1" si="14"/>
        <v>5</v>
      </c>
      <c r="V41" s="611">
        <f t="shared" ca="1" si="14"/>
        <v>0.20833333333333334</v>
      </c>
      <c r="W41" s="13">
        <f t="shared" ca="1" si="14"/>
        <v>1</v>
      </c>
      <c r="X41" s="13">
        <f t="shared" ca="1" si="1"/>
        <v>0</v>
      </c>
      <c r="AA41" s="13">
        <v>39</v>
      </c>
      <c r="AB41" s="13" t="str">
        <f ca="1">Idiomas!D240</f>
        <v>Suiza</v>
      </c>
      <c r="AC41" s="610">
        <v>2</v>
      </c>
      <c r="AD41" s="611">
        <f t="shared" si="4"/>
        <v>8.3333333333333329E-2</v>
      </c>
      <c r="AE41" s="13">
        <v>0</v>
      </c>
      <c r="AF41" s="13">
        <f t="shared" ca="1" si="5"/>
        <v>6</v>
      </c>
      <c r="AG41" s="611">
        <f t="shared" ca="1" si="6"/>
        <v>0.25</v>
      </c>
      <c r="AH41" s="13">
        <f t="shared" ca="1" si="7"/>
        <v>1</v>
      </c>
      <c r="AI41" s="13">
        <f t="shared" ca="1" si="8"/>
        <v>44</v>
      </c>
    </row>
    <row r="42" spans="1:35" ht="15.6">
      <c r="A42" s="13"/>
      <c r="B42" s="13"/>
      <c r="C42" s="580"/>
      <c r="P42" s="13">
        <v>40</v>
      </c>
      <c r="Q42" s="13" t="str">
        <f t="shared" ca="1" si="3"/>
        <v>República Checa</v>
      </c>
      <c r="R42" s="13">
        <f t="shared" ca="1" si="14"/>
        <v>2</v>
      </c>
      <c r="S42" s="611">
        <f t="shared" ca="1" si="14"/>
        <v>8.3333333333333329E-2</v>
      </c>
      <c r="T42" s="13">
        <f t="shared" ca="1" si="14"/>
        <v>0</v>
      </c>
      <c r="U42" s="13">
        <f t="shared" ca="1" si="14"/>
        <v>6</v>
      </c>
      <c r="V42" s="611">
        <f t="shared" ca="1" si="14"/>
        <v>0.25</v>
      </c>
      <c r="W42" s="13">
        <f t="shared" ca="1" si="14"/>
        <v>1</v>
      </c>
      <c r="X42" s="13">
        <f t="shared" ca="1" si="1"/>
        <v>0</v>
      </c>
      <c r="AA42" s="13">
        <v>40</v>
      </c>
      <c r="AB42" s="13" t="str">
        <f ca="1">Idiomas!D241</f>
        <v>Túnez</v>
      </c>
      <c r="AC42" s="610">
        <v>1</v>
      </c>
      <c r="AD42" s="611">
        <f t="shared" si="4"/>
        <v>4.1666666666666664E-2</v>
      </c>
      <c r="AE42" s="13">
        <v>0</v>
      </c>
      <c r="AF42" s="13">
        <f t="shared" ca="1" si="5"/>
        <v>5</v>
      </c>
      <c r="AG42" s="611">
        <f t="shared" ca="1" si="6"/>
        <v>0.20833333333333334</v>
      </c>
      <c r="AH42" s="13">
        <f t="shared" ca="1" si="7"/>
        <v>1</v>
      </c>
      <c r="AI42" s="13">
        <f t="shared" ca="1" si="8"/>
        <v>45</v>
      </c>
    </row>
    <row r="43" spans="1:35" ht="15.6">
      <c r="A43" s="7" t="s">
        <v>8</v>
      </c>
      <c r="B43" s="13"/>
      <c r="C43" s="580"/>
      <c r="P43" s="13">
        <v>41</v>
      </c>
      <c r="Q43" s="13" t="str">
        <f t="shared" ca="1" si="3"/>
        <v>Senegal</v>
      </c>
      <c r="R43" s="13">
        <f t="shared" ref="R43:W58" ca="1" si="16">+INDEX($AC$3:$AH$86,MATCH($Q43,$AB$3:$AB$86,0),MATCH(R$2,$AC$2:$AH$2,0))</f>
        <v>0</v>
      </c>
      <c r="S43" s="611">
        <f t="shared" ca="1" si="16"/>
        <v>0</v>
      </c>
      <c r="T43" s="13">
        <f t="shared" ca="1" si="14"/>
        <v>0</v>
      </c>
      <c r="U43" s="13">
        <f t="shared" ca="1" si="14"/>
        <v>4</v>
      </c>
      <c r="V43" s="611">
        <f t="shared" ca="1" si="16"/>
        <v>0.16666666666666666</v>
      </c>
      <c r="W43" s="13">
        <f t="shared" ca="1" si="16"/>
        <v>1</v>
      </c>
      <c r="X43" s="13">
        <f t="shared" ca="1" si="1"/>
        <v>0</v>
      </c>
      <c r="AA43" s="13">
        <v>41</v>
      </c>
      <c r="AB43" s="13" t="str">
        <f ca="1">Idiomas!D242</f>
        <v>Uruguay</v>
      </c>
      <c r="AC43" s="610">
        <v>-3</v>
      </c>
      <c r="AD43" s="611">
        <f t="shared" si="4"/>
        <v>0.125</v>
      </c>
      <c r="AE43" s="13">
        <v>0</v>
      </c>
      <c r="AF43" s="13">
        <f t="shared" ca="1" si="5"/>
        <v>1</v>
      </c>
      <c r="AG43" s="611">
        <f t="shared" ca="1" si="6"/>
        <v>4.1666666666666664E-2</v>
      </c>
      <c r="AH43" s="13">
        <f t="shared" ca="1" si="7"/>
        <v>1</v>
      </c>
      <c r="AI43" s="13">
        <f t="shared" ca="1" si="8"/>
        <v>47</v>
      </c>
    </row>
    <row r="44" spans="1:35" ht="15.6">
      <c r="A44" s="580">
        <v>46187.666666666664</v>
      </c>
      <c r="B44" s="13"/>
      <c r="C44" s="580">
        <f t="shared" ref="C44:C49" ca="1" si="17">A44+INDEX($V$3:$V$86,MATCH($C$3,$P$3:$P$86,0))*INDEX($W$3:$W$86,MATCH($C$3,$P$3:$P$86,0))</f>
        <v>46187.666666666664</v>
      </c>
      <c r="D44" s="608"/>
      <c r="P44" s="13">
        <v>42</v>
      </c>
      <c r="Q44" s="13" t="str">
        <f t="shared" ca="1" si="3"/>
        <v>Sudáfrica</v>
      </c>
      <c r="R44" s="13">
        <f t="shared" ca="1" si="16"/>
        <v>2</v>
      </c>
      <c r="S44" s="611">
        <f t="shared" ca="1" si="16"/>
        <v>8.3333333333333329E-2</v>
      </c>
      <c r="T44" s="13">
        <f t="shared" ca="1" si="14"/>
        <v>0</v>
      </c>
      <c r="U44" s="13">
        <f t="shared" ca="1" si="14"/>
        <v>6</v>
      </c>
      <c r="V44" s="611">
        <f t="shared" ca="1" si="16"/>
        <v>0.25</v>
      </c>
      <c r="W44" s="13">
        <f t="shared" ca="1" si="16"/>
        <v>1</v>
      </c>
      <c r="X44" s="13">
        <f t="shared" ca="1" si="1"/>
        <v>0</v>
      </c>
      <c r="AA44" s="13">
        <v>42</v>
      </c>
      <c r="AB44" s="13" t="str">
        <f ca="1">Idiomas!D243</f>
        <v>Uzbekistán</v>
      </c>
      <c r="AC44" s="610">
        <v>5</v>
      </c>
      <c r="AD44" s="611">
        <f t="shared" si="4"/>
        <v>0.20833333333333334</v>
      </c>
      <c r="AE44" s="13">
        <v>0</v>
      </c>
      <c r="AF44" s="13">
        <f t="shared" ca="1" si="5"/>
        <v>9</v>
      </c>
      <c r="AG44" s="611">
        <f t="shared" ca="1" si="6"/>
        <v>0.375</v>
      </c>
      <c r="AH44" s="13">
        <f t="shared" ca="1" si="7"/>
        <v>1</v>
      </c>
      <c r="AI44" s="13">
        <f t="shared" ca="1" si="8"/>
        <v>48</v>
      </c>
    </row>
    <row r="45" spans="1:35">
      <c r="A45" s="580">
        <v>46187.916666666664</v>
      </c>
      <c r="B45" s="13"/>
      <c r="C45" s="580">
        <f t="shared" ca="1" si="17"/>
        <v>46187.916666666664</v>
      </c>
      <c r="D45" s="608"/>
      <c r="P45" s="13">
        <v>43</v>
      </c>
      <c r="Q45" s="13" t="str">
        <f t="shared" ca="1" si="3"/>
        <v>Suecia</v>
      </c>
      <c r="R45" s="13">
        <f t="shared" ca="1" si="16"/>
        <v>2</v>
      </c>
      <c r="S45" s="611">
        <f t="shared" ca="1" si="16"/>
        <v>8.3333333333333329E-2</v>
      </c>
      <c r="T45" s="13">
        <f t="shared" ca="1" si="14"/>
        <v>0</v>
      </c>
      <c r="U45" s="13">
        <f t="shared" ca="1" si="14"/>
        <v>6</v>
      </c>
      <c r="V45" s="611">
        <f t="shared" ca="1" si="16"/>
        <v>0.25</v>
      </c>
      <c r="W45" s="13">
        <f t="shared" ca="1" si="16"/>
        <v>1</v>
      </c>
      <c r="X45" s="13">
        <f t="shared" ca="1" si="1"/>
        <v>0</v>
      </c>
      <c r="AA45" s="13">
        <v>43</v>
      </c>
      <c r="AB45" s="13" t="str">
        <f ca="1">Idiomas!D244</f>
        <v>RD Congo</v>
      </c>
      <c r="AC45" s="13">
        <v>1</v>
      </c>
      <c r="AD45" s="611">
        <f t="shared" si="4"/>
        <v>4.1666666666666664E-2</v>
      </c>
      <c r="AE45" s="13">
        <v>0</v>
      </c>
      <c r="AF45" s="13">
        <f t="shared" ca="1" si="5"/>
        <v>5</v>
      </c>
      <c r="AG45" s="611">
        <f t="shared" ca="1" si="6"/>
        <v>0.20833333333333334</v>
      </c>
      <c r="AH45" s="13">
        <f t="shared" ca="1" si="7"/>
        <v>1</v>
      </c>
      <c r="AI45" s="13">
        <f t="shared" ca="1" si="8"/>
        <v>39</v>
      </c>
    </row>
    <row r="46" spans="1:35">
      <c r="A46" s="580">
        <v>46193.541666666664</v>
      </c>
      <c r="B46" s="13"/>
      <c r="C46" s="580">
        <f t="shared" ca="1" si="17"/>
        <v>46193.541666666664</v>
      </c>
      <c r="D46" s="608"/>
      <c r="P46" s="13">
        <v>44</v>
      </c>
      <c r="Q46" s="13" t="str">
        <f t="shared" ca="1" si="3"/>
        <v>Suiza</v>
      </c>
      <c r="R46" s="13">
        <f t="shared" ca="1" si="16"/>
        <v>2</v>
      </c>
      <c r="S46" s="611">
        <f t="shared" ca="1" si="16"/>
        <v>8.3333333333333329E-2</v>
      </c>
      <c r="T46" s="13">
        <f t="shared" ca="1" si="14"/>
        <v>0</v>
      </c>
      <c r="U46" s="13">
        <f t="shared" ca="1" si="14"/>
        <v>6</v>
      </c>
      <c r="V46" s="611">
        <f t="shared" ca="1" si="16"/>
        <v>0.25</v>
      </c>
      <c r="W46" s="13">
        <f t="shared" ca="1" si="16"/>
        <v>1</v>
      </c>
      <c r="X46" s="13">
        <f t="shared" ca="1" si="1"/>
        <v>0</v>
      </c>
      <c r="AA46" s="13">
        <v>44</v>
      </c>
      <c r="AB46" s="13" t="str">
        <f ca="1">Idiomas!D245</f>
        <v>Irak</v>
      </c>
      <c r="AC46" s="13">
        <v>3</v>
      </c>
      <c r="AD46" s="611">
        <f t="shared" si="4"/>
        <v>0.125</v>
      </c>
      <c r="AE46" s="13">
        <v>0</v>
      </c>
      <c r="AF46" s="13">
        <f t="shared" ca="1" si="5"/>
        <v>7</v>
      </c>
      <c r="AG46" s="611">
        <f t="shared" ca="1" si="6"/>
        <v>0.29166666666666669</v>
      </c>
      <c r="AH46" s="13">
        <f t="shared" ca="1" si="7"/>
        <v>1</v>
      </c>
      <c r="AI46" s="13">
        <f t="shared" ca="1" si="8"/>
        <v>27</v>
      </c>
    </row>
    <row r="47" spans="1:35">
      <c r="A47" s="580">
        <v>46194</v>
      </c>
      <c r="B47" s="13"/>
      <c r="C47" s="580">
        <f t="shared" ca="1" si="17"/>
        <v>46194</v>
      </c>
      <c r="D47" s="608"/>
      <c r="P47" s="13">
        <v>45</v>
      </c>
      <c r="Q47" s="13" t="str">
        <f t="shared" ca="1" si="3"/>
        <v>Túnez</v>
      </c>
      <c r="R47" s="13">
        <f t="shared" ca="1" si="16"/>
        <v>1</v>
      </c>
      <c r="S47" s="611">
        <f t="shared" ca="1" si="16"/>
        <v>4.1666666666666664E-2</v>
      </c>
      <c r="T47" s="13">
        <f t="shared" ca="1" si="14"/>
        <v>0</v>
      </c>
      <c r="U47" s="13">
        <f t="shared" ca="1" si="14"/>
        <v>5</v>
      </c>
      <c r="V47" s="611">
        <f t="shared" ca="1" si="16"/>
        <v>0.20833333333333334</v>
      </c>
      <c r="W47" s="13">
        <f t="shared" ca="1" si="16"/>
        <v>1</v>
      </c>
      <c r="X47" s="13">
        <f t="shared" ca="1" si="1"/>
        <v>0</v>
      </c>
      <c r="AA47" s="13">
        <v>45</v>
      </c>
      <c r="AB47" s="13" t="str">
        <f ca="1">Idiomas!D246</f>
        <v>Bosnia y Herzegovina</v>
      </c>
      <c r="AC47" s="13">
        <v>2</v>
      </c>
      <c r="AD47" s="611">
        <f t="shared" si="4"/>
        <v>8.3333333333333329E-2</v>
      </c>
      <c r="AE47" s="13">
        <v>0</v>
      </c>
      <c r="AF47" s="13">
        <f t="shared" ca="1" si="5"/>
        <v>6</v>
      </c>
      <c r="AG47" s="611">
        <f t="shared" ca="1" si="6"/>
        <v>0.25</v>
      </c>
      <c r="AH47" s="13">
        <f t="shared" ca="1" si="7"/>
        <v>1</v>
      </c>
      <c r="AI47" s="13">
        <f t="shared" ca="1" si="8"/>
        <v>8</v>
      </c>
    </row>
    <row r="48" spans="1:35">
      <c r="A48" s="580">
        <v>46198.791666666664</v>
      </c>
      <c r="B48" s="13"/>
      <c r="C48" s="580">
        <f t="shared" ca="1" si="17"/>
        <v>46198.791666666664</v>
      </c>
      <c r="D48" s="608"/>
      <c r="P48" s="13">
        <v>46</v>
      </c>
      <c r="Q48" s="13" t="str">
        <f t="shared" ca="1" si="3"/>
        <v>Turquía</v>
      </c>
      <c r="R48" s="13">
        <f t="shared" ca="1" si="16"/>
        <v>3</v>
      </c>
      <c r="S48" s="611">
        <f t="shared" ca="1" si="16"/>
        <v>0.125</v>
      </c>
      <c r="T48" s="13">
        <f t="shared" ca="1" si="14"/>
        <v>0</v>
      </c>
      <c r="U48" s="13">
        <f t="shared" ca="1" si="14"/>
        <v>7</v>
      </c>
      <c r="V48" s="611">
        <f t="shared" ca="1" si="16"/>
        <v>0.29166666666666669</v>
      </c>
      <c r="W48" s="13">
        <f t="shared" ca="1" si="16"/>
        <v>1</v>
      </c>
      <c r="X48" s="13">
        <f t="shared" ca="1" si="1"/>
        <v>0</v>
      </c>
      <c r="AA48" s="13">
        <v>46</v>
      </c>
      <c r="AB48" s="13" t="str">
        <f ca="1">Idiomas!D247</f>
        <v>Suecia</v>
      </c>
      <c r="AC48" s="13">
        <v>2</v>
      </c>
      <c r="AD48" s="611">
        <f t="shared" si="4"/>
        <v>8.3333333333333329E-2</v>
      </c>
      <c r="AE48" s="13">
        <v>0</v>
      </c>
      <c r="AF48" s="13">
        <f t="shared" ca="1" si="5"/>
        <v>6</v>
      </c>
      <c r="AG48" s="611">
        <f t="shared" ca="1" si="6"/>
        <v>0.25</v>
      </c>
      <c r="AH48" s="13">
        <f t="shared" ca="1" si="7"/>
        <v>1</v>
      </c>
      <c r="AI48" s="13">
        <f t="shared" ca="1" si="8"/>
        <v>43</v>
      </c>
    </row>
    <row r="49" spans="1:35">
      <c r="A49" s="580">
        <v>46198.791666666664</v>
      </c>
      <c r="B49" s="13"/>
      <c r="C49" s="580">
        <f t="shared" ca="1" si="17"/>
        <v>46198.791666666664</v>
      </c>
      <c r="D49" s="608"/>
      <c r="P49" s="13">
        <v>47</v>
      </c>
      <c r="Q49" s="13" t="str">
        <f t="shared" ca="1" si="3"/>
        <v>Uruguay</v>
      </c>
      <c r="R49" s="13">
        <f t="shared" ca="1" si="16"/>
        <v>-3</v>
      </c>
      <c r="S49" s="611">
        <f t="shared" ca="1" si="16"/>
        <v>0.125</v>
      </c>
      <c r="T49" s="13">
        <f t="shared" ca="1" si="16"/>
        <v>0</v>
      </c>
      <c r="U49" s="13">
        <f t="shared" ca="1" si="16"/>
        <v>1</v>
      </c>
      <c r="V49" s="611">
        <f t="shared" ca="1" si="16"/>
        <v>4.1666666666666664E-2</v>
      </c>
      <c r="W49" s="13">
        <f t="shared" ca="1" si="16"/>
        <v>1</v>
      </c>
      <c r="X49" s="13">
        <f t="shared" ca="1" si="1"/>
        <v>0</v>
      </c>
      <c r="AA49" s="13">
        <v>47</v>
      </c>
      <c r="AB49" s="13" t="str">
        <f ca="1">Idiomas!D248</f>
        <v>Turquía</v>
      </c>
      <c r="AC49" s="13">
        <v>3</v>
      </c>
      <c r="AD49" s="611">
        <f t="shared" si="4"/>
        <v>0.125</v>
      </c>
      <c r="AE49" s="13">
        <v>0</v>
      </c>
      <c r="AF49" s="13">
        <f t="shared" ca="1" si="5"/>
        <v>7</v>
      </c>
      <c r="AG49" s="611">
        <f t="shared" ca="1" si="6"/>
        <v>0.29166666666666669</v>
      </c>
      <c r="AH49" s="13">
        <f t="shared" ca="1" si="7"/>
        <v>1</v>
      </c>
      <c r="AI49" s="13">
        <f t="shared" ca="1" si="8"/>
        <v>46</v>
      </c>
    </row>
    <row r="50" spans="1:35">
      <c r="A50" s="13"/>
      <c r="B50" s="13"/>
      <c r="C50" s="580"/>
      <c r="P50" s="13">
        <v>48</v>
      </c>
      <c r="Q50" s="13" t="str">
        <f t="shared" ca="1" si="3"/>
        <v>Uzbekistán</v>
      </c>
      <c r="R50" s="13">
        <f t="shared" ca="1" si="16"/>
        <v>5</v>
      </c>
      <c r="S50" s="611">
        <f t="shared" ca="1" si="16"/>
        <v>0.20833333333333334</v>
      </c>
      <c r="T50" s="13">
        <f t="shared" ca="1" si="16"/>
        <v>0</v>
      </c>
      <c r="U50" s="13">
        <f t="shared" ca="1" si="16"/>
        <v>9</v>
      </c>
      <c r="V50" s="611">
        <f t="shared" ca="1" si="16"/>
        <v>0.375</v>
      </c>
      <c r="W50" s="13">
        <f t="shared" ca="1" si="16"/>
        <v>1</v>
      </c>
      <c r="X50" s="13">
        <f t="shared" ca="1" si="1"/>
        <v>0</v>
      </c>
      <c r="AA50" s="13">
        <v>48</v>
      </c>
      <c r="AB50" s="13" t="str">
        <f ca="1">Idiomas!D249</f>
        <v>República Checa</v>
      </c>
      <c r="AC50" s="13">
        <v>2</v>
      </c>
      <c r="AD50" s="611">
        <f t="shared" si="4"/>
        <v>8.3333333333333329E-2</v>
      </c>
      <c r="AE50" s="13">
        <v>0</v>
      </c>
      <c r="AF50" s="13">
        <f t="shared" ca="1" si="5"/>
        <v>6</v>
      </c>
      <c r="AG50" s="611">
        <f t="shared" ca="1" si="6"/>
        <v>0.25</v>
      </c>
      <c r="AH50" s="13">
        <f t="shared" ca="1" si="7"/>
        <v>1</v>
      </c>
      <c r="AI50" s="13">
        <f t="shared" ca="1" si="8"/>
        <v>40</v>
      </c>
    </row>
    <row r="51" spans="1:35">
      <c r="A51" s="7" t="s">
        <v>494</v>
      </c>
      <c r="B51" s="13"/>
      <c r="C51" s="580"/>
      <c r="P51" s="13">
        <v>49</v>
      </c>
      <c r="Q51" s="13" t="s">
        <v>152</v>
      </c>
      <c r="R51" s="13">
        <f t="shared" ca="1" si="16"/>
        <v>-12</v>
      </c>
      <c r="S51" s="611">
        <f t="shared" ca="1" si="16"/>
        <v>0.5</v>
      </c>
      <c r="T51" s="13">
        <f t="shared" ca="1" si="16"/>
        <v>0</v>
      </c>
      <c r="U51" s="13">
        <f t="shared" ca="1" si="16"/>
        <v>-8</v>
      </c>
      <c r="V51" s="611">
        <f t="shared" ca="1" si="16"/>
        <v>0.33333333333333331</v>
      </c>
      <c r="W51" s="13">
        <f t="shared" ref="W51:W60" ca="1" si="18">IF(R51&gt;$M$2,1,IF(R51=$M$2,0,-1))</f>
        <v>-1</v>
      </c>
      <c r="X51" s="13"/>
      <c r="AA51" s="13">
        <v>49</v>
      </c>
      <c r="AB51" s="13" t="s">
        <v>152</v>
      </c>
      <c r="AC51" s="13">
        <v>-12</v>
      </c>
      <c r="AD51" s="611">
        <f t="shared" si="4"/>
        <v>0.5</v>
      </c>
      <c r="AE51" s="13">
        <v>0</v>
      </c>
      <c r="AF51" s="13">
        <f t="shared" ref="AF51:AF60" ca="1" si="19">AC51-$M$2</f>
        <v>-8</v>
      </c>
      <c r="AG51" s="611">
        <f t="shared" ca="1" si="6"/>
        <v>0.33333333333333331</v>
      </c>
      <c r="AH51" s="13">
        <f t="shared" ref="AH51:AH60" ca="1" si="20">IF(AC51&gt;$M$2,1,IF(AC51=$M$2,0,-1))</f>
        <v>-1</v>
      </c>
      <c r="AI51" s="13"/>
    </row>
    <row r="52" spans="1:35">
      <c r="A52" s="580">
        <v>46188.625</v>
      </c>
      <c r="B52" s="13"/>
      <c r="C52" s="580">
        <f t="shared" ref="C52:C57" ca="1" si="21">A52+INDEX($V$3:$V$86,MATCH($C$3,$P$3:$P$86,0))*INDEX($W$3:$W$86,MATCH($C$3,$P$3:$P$86,0))</f>
        <v>46188.625</v>
      </c>
      <c r="D52" s="608"/>
      <c r="P52" s="13">
        <v>50</v>
      </c>
      <c r="Q52" s="13" t="s">
        <v>153</v>
      </c>
      <c r="R52" s="13">
        <f t="shared" ca="1" si="16"/>
        <v>-11</v>
      </c>
      <c r="S52" s="611">
        <f t="shared" ca="1" si="16"/>
        <v>0.45833333333333331</v>
      </c>
      <c r="T52" s="13">
        <f t="shared" ca="1" si="16"/>
        <v>0</v>
      </c>
      <c r="U52" s="13">
        <f t="shared" ca="1" si="16"/>
        <v>-7</v>
      </c>
      <c r="V52" s="611">
        <f t="shared" ca="1" si="16"/>
        <v>0.29166666666666669</v>
      </c>
      <c r="W52" s="13">
        <f t="shared" ca="1" si="18"/>
        <v>-1</v>
      </c>
      <c r="X52" s="13"/>
      <c r="AA52" s="13">
        <v>50</v>
      </c>
      <c r="AB52" s="13" t="s">
        <v>153</v>
      </c>
      <c r="AC52" s="13">
        <v>-11</v>
      </c>
      <c r="AD52" s="611">
        <f t="shared" si="4"/>
        <v>0.45833333333333331</v>
      </c>
      <c r="AE52" s="13">
        <v>0</v>
      </c>
      <c r="AF52" s="13">
        <f t="shared" ca="1" si="19"/>
        <v>-7</v>
      </c>
      <c r="AG52" s="611">
        <f t="shared" ca="1" si="6"/>
        <v>0.29166666666666669</v>
      </c>
      <c r="AH52" s="13">
        <f t="shared" ca="1" si="20"/>
        <v>-1</v>
      </c>
      <c r="AI52" s="13"/>
    </row>
    <row r="53" spans="1:35">
      <c r="A53" s="580">
        <v>46188.875</v>
      </c>
      <c r="B53" s="13"/>
      <c r="C53" s="580">
        <f t="shared" ca="1" si="21"/>
        <v>46188.875</v>
      </c>
      <c r="D53" s="608"/>
      <c r="P53" s="13">
        <v>51</v>
      </c>
      <c r="Q53" s="13" t="s">
        <v>154</v>
      </c>
      <c r="R53" s="13">
        <f t="shared" ca="1" si="16"/>
        <v>-10</v>
      </c>
      <c r="S53" s="611">
        <f t="shared" ca="1" si="16"/>
        <v>0.41666666666666669</v>
      </c>
      <c r="T53" s="13">
        <f t="shared" ca="1" si="16"/>
        <v>0</v>
      </c>
      <c r="U53" s="13">
        <f t="shared" ca="1" si="16"/>
        <v>-6</v>
      </c>
      <c r="V53" s="611">
        <f t="shared" ca="1" si="16"/>
        <v>0.25</v>
      </c>
      <c r="W53" s="13">
        <f t="shared" ca="1" si="18"/>
        <v>-1</v>
      </c>
      <c r="X53" s="13"/>
      <c r="AA53" s="13">
        <v>51</v>
      </c>
      <c r="AB53" s="13" t="s">
        <v>154</v>
      </c>
      <c r="AC53" s="13">
        <v>-10</v>
      </c>
      <c r="AD53" s="611">
        <f t="shared" si="4"/>
        <v>0.41666666666666669</v>
      </c>
      <c r="AE53" s="13">
        <v>0</v>
      </c>
      <c r="AF53" s="13">
        <f t="shared" ca="1" si="19"/>
        <v>-6</v>
      </c>
      <c r="AG53" s="611">
        <f t="shared" ca="1" si="6"/>
        <v>0.25</v>
      </c>
      <c r="AH53" s="13">
        <f t="shared" ca="1" si="20"/>
        <v>-1</v>
      </c>
      <c r="AI53" s="13"/>
    </row>
    <row r="54" spans="1:35">
      <c r="A54" s="580">
        <v>46194.625</v>
      </c>
      <c r="B54" s="13"/>
      <c r="C54" s="580">
        <f t="shared" ca="1" si="21"/>
        <v>46194.625</v>
      </c>
      <c r="D54" s="608"/>
      <c r="P54" s="13">
        <v>52</v>
      </c>
      <c r="Q54" s="13" t="s">
        <v>155</v>
      </c>
      <c r="R54" s="13">
        <f t="shared" ca="1" si="16"/>
        <v>-9</v>
      </c>
      <c r="S54" s="611">
        <f t="shared" ca="1" si="16"/>
        <v>0.375</v>
      </c>
      <c r="T54" s="13">
        <f t="shared" ca="1" si="16"/>
        <v>0</v>
      </c>
      <c r="U54" s="13">
        <f t="shared" ca="1" si="16"/>
        <v>-5</v>
      </c>
      <c r="V54" s="611">
        <f t="shared" ca="1" si="16"/>
        <v>0.20833333333333334</v>
      </c>
      <c r="W54" s="13">
        <f t="shared" ca="1" si="18"/>
        <v>-1</v>
      </c>
      <c r="X54" s="13"/>
      <c r="AA54" s="13">
        <v>52</v>
      </c>
      <c r="AB54" s="13" t="s">
        <v>155</v>
      </c>
      <c r="AC54" s="13">
        <v>-9</v>
      </c>
      <c r="AD54" s="611">
        <f t="shared" si="4"/>
        <v>0.375</v>
      </c>
      <c r="AE54" s="13">
        <v>0</v>
      </c>
      <c r="AF54" s="13">
        <f t="shared" ca="1" si="19"/>
        <v>-5</v>
      </c>
      <c r="AG54" s="611">
        <f t="shared" ca="1" si="6"/>
        <v>0.20833333333333334</v>
      </c>
      <c r="AH54" s="13">
        <f t="shared" ca="1" si="20"/>
        <v>-1</v>
      </c>
      <c r="AI54" s="13"/>
    </row>
    <row r="55" spans="1:35">
      <c r="A55" s="580">
        <v>46194.875</v>
      </c>
      <c r="B55" s="13"/>
      <c r="C55" s="580">
        <f t="shared" ca="1" si="21"/>
        <v>46194.875</v>
      </c>
      <c r="D55" s="608"/>
      <c r="P55" s="13">
        <v>53</v>
      </c>
      <c r="Q55" s="13" t="s">
        <v>156</v>
      </c>
      <c r="R55" s="13">
        <f t="shared" ca="1" si="16"/>
        <v>-8</v>
      </c>
      <c r="S55" s="611">
        <f t="shared" ca="1" si="16"/>
        <v>0.33333333333333331</v>
      </c>
      <c r="T55" s="13">
        <f t="shared" ca="1" si="16"/>
        <v>0</v>
      </c>
      <c r="U55" s="13">
        <f t="shared" ca="1" si="16"/>
        <v>-4</v>
      </c>
      <c r="V55" s="611">
        <f t="shared" ca="1" si="16"/>
        <v>0.16666666666666666</v>
      </c>
      <c r="W55" s="13">
        <f t="shared" ca="1" si="18"/>
        <v>-1</v>
      </c>
      <c r="X55" s="13"/>
      <c r="AA55" s="13">
        <v>53</v>
      </c>
      <c r="AB55" s="13" t="s">
        <v>156</v>
      </c>
      <c r="AC55" s="13">
        <v>-8</v>
      </c>
      <c r="AD55" s="611">
        <f t="shared" si="4"/>
        <v>0.33333333333333331</v>
      </c>
      <c r="AE55" s="13">
        <v>0</v>
      </c>
      <c r="AF55" s="13">
        <f t="shared" ca="1" si="19"/>
        <v>-4</v>
      </c>
      <c r="AG55" s="611">
        <f t="shared" ca="1" si="6"/>
        <v>0.16666666666666666</v>
      </c>
      <c r="AH55" s="13">
        <f t="shared" ca="1" si="20"/>
        <v>-1</v>
      </c>
      <c r="AI55" s="13"/>
    </row>
    <row r="56" spans="1:35">
      <c r="A56" s="580">
        <v>46199.958333333336</v>
      </c>
      <c r="B56" s="13"/>
      <c r="C56" s="580">
        <f t="shared" ca="1" si="21"/>
        <v>46199.958333333336</v>
      </c>
      <c r="D56" s="608"/>
      <c r="P56" s="13">
        <v>54</v>
      </c>
      <c r="Q56" s="13" t="s">
        <v>157</v>
      </c>
      <c r="R56" s="13">
        <f t="shared" ca="1" si="16"/>
        <v>-7</v>
      </c>
      <c r="S56" s="611">
        <f t="shared" ca="1" si="16"/>
        <v>0.29166666666666669</v>
      </c>
      <c r="T56" s="13">
        <f t="shared" ca="1" si="16"/>
        <v>0</v>
      </c>
      <c r="U56" s="13">
        <f t="shared" ca="1" si="16"/>
        <v>-3</v>
      </c>
      <c r="V56" s="611">
        <f t="shared" ca="1" si="16"/>
        <v>0.125</v>
      </c>
      <c r="W56" s="13">
        <f t="shared" ca="1" si="18"/>
        <v>-1</v>
      </c>
      <c r="X56" s="13"/>
      <c r="AA56" s="13">
        <v>54</v>
      </c>
      <c r="AB56" s="13" t="s">
        <v>157</v>
      </c>
      <c r="AC56" s="13">
        <v>-7</v>
      </c>
      <c r="AD56" s="611">
        <f t="shared" si="4"/>
        <v>0.29166666666666669</v>
      </c>
      <c r="AE56" s="13">
        <v>0</v>
      </c>
      <c r="AF56" s="13">
        <f t="shared" ca="1" si="19"/>
        <v>-3</v>
      </c>
      <c r="AG56" s="611">
        <f t="shared" ca="1" si="6"/>
        <v>0.125</v>
      </c>
      <c r="AH56" s="13">
        <f t="shared" ca="1" si="20"/>
        <v>-1</v>
      </c>
      <c r="AI56" s="13"/>
    </row>
    <row r="57" spans="1:35">
      <c r="A57" s="580">
        <v>46199.958333333336</v>
      </c>
      <c r="B57" s="13"/>
      <c r="C57" s="580">
        <f t="shared" ca="1" si="21"/>
        <v>46199.958333333336</v>
      </c>
      <c r="D57" s="608"/>
      <c r="P57" s="13">
        <v>55</v>
      </c>
      <c r="Q57" s="13" t="s">
        <v>158</v>
      </c>
      <c r="R57" s="13">
        <f t="shared" ca="1" si="16"/>
        <v>-6</v>
      </c>
      <c r="S57" s="611">
        <f t="shared" ca="1" si="16"/>
        <v>0.25</v>
      </c>
      <c r="T57" s="13">
        <f t="shared" ca="1" si="16"/>
        <v>0</v>
      </c>
      <c r="U57" s="13">
        <f t="shared" ca="1" si="16"/>
        <v>-2</v>
      </c>
      <c r="V57" s="611">
        <f t="shared" ca="1" si="16"/>
        <v>8.3333333333333329E-2</v>
      </c>
      <c r="W57" s="13">
        <f t="shared" ca="1" si="18"/>
        <v>-1</v>
      </c>
      <c r="X57" s="13"/>
      <c r="AA57" s="13">
        <v>55</v>
      </c>
      <c r="AB57" s="13" t="s">
        <v>158</v>
      </c>
      <c r="AC57" s="13">
        <v>-6</v>
      </c>
      <c r="AD57" s="611">
        <f t="shared" si="4"/>
        <v>0.25</v>
      </c>
      <c r="AE57" s="13">
        <v>0</v>
      </c>
      <c r="AF57" s="13">
        <f t="shared" ca="1" si="19"/>
        <v>-2</v>
      </c>
      <c r="AG57" s="611">
        <f t="shared" ca="1" si="6"/>
        <v>8.3333333333333329E-2</v>
      </c>
      <c r="AH57" s="13">
        <f t="shared" ca="1" si="20"/>
        <v>-1</v>
      </c>
      <c r="AI57" s="13"/>
    </row>
    <row r="58" spans="1:35">
      <c r="A58" s="13"/>
      <c r="B58" s="13"/>
      <c r="C58" s="580"/>
      <c r="P58" s="13">
        <v>56</v>
      </c>
      <c r="Q58" s="13" t="s">
        <v>159</v>
      </c>
      <c r="R58" s="13">
        <f t="shared" ca="1" si="16"/>
        <v>-5</v>
      </c>
      <c r="S58" s="611">
        <f t="shared" ca="1" si="16"/>
        <v>0.20833333333333334</v>
      </c>
      <c r="T58" s="13">
        <f t="shared" ca="1" si="16"/>
        <v>0</v>
      </c>
      <c r="U58" s="13">
        <f t="shared" ca="1" si="16"/>
        <v>-1</v>
      </c>
      <c r="V58" s="611">
        <f t="shared" ca="1" si="16"/>
        <v>4.1666666666666664E-2</v>
      </c>
      <c r="W58" s="13">
        <f t="shared" ca="1" si="18"/>
        <v>-1</v>
      </c>
      <c r="X58" s="13"/>
      <c r="AA58" s="13">
        <v>56</v>
      </c>
      <c r="AB58" s="13" t="s">
        <v>159</v>
      </c>
      <c r="AC58" s="13">
        <v>-5</v>
      </c>
      <c r="AD58" s="611">
        <f t="shared" si="4"/>
        <v>0.20833333333333334</v>
      </c>
      <c r="AE58" s="13">
        <v>0</v>
      </c>
      <c r="AF58" s="13">
        <f t="shared" ca="1" si="19"/>
        <v>-1</v>
      </c>
      <c r="AG58" s="611">
        <f t="shared" ca="1" si="6"/>
        <v>4.1666666666666664E-2</v>
      </c>
      <c r="AH58" s="13">
        <f t="shared" ca="1" si="20"/>
        <v>-1</v>
      </c>
      <c r="AI58" s="13"/>
    </row>
    <row r="59" spans="1:35">
      <c r="A59" s="7" t="s">
        <v>495</v>
      </c>
      <c r="B59" s="13"/>
      <c r="C59" s="580"/>
      <c r="P59" s="13">
        <v>57</v>
      </c>
      <c r="Q59" s="13" t="s">
        <v>160</v>
      </c>
      <c r="R59" s="13">
        <f t="shared" ref="R59:R86" ca="1" si="22">+INDEX($AC$3:$AH$86,MATCH($Q59,$AB$3:$AB$86,0),MATCH(R$2,$AC$2:$AH$2,0))</f>
        <v>-4</v>
      </c>
      <c r="S59" s="611">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1">
        <f t="shared" ref="V59:V86" ca="1" si="26">+INDEX($AC$3:$AH$86,MATCH($Q59,$AB$3:$AB$86,0),MATCH(V$2,$AC$2:$AH$2,0))</f>
        <v>0</v>
      </c>
      <c r="W59" s="13">
        <f t="shared" ca="1" si="18"/>
        <v>0</v>
      </c>
      <c r="X59" s="13"/>
      <c r="AA59" s="13">
        <v>57</v>
      </c>
      <c r="AB59" s="13" t="s">
        <v>160</v>
      </c>
      <c r="AC59" s="13">
        <v>-4</v>
      </c>
      <c r="AD59" s="611">
        <f t="shared" si="4"/>
        <v>0.16666666666666666</v>
      </c>
      <c r="AE59" s="13">
        <v>0</v>
      </c>
      <c r="AF59" s="13">
        <f t="shared" ca="1" si="19"/>
        <v>0</v>
      </c>
      <c r="AG59" s="611">
        <f t="shared" ca="1" si="6"/>
        <v>0</v>
      </c>
      <c r="AH59" s="13">
        <f t="shared" ca="1" si="20"/>
        <v>0</v>
      </c>
      <c r="AI59" s="13"/>
    </row>
    <row r="60" spans="1:35">
      <c r="A60" s="580">
        <v>46188.5</v>
      </c>
      <c r="B60" s="13"/>
      <c r="C60" s="580">
        <f t="shared" ref="C60:C65" ca="1" si="27">A60+INDEX($V$3:$V$86,MATCH($C$3,$P$3:$P$86,0))*INDEX($W$3:$W$86,MATCH($C$3,$P$3:$P$86,0))</f>
        <v>46188.5</v>
      </c>
      <c r="D60" s="608"/>
      <c r="P60" s="13">
        <v>58</v>
      </c>
      <c r="Q60" s="13" t="s">
        <v>376</v>
      </c>
      <c r="R60" s="13">
        <f t="shared" ca="1" si="22"/>
        <v>-3.5</v>
      </c>
      <c r="S60" s="611">
        <f t="shared" ca="1" si="23"/>
        <v>0.14583333333333334</v>
      </c>
      <c r="T60" s="13">
        <f t="shared" ca="1" si="24"/>
        <v>0</v>
      </c>
      <c r="U60" s="13">
        <f t="shared" ca="1" si="25"/>
        <v>0.5</v>
      </c>
      <c r="V60" s="611">
        <f t="shared" ca="1" si="26"/>
        <v>2.0833333333333332E-2</v>
      </c>
      <c r="W60" s="13">
        <f t="shared" ca="1" si="18"/>
        <v>1</v>
      </c>
      <c r="X60" s="13"/>
      <c r="AA60" s="13">
        <v>58</v>
      </c>
      <c r="AB60" s="13" t="s">
        <v>376</v>
      </c>
      <c r="AC60" s="13">
        <v>-3.5</v>
      </c>
      <c r="AD60" s="611">
        <f t="shared" si="4"/>
        <v>0.14583333333333334</v>
      </c>
      <c r="AE60" s="13">
        <v>0</v>
      </c>
      <c r="AF60" s="13">
        <f t="shared" ca="1" si="19"/>
        <v>0.5</v>
      </c>
      <c r="AG60" s="611">
        <f t="shared" ca="1" si="6"/>
        <v>2.0833333333333332E-2</v>
      </c>
      <c r="AH60" s="13">
        <f t="shared" ca="1" si="20"/>
        <v>1</v>
      </c>
      <c r="AI60" s="13"/>
    </row>
    <row r="61" spans="1:35">
      <c r="A61" s="580">
        <v>46188.75</v>
      </c>
      <c r="B61" s="13"/>
      <c r="C61" s="580">
        <f t="shared" ca="1" si="27"/>
        <v>46188.75</v>
      </c>
      <c r="D61" s="608"/>
      <c r="P61" s="13">
        <v>59</v>
      </c>
      <c r="Q61" s="13" t="s">
        <v>161</v>
      </c>
      <c r="R61" s="13">
        <f t="shared" ca="1" si="22"/>
        <v>-3</v>
      </c>
      <c r="S61" s="611">
        <f t="shared" ca="1" si="23"/>
        <v>0.125</v>
      </c>
      <c r="T61" s="13">
        <f t="shared" ca="1" si="24"/>
        <v>0</v>
      </c>
      <c r="U61" s="13">
        <f t="shared" ca="1" si="25"/>
        <v>1</v>
      </c>
      <c r="V61" s="611">
        <f t="shared" ca="1" si="26"/>
        <v>4.1666666666666664E-2</v>
      </c>
      <c r="W61" s="13">
        <f t="shared" ref="W61:W86" ca="1" si="28">IF(R61&gt;$M$2,1,IF(R61=$M$2,0,-1))</f>
        <v>1</v>
      </c>
      <c r="X61" s="13"/>
      <c r="AA61" s="13">
        <v>59</v>
      </c>
      <c r="AB61" s="13" t="s">
        <v>161</v>
      </c>
      <c r="AC61" s="13">
        <v>-3</v>
      </c>
      <c r="AD61" s="611">
        <f t="shared" si="4"/>
        <v>0.125</v>
      </c>
      <c r="AE61" s="13">
        <v>0</v>
      </c>
      <c r="AF61" s="13">
        <f t="shared" ref="AF61:AF86" ca="1" si="29">AC61-$M$2</f>
        <v>1</v>
      </c>
      <c r="AG61" s="611">
        <f t="shared" ca="1" si="6"/>
        <v>4.1666666666666664E-2</v>
      </c>
      <c r="AH61" s="13">
        <f t="shared" ref="AH61:AH86" ca="1" si="30">IF(AC61&gt;$M$2,1,IF(AC61=$M$2,0,-1))</f>
        <v>1</v>
      </c>
      <c r="AI61" s="13"/>
    </row>
    <row r="62" spans="1:35">
      <c r="A62" s="580">
        <v>46194.5</v>
      </c>
      <c r="B62" s="13"/>
      <c r="C62" s="580">
        <f t="shared" ca="1" si="27"/>
        <v>46194.5</v>
      </c>
      <c r="D62" s="608"/>
      <c r="P62" s="13">
        <v>60</v>
      </c>
      <c r="Q62" s="13" t="s">
        <v>162</v>
      </c>
      <c r="R62" s="13">
        <f t="shared" ca="1" si="22"/>
        <v>-2</v>
      </c>
      <c r="S62" s="611">
        <f t="shared" ca="1" si="23"/>
        <v>8.3333333333333329E-2</v>
      </c>
      <c r="T62" s="13">
        <f t="shared" ca="1" si="24"/>
        <v>0</v>
      </c>
      <c r="U62" s="13">
        <f t="shared" ca="1" si="25"/>
        <v>2</v>
      </c>
      <c r="V62" s="611">
        <f t="shared" ca="1" si="26"/>
        <v>8.3333333333333329E-2</v>
      </c>
      <c r="W62" s="13">
        <f t="shared" ca="1" si="28"/>
        <v>1</v>
      </c>
      <c r="X62" s="13"/>
      <c r="AA62" s="13">
        <v>60</v>
      </c>
      <c r="AB62" s="13" t="s">
        <v>162</v>
      </c>
      <c r="AC62" s="13">
        <v>-2</v>
      </c>
      <c r="AD62" s="611">
        <f t="shared" si="4"/>
        <v>8.3333333333333329E-2</v>
      </c>
      <c r="AE62" s="13">
        <v>0</v>
      </c>
      <c r="AF62" s="13">
        <f t="shared" ca="1" si="29"/>
        <v>2</v>
      </c>
      <c r="AG62" s="611">
        <f t="shared" ca="1" si="6"/>
        <v>8.3333333333333329E-2</v>
      </c>
      <c r="AH62" s="13">
        <f t="shared" ca="1" si="30"/>
        <v>1</v>
      </c>
      <c r="AI62" s="13"/>
    </row>
    <row r="63" spans="1:35">
      <c r="A63" s="580">
        <v>46194.75</v>
      </c>
      <c r="B63" s="13"/>
      <c r="C63" s="580">
        <f t="shared" ca="1" si="27"/>
        <v>46194.75</v>
      </c>
      <c r="D63" s="608"/>
      <c r="P63" s="13">
        <v>61</v>
      </c>
      <c r="Q63" s="13" t="s">
        <v>163</v>
      </c>
      <c r="R63" s="13">
        <f t="shared" ca="1" si="22"/>
        <v>-1</v>
      </c>
      <c r="S63" s="611">
        <f t="shared" ca="1" si="23"/>
        <v>4.1666666666666664E-2</v>
      </c>
      <c r="T63" s="13">
        <f t="shared" ca="1" si="24"/>
        <v>0</v>
      </c>
      <c r="U63" s="13">
        <f t="shared" ca="1" si="25"/>
        <v>3</v>
      </c>
      <c r="V63" s="611">
        <f t="shared" ca="1" si="26"/>
        <v>0.125</v>
      </c>
      <c r="W63" s="13">
        <f t="shared" ca="1" si="28"/>
        <v>1</v>
      </c>
      <c r="X63" s="13"/>
      <c r="AA63" s="13">
        <v>61</v>
      </c>
      <c r="AB63" s="13" t="s">
        <v>163</v>
      </c>
      <c r="AC63" s="13">
        <v>-1</v>
      </c>
      <c r="AD63" s="611">
        <f t="shared" si="4"/>
        <v>4.1666666666666664E-2</v>
      </c>
      <c r="AE63" s="13">
        <v>0</v>
      </c>
      <c r="AF63" s="13">
        <f t="shared" ca="1" si="29"/>
        <v>3</v>
      </c>
      <c r="AG63" s="611">
        <f t="shared" ca="1" si="6"/>
        <v>0.125</v>
      </c>
      <c r="AH63" s="13">
        <f t="shared" ca="1" si="30"/>
        <v>1</v>
      </c>
      <c r="AI63" s="13"/>
    </row>
    <row r="64" spans="1:35">
      <c r="A64" s="580">
        <v>46199.833333333336</v>
      </c>
      <c r="B64" s="13"/>
      <c r="C64" s="580">
        <f t="shared" ca="1" si="27"/>
        <v>46199.833333333336</v>
      </c>
      <c r="D64" s="608"/>
      <c r="P64" s="13">
        <v>62</v>
      </c>
      <c r="Q64" s="13" t="s">
        <v>151</v>
      </c>
      <c r="R64" s="13">
        <f t="shared" ca="1" si="22"/>
        <v>0</v>
      </c>
      <c r="S64" s="611">
        <f t="shared" ca="1" si="23"/>
        <v>0</v>
      </c>
      <c r="T64" s="13">
        <f t="shared" ca="1" si="24"/>
        <v>0</v>
      </c>
      <c r="U64" s="13">
        <f t="shared" ca="1" si="25"/>
        <v>4</v>
      </c>
      <c r="V64" s="611">
        <f t="shared" ca="1" si="26"/>
        <v>0.16666666666666666</v>
      </c>
      <c r="W64" s="13">
        <f t="shared" ca="1" si="28"/>
        <v>1</v>
      </c>
      <c r="X64" s="13"/>
      <c r="AA64" s="13">
        <v>62</v>
      </c>
      <c r="AB64" s="13" t="s">
        <v>151</v>
      </c>
      <c r="AC64" s="13">
        <v>0</v>
      </c>
      <c r="AD64" s="611">
        <f t="shared" si="4"/>
        <v>0</v>
      </c>
      <c r="AE64" s="13">
        <v>0</v>
      </c>
      <c r="AF64" s="13">
        <f t="shared" ca="1" si="29"/>
        <v>4</v>
      </c>
      <c r="AG64" s="611">
        <f t="shared" ca="1" si="6"/>
        <v>0.16666666666666666</v>
      </c>
      <c r="AH64" s="13">
        <f t="shared" ca="1" si="30"/>
        <v>1</v>
      </c>
      <c r="AI64" s="13"/>
    </row>
    <row r="65" spans="1:35">
      <c r="A65" s="580">
        <v>46199.833333333336</v>
      </c>
      <c r="B65" s="13"/>
      <c r="C65" s="580">
        <f t="shared" ca="1" si="27"/>
        <v>46199.833333333336</v>
      </c>
      <c r="D65" s="608"/>
      <c r="P65" s="13">
        <v>63</v>
      </c>
      <c r="Q65" s="13" t="s">
        <v>164</v>
      </c>
      <c r="R65" s="13">
        <f t="shared" ca="1" si="22"/>
        <v>1</v>
      </c>
      <c r="S65" s="611">
        <f t="shared" ca="1" si="23"/>
        <v>4.1666666666666664E-2</v>
      </c>
      <c r="T65" s="13">
        <f t="shared" ca="1" si="24"/>
        <v>0</v>
      </c>
      <c r="U65" s="13">
        <f t="shared" ca="1" si="25"/>
        <v>5</v>
      </c>
      <c r="V65" s="611">
        <f t="shared" ca="1" si="26"/>
        <v>0.20833333333333334</v>
      </c>
      <c r="W65" s="13">
        <f t="shared" ca="1" si="28"/>
        <v>1</v>
      </c>
      <c r="X65" s="13"/>
      <c r="AA65" s="13">
        <v>63</v>
      </c>
      <c r="AB65" s="13" t="s">
        <v>164</v>
      </c>
      <c r="AC65" s="13">
        <v>1</v>
      </c>
      <c r="AD65" s="611">
        <f t="shared" si="4"/>
        <v>4.1666666666666664E-2</v>
      </c>
      <c r="AE65" s="13">
        <v>0</v>
      </c>
      <c r="AF65" s="13">
        <f t="shared" ca="1" si="29"/>
        <v>5</v>
      </c>
      <c r="AG65" s="611">
        <f t="shared" ca="1" si="6"/>
        <v>0.20833333333333334</v>
      </c>
      <c r="AH65" s="13">
        <f t="shared" ca="1" si="30"/>
        <v>1</v>
      </c>
      <c r="AI65" s="13"/>
    </row>
    <row r="66" spans="1:35">
      <c r="A66" s="13"/>
      <c r="B66" s="13"/>
      <c r="C66" s="580"/>
      <c r="P66" s="13">
        <v>64</v>
      </c>
      <c r="Q66" s="13" t="s">
        <v>165</v>
      </c>
      <c r="R66" s="13">
        <f t="shared" ca="1" si="22"/>
        <v>2</v>
      </c>
      <c r="S66" s="611">
        <f t="shared" ca="1" si="23"/>
        <v>8.3333333333333329E-2</v>
      </c>
      <c r="T66" s="13">
        <f t="shared" ca="1" si="24"/>
        <v>0</v>
      </c>
      <c r="U66" s="13">
        <f t="shared" ca="1" si="25"/>
        <v>6</v>
      </c>
      <c r="V66" s="611">
        <f t="shared" ca="1" si="26"/>
        <v>0.25</v>
      </c>
      <c r="W66" s="13">
        <f t="shared" ca="1" si="28"/>
        <v>1</v>
      </c>
      <c r="X66" s="13"/>
      <c r="AA66" s="13">
        <v>64</v>
      </c>
      <c r="AB66" s="13" t="s">
        <v>165</v>
      </c>
      <c r="AC66" s="13">
        <v>2</v>
      </c>
      <c r="AD66" s="611">
        <f t="shared" si="4"/>
        <v>8.3333333333333329E-2</v>
      </c>
      <c r="AE66" s="13">
        <v>0</v>
      </c>
      <c r="AF66" s="13">
        <f t="shared" ca="1" si="29"/>
        <v>6</v>
      </c>
      <c r="AG66" s="611">
        <f t="shared" ca="1" si="6"/>
        <v>0.25</v>
      </c>
      <c r="AH66" s="13">
        <f t="shared" ca="1" si="30"/>
        <v>1</v>
      </c>
      <c r="AI66" s="13"/>
    </row>
    <row r="67" spans="1:35">
      <c r="A67" s="7" t="s">
        <v>496</v>
      </c>
      <c r="B67" s="13"/>
      <c r="C67" s="580"/>
      <c r="P67" s="13">
        <v>65</v>
      </c>
      <c r="Q67" s="13" t="s">
        <v>166</v>
      </c>
      <c r="R67" s="13">
        <f t="shared" ca="1" si="22"/>
        <v>3</v>
      </c>
      <c r="S67" s="611">
        <f t="shared" ca="1" si="23"/>
        <v>0.125</v>
      </c>
      <c r="T67" s="13">
        <f t="shared" ca="1" si="24"/>
        <v>0</v>
      </c>
      <c r="U67" s="13">
        <f t="shared" ca="1" si="25"/>
        <v>7</v>
      </c>
      <c r="V67" s="611">
        <f t="shared" ca="1" si="26"/>
        <v>0.29166666666666669</v>
      </c>
      <c r="W67" s="13">
        <f t="shared" ca="1" si="28"/>
        <v>1</v>
      </c>
      <c r="X67" s="13"/>
      <c r="AA67" s="13">
        <v>65</v>
      </c>
      <c r="AB67" s="13" t="s">
        <v>166</v>
      </c>
      <c r="AC67" s="13">
        <v>3</v>
      </c>
      <c r="AD67" s="611">
        <f t="shared" si="4"/>
        <v>0.125</v>
      </c>
      <c r="AE67" s="13">
        <v>0</v>
      </c>
      <c r="AF67" s="13">
        <f t="shared" ca="1" si="29"/>
        <v>7</v>
      </c>
      <c r="AG67" s="611">
        <f t="shared" ca="1" si="6"/>
        <v>0.29166666666666669</v>
      </c>
      <c r="AH67" s="13">
        <f t="shared" ca="1" si="30"/>
        <v>1</v>
      </c>
      <c r="AI67" s="13"/>
    </row>
    <row r="68" spans="1:35">
      <c r="A68" s="580">
        <v>46189.625</v>
      </c>
      <c r="B68" s="13"/>
      <c r="C68" s="580">
        <f t="shared" ref="C68:C73" ca="1" si="31">A68+INDEX($V$3:$V$86,MATCH($C$3,$P$3:$P$86,0))*INDEX($W$3:$W$86,MATCH($C$3,$P$3:$P$86,0))</f>
        <v>46189.625</v>
      </c>
      <c r="D68" s="608"/>
      <c r="P68" s="13">
        <v>66</v>
      </c>
      <c r="Q68" s="13" t="s">
        <v>366</v>
      </c>
      <c r="R68" s="13">
        <f t="shared" ca="1" si="22"/>
        <v>3.5</v>
      </c>
      <c r="S68" s="611">
        <f t="shared" ca="1" si="23"/>
        <v>0.14583333333333334</v>
      </c>
      <c r="T68" s="13">
        <f t="shared" ca="1" si="24"/>
        <v>0</v>
      </c>
      <c r="U68" s="13">
        <f t="shared" ca="1" si="25"/>
        <v>7.5</v>
      </c>
      <c r="V68" s="611">
        <f t="shared" ca="1" si="26"/>
        <v>0.3125</v>
      </c>
      <c r="W68" s="13">
        <f t="shared" ca="1" si="28"/>
        <v>1</v>
      </c>
      <c r="X68" s="13"/>
      <c r="AA68" s="13">
        <v>66</v>
      </c>
      <c r="AB68" s="13" t="s">
        <v>366</v>
      </c>
      <c r="AC68" s="13">
        <v>3.5</v>
      </c>
      <c r="AD68" s="611">
        <f t="shared" ref="AD68:AD86" si="32">ABS(AC68/24)</f>
        <v>0.14583333333333334</v>
      </c>
      <c r="AE68" s="13">
        <v>0</v>
      </c>
      <c r="AF68" s="13">
        <f t="shared" ca="1" si="29"/>
        <v>7.5</v>
      </c>
      <c r="AG68" s="611">
        <f t="shared" ref="AG68:AG86" ca="1" si="33">ABS(AF68/24)</f>
        <v>0.3125</v>
      </c>
      <c r="AH68" s="13">
        <f t="shared" ca="1" si="30"/>
        <v>1</v>
      </c>
      <c r="AI68" s="13"/>
    </row>
    <row r="69" spans="1:35">
      <c r="A69" s="580">
        <v>46189.75</v>
      </c>
      <c r="B69" s="13"/>
      <c r="C69" s="580">
        <f t="shared" ca="1" si="31"/>
        <v>46189.75</v>
      </c>
      <c r="D69" s="608"/>
      <c r="P69" s="13">
        <v>67</v>
      </c>
      <c r="Q69" s="13" t="s">
        <v>167</v>
      </c>
      <c r="R69" s="13">
        <f t="shared" ca="1" si="22"/>
        <v>4</v>
      </c>
      <c r="S69" s="611">
        <f t="shared" ca="1" si="23"/>
        <v>0.16666666666666666</v>
      </c>
      <c r="T69" s="13">
        <f t="shared" ca="1" si="24"/>
        <v>0</v>
      </c>
      <c r="U69" s="13">
        <f t="shared" ca="1" si="25"/>
        <v>8</v>
      </c>
      <c r="V69" s="611">
        <f t="shared" ca="1" si="26"/>
        <v>0.33333333333333331</v>
      </c>
      <c r="W69" s="13">
        <f t="shared" ca="1" si="28"/>
        <v>1</v>
      </c>
      <c r="X69" s="13"/>
      <c r="AA69" s="13">
        <v>67</v>
      </c>
      <c r="AB69" s="13" t="s">
        <v>167</v>
      </c>
      <c r="AC69" s="13">
        <v>4</v>
      </c>
      <c r="AD69" s="611">
        <f t="shared" si="32"/>
        <v>0.16666666666666666</v>
      </c>
      <c r="AE69" s="13">
        <v>0</v>
      </c>
      <c r="AF69" s="13">
        <f t="shared" ca="1" si="29"/>
        <v>8</v>
      </c>
      <c r="AG69" s="611">
        <f t="shared" ca="1" si="33"/>
        <v>0.33333333333333331</v>
      </c>
      <c r="AH69" s="13">
        <f t="shared" ca="1" si="30"/>
        <v>1</v>
      </c>
      <c r="AI69" s="13"/>
    </row>
    <row r="70" spans="1:35">
      <c r="A70" s="580">
        <v>46195.708333333336</v>
      </c>
      <c r="B70" s="13"/>
      <c r="C70" s="580">
        <f t="shared" ca="1" si="31"/>
        <v>46195.708333333336</v>
      </c>
      <c r="D70" s="608"/>
      <c r="P70" s="13">
        <v>68</v>
      </c>
      <c r="Q70" s="13" t="s">
        <v>367</v>
      </c>
      <c r="R70" s="13">
        <f t="shared" ca="1" si="22"/>
        <v>4.5</v>
      </c>
      <c r="S70" s="611">
        <f t="shared" ca="1" si="23"/>
        <v>0.1875</v>
      </c>
      <c r="T70" s="13">
        <f t="shared" ca="1" si="24"/>
        <v>0</v>
      </c>
      <c r="U70" s="13">
        <f t="shared" ca="1" si="25"/>
        <v>8.5</v>
      </c>
      <c r="V70" s="611">
        <f t="shared" ca="1" si="26"/>
        <v>0.35416666666666669</v>
      </c>
      <c r="W70" s="13">
        <f t="shared" ca="1" si="28"/>
        <v>1</v>
      </c>
      <c r="X70" s="13"/>
      <c r="AA70" s="13">
        <v>68</v>
      </c>
      <c r="AB70" s="13" t="s">
        <v>367</v>
      </c>
      <c r="AC70" s="13">
        <v>4.5</v>
      </c>
      <c r="AD70" s="611">
        <f t="shared" si="32"/>
        <v>0.1875</v>
      </c>
      <c r="AE70" s="13">
        <v>0</v>
      </c>
      <c r="AF70" s="13">
        <f t="shared" ca="1" si="29"/>
        <v>8.5</v>
      </c>
      <c r="AG70" s="611">
        <f t="shared" ca="1" si="33"/>
        <v>0.35416666666666669</v>
      </c>
      <c r="AH70" s="13">
        <f t="shared" ca="1" si="30"/>
        <v>1</v>
      </c>
      <c r="AI70" s="13"/>
    </row>
    <row r="71" spans="1:35">
      <c r="A71" s="580">
        <v>46195.833333333336</v>
      </c>
      <c r="B71" s="13"/>
      <c r="C71" s="580">
        <f t="shared" ca="1" si="31"/>
        <v>46195.833333333336</v>
      </c>
      <c r="D71" s="608"/>
      <c r="P71" s="13">
        <v>69</v>
      </c>
      <c r="Q71" s="13" t="s">
        <v>168</v>
      </c>
      <c r="R71" s="13">
        <f t="shared" ca="1" si="22"/>
        <v>5</v>
      </c>
      <c r="S71" s="611">
        <f t="shared" ca="1" si="23"/>
        <v>0.20833333333333334</v>
      </c>
      <c r="T71" s="13">
        <f t="shared" ca="1" si="24"/>
        <v>0</v>
      </c>
      <c r="U71" s="13">
        <f t="shared" ca="1" si="25"/>
        <v>9</v>
      </c>
      <c r="V71" s="611">
        <f t="shared" ca="1" si="26"/>
        <v>0.375</v>
      </c>
      <c r="W71" s="13">
        <f t="shared" ca="1" si="28"/>
        <v>1</v>
      </c>
      <c r="X71" s="13"/>
      <c r="AA71" s="13">
        <v>69</v>
      </c>
      <c r="AB71" s="13" t="s">
        <v>168</v>
      </c>
      <c r="AC71" s="13">
        <v>5</v>
      </c>
      <c r="AD71" s="611">
        <f t="shared" si="32"/>
        <v>0.20833333333333334</v>
      </c>
      <c r="AE71" s="13">
        <v>0</v>
      </c>
      <c r="AF71" s="13">
        <f t="shared" ca="1" si="29"/>
        <v>9</v>
      </c>
      <c r="AG71" s="611">
        <f t="shared" ca="1" si="33"/>
        <v>0.375</v>
      </c>
      <c r="AH71" s="13">
        <f t="shared" ca="1" si="30"/>
        <v>1</v>
      </c>
      <c r="AI71" s="13"/>
    </row>
    <row r="72" spans="1:35">
      <c r="A72" s="580">
        <v>46199.625</v>
      </c>
      <c r="B72" s="13"/>
      <c r="C72" s="580">
        <f t="shared" ca="1" si="31"/>
        <v>46199.625</v>
      </c>
      <c r="D72" s="608"/>
      <c r="P72" s="13">
        <v>70</v>
      </c>
      <c r="Q72" s="13" t="s">
        <v>368</v>
      </c>
      <c r="R72" s="13">
        <f t="shared" ca="1" si="22"/>
        <v>5.5</v>
      </c>
      <c r="S72" s="611">
        <f t="shared" ca="1" si="23"/>
        <v>0.22916666666666666</v>
      </c>
      <c r="T72" s="13">
        <f t="shared" ca="1" si="24"/>
        <v>0</v>
      </c>
      <c r="U72" s="13">
        <f t="shared" ca="1" si="25"/>
        <v>9.5</v>
      </c>
      <c r="V72" s="611">
        <f t="shared" ca="1" si="26"/>
        <v>0.39583333333333331</v>
      </c>
      <c r="W72" s="13">
        <f t="shared" ca="1" si="28"/>
        <v>1</v>
      </c>
      <c r="X72" s="13"/>
      <c r="AA72" s="13">
        <v>70</v>
      </c>
      <c r="AB72" s="13" t="s">
        <v>368</v>
      </c>
      <c r="AC72" s="13">
        <v>5.5</v>
      </c>
      <c r="AD72" s="611">
        <f t="shared" si="32"/>
        <v>0.22916666666666666</v>
      </c>
      <c r="AE72" s="13">
        <v>0</v>
      </c>
      <c r="AF72" s="13">
        <f t="shared" ca="1" si="29"/>
        <v>9.5</v>
      </c>
      <c r="AG72" s="611">
        <f t="shared" ca="1" si="33"/>
        <v>0.39583333333333331</v>
      </c>
      <c r="AH72" s="13">
        <f t="shared" ca="1" si="30"/>
        <v>1</v>
      </c>
      <c r="AI72" s="13"/>
    </row>
    <row r="73" spans="1:35">
      <c r="A73" s="580">
        <v>46199.625</v>
      </c>
      <c r="B73" s="13"/>
      <c r="C73" s="580">
        <f t="shared" ca="1" si="31"/>
        <v>46199.625</v>
      </c>
      <c r="D73" s="608"/>
      <c r="P73" s="13">
        <v>71</v>
      </c>
      <c r="Q73" s="13" t="s">
        <v>369</v>
      </c>
      <c r="R73" s="13">
        <f t="shared" ca="1" si="22"/>
        <v>5.75</v>
      </c>
      <c r="S73" s="611">
        <f t="shared" ca="1" si="23"/>
        <v>0.23958333333333334</v>
      </c>
      <c r="T73" s="13">
        <f t="shared" ca="1" si="24"/>
        <v>0</v>
      </c>
      <c r="U73" s="13">
        <f t="shared" ca="1" si="25"/>
        <v>9.75</v>
      </c>
      <c r="V73" s="611">
        <f t="shared" ca="1" si="26"/>
        <v>0.40625</v>
      </c>
      <c r="W73" s="13">
        <f t="shared" ca="1" si="28"/>
        <v>1</v>
      </c>
      <c r="X73" s="13"/>
      <c r="AA73" s="13">
        <v>71</v>
      </c>
      <c r="AB73" s="13" t="s">
        <v>369</v>
      </c>
      <c r="AC73" s="13">
        <v>5.75</v>
      </c>
      <c r="AD73" s="611">
        <f t="shared" si="32"/>
        <v>0.23958333333333334</v>
      </c>
      <c r="AE73" s="13">
        <v>0</v>
      </c>
      <c r="AF73" s="13">
        <f t="shared" ca="1" si="29"/>
        <v>9.75</v>
      </c>
      <c r="AG73" s="611">
        <f t="shared" ca="1" si="33"/>
        <v>0.40625</v>
      </c>
      <c r="AH73" s="13">
        <f t="shared" ca="1" si="30"/>
        <v>1</v>
      </c>
      <c r="AI73" s="13"/>
    </row>
    <row r="74" spans="1:35">
      <c r="A74" s="13"/>
      <c r="B74" s="13"/>
      <c r="C74" s="580"/>
      <c r="P74" s="13">
        <v>72</v>
      </c>
      <c r="Q74" s="13" t="s">
        <v>169</v>
      </c>
      <c r="R74" s="13">
        <f t="shared" ca="1" si="22"/>
        <v>6</v>
      </c>
      <c r="S74" s="611">
        <f t="shared" ca="1" si="23"/>
        <v>0.25</v>
      </c>
      <c r="T74" s="13">
        <f t="shared" ca="1" si="24"/>
        <v>0</v>
      </c>
      <c r="U74" s="13">
        <f t="shared" ca="1" si="25"/>
        <v>10</v>
      </c>
      <c r="V74" s="611">
        <f t="shared" ca="1" si="26"/>
        <v>0.41666666666666669</v>
      </c>
      <c r="W74" s="13">
        <f t="shared" ca="1" si="28"/>
        <v>1</v>
      </c>
      <c r="X74" s="13"/>
      <c r="AA74" s="13">
        <v>72</v>
      </c>
      <c r="AB74" s="13" t="s">
        <v>169</v>
      </c>
      <c r="AC74" s="13">
        <v>6</v>
      </c>
      <c r="AD74" s="611">
        <f t="shared" si="32"/>
        <v>0.25</v>
      </c>
      <c r="AE74" s="13">
        <v>0</v>
      </c>
      <c r="AF74" s="13">
        <f t="shared" ca="1" si="29"/>
        <v>10</v>
      </c>
      <c r="AG74" s="611">
        <f t="shared" ca="1" si="33"/>
        <v>0.41666666666666669</v>
      </c>
      <c r="AH74" s="13">
        <f t="shared" ca="1" si="30"/>
        <v>1</v>
      </c>
      <c r="AI74" s="13"/>
    </row>
    <row r="75" spans="1:35">
      <c r="A75" s="7" t="s">
        <v>497</v>
      </c>
      <c r="B75" s="13"/>
      <c r="C75" s="580"/>
      <c r="P75" s="13">
        <v>73</v>
      </c>
      <c r="Q75" s="13" t="s">
        <v>370</v>
      </c>
      <c r="R75" s="13">
        <f t="shared" ca="1" si="22"/>
        <v>6.5</v>
      </c>
      <c r="S75" s="611">
        <f t="shared" ca="1" si="23"/>
        <v>0.27083333333333331</v>
      </c>
      <c r="T75" s="13">
        <f t="shared" ca="1" si="24"/>
        <v>0</v>
      </c>
      <c r="U75" s="13">
        <f t="shared" ca="1" si="25"/>
        <v>10.5</v>
      </c>
      <c r="V75" s="611">
        <f t="shared" ca="1" si="26"/>
        <v>0.4375</v>
      </c>
      <c r="W75" s="13">
        <f t="shared" ca="1" si="28"/>
        <v>1</v>
      </c>
      <c r="X75" s="13"/>
      <c r="AA75" s="13">
        <v>73</v>
      </c>
      <c r="AB75" s="13" t="s">
        <v>370</v>
      </c>
      <c r="AC75" s="13">
        <v>6.5</v>
      </c>
      <c r="AD75" s="611">
        <f t="shared" si="32"/>
        <v>0.27083333333333331</v>
      </c>
      <c r="AE75" s="13">
        <v>0</v>
      </c>
      <c r="AF75" s="13">
        <f t="shared" ca="1" si="29"/>
        <v>10.5</v>
      </c>
      <c r="AG75" s="611">
        <f t="shared" ca="1" si="33"/>
        <v>0.4375</v>
      </c>
      <c r="AH75" s="13">
        <f t="shared" ca="1" si="30"/>
        <v>1</v>
      </c>
      <c r="AI75" s="13"/>
    </row>
    <row r="76" spans="1:35">
      <c r="A76" s="580">
        <v>46189.875</v>
      </c>
      <c r="B76" s="13"/>
      <c r="C76" s="580">
        <f t="shared" ref="C76:C81" ca="1" si="34">A76+INDEX($V$3:$V$86,MATCH($C$3,$P$3:$P$86,0))*INDEX($W$3:$W$86,MATCH($C$3,$P$3:$P$86,0))</f>
        <v>46189.875</v>
      </c>
      <c r="D76" s="608"/>
      <c r="P76" s="13">
        <v>74</v>
      </c>
      <c r="Q76" s="13" t="s">
        <v>170</v>
      </c>
      <c r="R76" s="13">
        <f t="shared" ca="1" si="22"/>
        <v>7</v>
      </c>
      <c r="S76" s="611">
        <f t="shared" ca="1" si="23"/>
        <v>0.29166666666666669</v>
      </c>
      <c r="T76" s="13">
        <f t="shared" ca="1" si="24"/>
        <v>0</v>
      </c>
      <c r="U76" s="13">
        <f t="shared" ca="1" si="25"/>
        <v>11</v>
      </c>
      <c r="V76" s="611">
        <f t="shared" ca="1" si="26"/>
        <v>0.45833333333333331</v>
      </c>
      <c r="W76" s="13">
        <f t="shared" ca="1" si="28"/>
        <v>1</v>
      </c>
      <c r="X76" s="13"/>
      <c r="AA76" s="13">
        <v>74</v>
      </c>
      <c r="AB76" s="13" t="s">
        <v>170</v>
      </c>
      <c r="AC76" s="13">
        <v>7</v>
      </c>
      <c r="AD76" s="611">
        <f t="shared" si="32"/>
        <v>0.29166666666666669</v>
      </c>
      <c r="AE76" s="13">
        <v>0</v>
      </c>
      <c r="AF76" s="13">
        <f t="shared" ca="1" si="29"/>
        <v>11</v>
      </c>
      <c r="AG76" s="611">
        <f t="shared" ca="1" si="33"/>
        <v>0.45833333333333331</v>
      </c>
      <c r="AH76" s="13">
        <f t="shared" ca="1" si="30"/>
        <v>1</v>
      </c>
      <c r="AI76" s="13"/>
    </row>
    <row r="77" spans="1:35">
      <c r="A77" s="580">
        <v>46190</v>
      </c>
      <c r="B77" s="13"/>
      <c r="C77" s="580">
        <f t="shared" ca="1" si="34"/>
        <v>46190</v>
      </c>
      <c r="D77" s="608"/>
      <c r="P77" s="13">
        <v>75</v>
      </c>
      <c r="Q77" s="13" t="s">
        <v>171</v>
      </c>
      <c r="R77" s="13">
        <f t="shared" ca="1" si="22"/>
        <v>8</v>
      </c>
      <c r="S77" s="611">
        <f t="shared" ca="1" si="23"/>
        <v>0.33333333333333331</v>
      </c>
      <c r="T77" s="13">
        <f t="shared" ca="1" si="24"/>
        <v>0</v>
      </c>
      <c r="U77" s="13">
        <f t="shared" ca="1" si="25"/>
        <v>12</v>
      </c>
      <c r="V77" s="611">
        <f t="shared" ca="1" si="26"/>
        <v>0.5</v>
      </c>
      <c r="W77" s="13">
        <f t="shared" ca="1" si="28"/>
        <v>1</v>
      </c>
      <c r="X77" s="13"/>
      <c r="AA77" s="13">
        <v>75</v>
      </c>
      <c r="AB77" s="13" t="s">
        <v>171</v>
      </c>
      <c r="AC77" s="13">
        <v>8</v>
      </c>
      <c r="AD77" s="611">
        <f t="shared" si="32"/>
        <v>0.33333333333333331</v>
      </c>
      <c r="AE77" s="13">
        <v>0</v>
      </c>
      <c r="AF77" s="13">
        <f t="shared" ca="1" si="29"/>
        <v>12</v>
      </c>
      <c r="AG77" s="611">
        <f t="shared" ca="1" si="33"/>
        <v>0.5</v>
      </c>
      <c r="AH77" s="13">
        <f t="shared" ca="1" si="30"/>
        <v>1</v>
      </c>
      <c r="AI77" s="13"/>
    </row>
    <row r="78" spans="1:35">
      <c r="A78" s="580">
        <v>46195.541666666664</v>
      </c>
      <c r="B78" s="13"/>
      <c r="C78" s="580">
        <f t="shared" ca="1" si="34"/>
        <v>46195.541666666664</v>
      </c>
      <c r="D78" s="608"/>
      <c r="P78" s="13">
        <v>76</v>
      </c>
      <c r="Q78" s="13" t="s">
        <v>172</v>
      </c>
      <c r="R78" s="13">
        <f t="shared" ca="1" si="22"/>
        <v>9</v>
      </c>
      <c r="S78" s="611">
        <f t="shared" ca="1" si="23"/>
        <v>0.375</v>
      </c>
      <c r="T78" s="13">
        <f t="shared" ca="1" si="24"/>
        <v>0</v>
      </c>
      <c r="U78" s="13">
        <f t="shared" ca="1" si="25"/>
        <v>13</v>
      </c>
      <c r="V78" s="611">
        <f t="shared" ca="1" si="26"/>
        <v>0.54166666666666663</v>
      </c>
      <c r="W78" s="13">
        <f t="shared" ca="1" si="28"/>
        <v>1</v>
      </c>
      <c r="X78" s="13"/>
      <c r="AA78" s="13">
        <v>76</v>
      </c>
      <c r="AB78" s="13" t="s">
        <v>172</v>
      </c>
      <c r="AC78" s="13">
        <v>9</v>
      </c>
      <c r="AD78" s="611">
        <f t="shared" si="32"/>
        <v>0.375</v>
      </c>
      <c r="AE78" s="13">
        <v>0</v>
      </c>
      <c r="AF78" s="13">
        <f t="shared" ca="1" si="29"/>
        <v>13</v>
      </c>
      <c r="AG78" s="611">
        <f t="shared" ca="1" si="33"/>
        <v>0.54166666666666663</v>
      </c>
      <c r="AH78" s="13">
        <f t="shared" ca="1" si="30"/>
        <v>1</v>
      </c>
      <c r="AI78" s="13"/>
    </row>
    <row r="79" spans="1:35">
      <c r="A79" s="580">
        <v>46195.958333333336</v>
      </c>
      <c r="B79" s="13"/>
      <c r="C79" s="580">
        <f t="shared" ca="1" si="34"/>
        <v>46195.958333333336</v>
      </c>
      <c r="D79" s="608"/>
      <c r="P79" s="13">
        <v>77</v>
      </c>
      <c r="Q79" s="13" t="s">
        <v>371</v>
      </c>
      <c r="R79" s="13">
        <f t="shared" ca="1" si="22"/>
        <v>9.5</v>
      </c>
      <c r="S79" s="611">
        <f t="shared" ca="1" si="23"/>
        <v>0.39583333333333331</v>
      </c>
      <c r="T79" s="13">
        <f t="shared" ca="1" si="24"/>
        <v>0</v>
      </c>
      <c r="U79" s="13">
        <f t="shared" ca="1" si="25"/>
        <v>13.5</v>
      </c>
      <c r="V79" s="611">
        <f t="shared" ca="1" si="26"/>
        <v>0.5625</v>
      </c>
      <c r="W79" s="13">
        <f t="shared" ca="1" si="28"/>
        <v>1</v>
      </c>
      <c r="X79" s="13"/>
      <c r="AA79" s="13">
        <v>77</v>
      </c>
      <c r="AB79" s="13" t="s">
        <v>371</v>
      </c>
      <c r="AC79" s="13">
        <v>9.5</v>
      </c>
      <c r="AD79" s="611">
        <f t="shared" si="32"/>
        <v>0.39583333333333331</v>
      </c>
      <c r="AE79" s="13">
        <v>0</v>
      </c>
      <c r="AF79" s="13">
        <f t="shared" ca="1" si="29"/>
        <v>13.5</v>
      </c>
      <c r="AG79" s="611">
        <f t="shared" ca="1" si="33"/>
        <v>0.5625</v>
      </c>
      <c r="AH79" s="13">
        <f t="shared" ca="1" si="30"/>
        <v>1</v>
      </c>
      <c r="AI79" s="13"/>
    </row>
    <row r="80" spans="1:35">
      <c r="A80" s="580">
        <v>46200.916666666664</v>
      </c>
      <c r="B80" s="13"/>
      <c r="C80" s="580">
        <f t="shared" ca="1" si="34"/>
        <v>46200.916666666664</v>
      </c>
      <c r="D80" s="608"/>
      <c r="P80" s="13">
        <v>78</v>
      </c>
      <c r="Q80" s="13" t="s">
        <v>173</v>
      </c>
      <c r="R80" s="13">
        <f t="shared" ca="1" si="22"/>
        <v>10</v>
      </c>
      <c r="S80" s="611">
        <f t="shared" ca="1" si="23"/>
        <v>0.41666666666666669</v>
      </c>
      <c r="T80" s="13">
        <f t="shared" ca="1" si="24"/>
        <v>0</v>
      </c>
      <c r="U80" s="13">
        <f t="shared" ca="1" si="25"/>
        <v>14</v>
      </c>
      <c r="V80" s="611">
        <f t="shared" ca="1" si="26"/>
        <v>0.58333333333333337</v>
      </c>
      <c r="W80" s="13">
        <f t="shared" ca="1" si="28"/>
        <v>1</v>
      </c>
      <c r="X80" s="13"/>
      <c r="AA80" s="13">
        <v>78</v>
      </c>
      <c r="AB80" s="13" t="s">
        <v>173</v>
      </c>
      <c r="AC80" s="13">
        <v>10</v>
      </c>
      <c r="AD80" s="611">
        <f t="shared" si="32"/>
        <v>0.41666666666666669</v>
      </c>
      <c r="AE80" s="13">
        <v>0</v>
      </c>
      <c r="AF80" s="13">
        <f t="shared" ca="1" si="29"/>
        <v>14</v>
      </c>
      <c r="AG80" s="611">
        <f t="shared" ca="1" si="33"/>
        <v>0.58333333333333337</v>
      </c>
      <c r="AH80" s="13">
        <f t="shared" ca="1" si="30"/>
        <v>1</v>
      </c>
      <c r="AI80" s="13"/>
    </row>
    <row r="81" spans="1:35">
      <c r="A81" s="580">
        <v>46200.916666666664</v>
      </c>
      <c r="B81" s="13"/>
      <c r="C81" s="580">
        <f t="shared" ca="1" si="34"/>
        <v>46200.916666666664</v>
      </c>
      <c r="D81" s="608"/>
      <c r="P81" s="13">
        <v>79</v>
      </c>
      <c r="Q81" s="13" t="s">
        <v>372</v>
      </c>
      <c r="R81" s="13">
        <f t="shared" ca="1" si="22"/>
        <v>10.5</v>
      </c>
      <c r="S81" s="611">
        <f t="shared" ca="1" si="23"/>
        <v>0.4375</v>
      </c>
      <c r="T81" s="13">
        <f t="shared" ca="1" si="24"/>
        <v>0</v>
      </c>
      <c r="U81" s="13">
        <f t="shared" ca="1" si="25"/>
        <v>14.5</v>
      </c>
      <c r="V81" s="611">
        <f t="shared" ca="1" si="26"/>
        <v>0.60416666666666663</v>
      </c>
      <c r="W81" s="13">
        <f t="shared" ca="1" si="28"/>
        <v>1</v>
      </c>
      <c r="X81" s="13"/>
      <c r="AA81" s="13">
        <v>79</v>
      </c>
      <c r="AB81" s="13" t="s">
        <v>372</v>
      </c>
      <c r="AC81" s="13">
        <v>10.5</v>
      </c>
      <c r="AD81" s="611">
        <f t="shared" si="32"/>
        <v>0.4375</v>
      </c>
      <c r="AE81" s="13">
        <v>0</v>
      </c>
      <c r="AF81" s="13">
        <f t="shared" ca="1" si="29"/>
        <v>14.5</v>
      </c>
      <c r="AG81" s="611">
        <f t="shared" ca="1" si="33"/>
        <v>0.60416666666666663</v>
      </c>
      <c r="AH81" s="13">
        <f t="shared" ca="1" si="30"/>
        <v>1</v>
      </c>
      <c r="AI81" s="13"/>
    </row>
    <row r="82" spans="1:35">
      <c r="A82" s="13"/>
      <c r="B82" s="13"/>
      <c r="C82" s="580"/>
      <c r="P82" s="13">
        <v>80</v>
      </c>
      <c r="Q82" s="13" t="s">
        <v>174</v>
      </c>
      <c r="R82" s="13">
        <f t="shared" ca="1" si="22"/>
        <v>11</v>
      </c>
      <c r="S82" s="611">
        <f t="shared" ca="1" si="23"/>
        <v>0.45833333333333331</v>
      </c>
      <c r="T82" s="13">
        <f t="shared" ca="1" si="24"/>
        <v>0</v>
      </c>
      <c r="U82" s="13">
        <f t="shared" ca="1" si="25"/>
        <v>15</v>
      </c>
      <c r="V82" s="611">
        <f t="shared" ca="1" si="26"/>
        <v>0.625</v>
      </c>
      <c r="W82" s="13">
        <f t="shared" ca="1" si="28"/>
        <v>1</v>
      </c>
      <c r="X82" s="13"/>
      <c r="AA82" s="13">
        <v>80</v>
      </c>
      <c r="AB82" s="13" t="s">
        <v>174</v>
      </c>
      <c r="AC82" s="13">
        <v>11</v>
      </c>
      <c r="AD82" s="611">
        <f t="shared" si="32"/>
        <v>0.45833333333333331</v>
      </c>
      <c r="AE82" s="13">
        <v>0</v>
      </c>
      <c r="AF82" s="13">
        <f t="shared" ca="1" si="29"/>
        <v>15</v>
      </c>
      <c r="AG82" s="611">
        <f t="shared" ca="1" si="33"/>
        <v>0.625</v>
      </c>
      <c r="AH82" s="13">
        <f t="shared" ca="1" si="30"/>
        <v>1</v>
      </c>
      <c r="AI82" s="13"/>
    </row>
    <row r="83" spans="1:35">
      <c r="A83" s="7" t="s">
        <v>498</v>
      </c>
      <c r="B83" s="13"/>
      <c r="C83" s="580"/>
      <c r="P83" s="13">
        <v>81</v>
      </c>
      <c r="Q83" s="13" t="s">
        <v>175</v>
      </c>
      <c r="R83" s="13">
        <f t="shared" ca="1" si="22"/>
        <v>12</v>
      </c>
      <c r="S83" s="611">
        <f t="shared" ca="1" si="23"/>
        <v>0.5</v>
      </c>
      <c r="T83" s="13">
        <f t="shared" ca="1" si="24"/>
        <v>0</v>
      </c>
      <c r="U83" s="13">
        <f t="shared" ca="1" si="25"/>
        <v>16</v>
      </c>
      <c r="V83" s="611">
        <f t="shared" ca="1" si="26"/>
        <v>0.66666666666666663</v>
      </c>
      <c r="W83" s="13">
        <f t="shared" ca="1" si="28"/>
        <v>1</v>
      </c>
      <c r="X83" s="13"/>
      <c r="AA83" s="13">
        <v>81</v>
      </c>
      <c r="AB83" s="13" t="s">
        <v>175</v>
      </c>
      <c r="AC83" s="13">
        <v>12</v>
      </c>
      <c r="AD83" s="611">
        <f t="shared" si="32"/>
        <v>0.5</v>
      </c>
      <c r="AE83" s="13">
        <v>0</v>
      </c>
      <c r="AF83" s="13">
        <f t="shared" ca="1" si="29"/>
        <v>16</v>
      </c>
      <c r="AG83" s="611">
        <f t="shared" ca="1" si="33"/>
        <v>0.66666666666666663</v>
      </c>
      <c r="AH83" s="13">
        <f t="shared" ca="1" si="30"/>
        <v>1</v>
      </c>
      <c r="AI83" s="13"/>
    </row>
    <row r="84" spans="1:35">
      <c r="A84" s="580">
        <v>46190.541666666664</v>
      </c>
      <c r="B84" s="13"/>
      <c r="C84" s="580">
        <f t="shared" ref="C84:C89" ca="1" si="35">A84+INDEX($V$3:$V$86,MATCH($C$3,$P$3:$P$86,0))*INDEX($W$3:$W$86,MATCH($C$3,$P$3:$P$86,0))</f>
        <v>46190.541666666664</v>
      </c>
      <c r="D84" s="608"/>
      <c r="P84" s="13">
        <v>82</v>
      </c>
      <c r="Q84" s="13" t="s">
        <v>373</v>
      </c>
      <c r="R84" s="13">
        <f t="shared" ca="1" si="22"/>
        <v>12.75</v>
      </c>
      <c r="S84" s="611">
        <f t="shared" ca="1" si="23"/>
        <v>0.53125</v>
      </c>
      <c r="T84" s="13">
        <f t="shared" ca="1" si="24"/>
        <v>0</v>
      </c>
      <c r="U84" s="13">
        <f t="shared" ca="1" si="25"/>
        <v>16.75</v>
      </c>
      <c r="V84" s="611">
        <f t="shared" ca="1" si="26"/>
        <v>0.69791666666666663</v>
      </c>
      <c r="W84" s="13">
        <f t="shared" ca="1" si="28"/>
        <v>1</v>
      </c>
      <c r="X84" s="13"/>
      <c r="AA84" s="13">
        <v>82</v>
      </c>
      <c r="AB84" s="13" t="s">
        <v>373</v>
      </c>
      <c r="AC84" s="13">
        <v>12.75</v>
      </c>
      <c r="AD84" s="611">
        <f t="shared" si="32"/>
        <v>0.53125</v>
      </c>
      <c r="AE84" s="13">
        <v>0</v>
      </c>
      <c r="AF84" s="13">
        <f t="shared" ca="1" si="29"/>
        <v>16.75</v>
      </c>
      <c r="AG84" s="611">
        <f t="shared" ca="1" si="33"/>
        <v>0.69791666666666663</v>
      </c>
      <c r="AH84" s="13">
        <f t="shared" ca="1" si="30"/>
        <v>1</v>
      </c>
      <c r="AI84" s="13"/>
    </row>
    <row r="85" spans="1:35">
      <c r="A85" s="580">
        <v>46190.916666666664</v>
      </c>
      <c r="B85" s="13"/>
      <c r="C85" s="580">
        <f t="shared" ca="1" si="35"/>
        <v>46190.916666666664</v>
      </c>
      <c r="D85" s="608"/>
      <c r="P85" s="13">
        <v>83</v>
      </c>
      <c r="Q85" s="13" t="s">
        <v>374</v>
      </c>
      <c r="R85" s="13">
        <f t="shared" ca="1" si="22"/>
        <v>13</v>
      </c>
      <c r="S85" s="611">
        <f t="shared" ca="1" si="23"/>
        <v>0.54166666666666663</v>
      </c>
      <c r="T85" s="13">
        <f t="shared" ca="1" si="24"/>
        <v>0</v>
      </c>
      <c r="U85" s="13">
        <f t="shared" ca="1" si="25"/>
        <v>17</v>
      </c>
      <c r="V85" s="611">
        <f t="shared" ca="1" si="26"/>
        <v>0.70833333333333337</v>
      </c>
      <c r="W85" s="13">
        <f t="shared" ca="1" si="28"/>
        <v>1</v>
      </c>
      <c r="X85" s="13"/>
      <c r="AA85" s="13">
        <v>83</v>
      </c>
      <c r="AB85" s="13" t="s">
        <v>374</v>
      </c>
      <c r="AC85" s="13">
        <v>13</v>
      </c>
      <c r="AD85" s="611">
        <f t="shared" si="32"/>
        <v>0.54166666666666663</v>
      </c>
      <c r="AE85" s="13">
        <v>0</v>
      </c>
      <c r="AF85" s="13">
        <f t="shared" ca="1" si="29"/>
        <v>17</v>
      </c>
      <c r="AG85" s="611">
        <f t="shared" ca="1" si="33"/>
        <v>0.70833333333333337</v>
      </c>
      <c r="AH85" s="13">
        <f t="shared" ca="1" si="30"/>
        <v>1</v>
      </c>
      <c r="AI85" s="13"/>
    </row>
    <row r="86" spans="1:35">
      <c r="A86" s="580">
        <v>46196.541666666664</v>
      </c>
      <c r="B86" s="13"/>
      <c r="C86" s="580">
        <f t="shared" ca="1" si="35"/>
        <v>46196.541666666664</v>
      </c>
      <c r="D86" s="608"/>
      <c r="P86" s="13">
        <v>84</v>
      </c>
      <c r="Q86" s="13" t="s">
        <v>375</v>
      </c>
      <c r="R86" s="13">
        <f t="shared" ca="1" si="22"/>
        <v>14</v>
      </c>
      <c r="S86" s="611">
        <f t="shared" ca="1" si="23"/>
        <v>0.58333333333333337</v>
      </c>
      <c r="T86" s="13">
        <f t="shared" ca="1" si="24"/>
        <v>0</v>
      </c>
      <c r="U86" s="13">
        <f t="shared" ca="1" si="25"/>
        <v>18</v>
      </c>
      <c r="V86" s="611">
        <f t="shared" ca="1" si="26"/>
        <v>0.75</v>
      </c>
      <c r="W86" s="13">
        <f t="shared" ca="1" si="28"/>
        <v>1</v>
      </c>
      <c r="X86" s="13"/>
      <c r="AA86" s="13">
        <v>84</v>
      </c>
      <c r="AB86" s="13" t="s">
        <v>375</v>
      </c>
      <c r="AC86" s="13">
        <v>14</v>
      </c>
      <c r="AD86" s="611">
        <f t="shared" si="32"/>
        <v>0.58333333333333337</v>
      </c>
      <c r="AE86" s="13">
        <v>0</v>
      </c>
      <c r="AF86" s="13">
        <f t="shared" ca="1" si="29"/>
        <v>18</v>
      </c>
      <c r="AG86" s="611">
        <f t="shared" ca="1" si="33"/>
        <v>0.75</v>
      </c>
      <c r="AH86" s="13">
        <f t="shared" ca="1" si="30"/>
        <v>1</v>
      </c>
      <c r="AI86" s="13"/>
    </row>
    <row r="87" spans="1:35">
      <c r="A87" s="580">
        <v>46196.916666666664</v>
      </c>
      <c r="B87" s="13"/>
      <c r="C87" s="580">
        <f t="shared" ca="1" si="35"/>
        <v>46196.916666666664</v>
      </c>
      <c r="D87" s="608"/>
    </row>
    <row r="88" spans="1:35">
      <c r="A88" s="580">
        <v>46200.8125</v>
      </c>
      <c r="B88" s="13"/>
      <c r="C88" s="580">
        <f t="shared" ca="1" si="35"/>
        <v>46200.8125</v>
      </c>
      <c r="D88" s="608"/>
    </row>
    <row r="89" spans="1:35">
      <c r="A89" s="580">
        <v>46200.8125</v>
      </c>
      <c r="B89" s="13"/>
      <c r="C89" s="580">
        <f t="shared" ca="1" si="35"/>
        <v>46200.8125</v>
      </c>
      <c r="D89" s="608"/>
    </row>
    <row r="90" spans="1:35">
      <c r="A90" s="13"/>
      <c r="B90" s="13"/>
      <c r="C90" s="580"/>
    </row>
    <row r="91" spans="1:35">
      <c r="A91" s="7" t="s">
        <v>499</v>
      </c>
      <c r="B91" s="13"/>
      <c r="C91" s="580"/>
    </row>
    <row r="92" spans="1:35">
      <c r="A92" s="580">
        <v>46190.666666666664</v>
      </c>
      <c r="B92" s="13"/>
      <c r="C92" s="580">
        <f t="shared" ref="C92:C97" ca="1" si="36">A92+INDEX($V$3:$V$86,MATCH($C$3,$P$3:$P$86,0))*INDEX($W$3:$W$86,MATCH($C$3,$P$3:$P$86,0))</f>
        <v>46190.666666666664</v>
      </c>
      <c r="D92" s="608"/>
    </row>
    <row r="93" spans="1:35">
      <c r="A93" s="580">
        <v>46190.791666666664</v>
      </c>
      <c r="B93" s="13"/>
      <c r="C93" s="580">
        <f t="shared" ca="1" si="36"/>
        <v>46190.791666666664</v>
      </c>
      <c r="D93" s="608"/>
    </row>
    <row r="94" spans="1:35">
      <c r="A94" s="580">
        <v>46196.666666666664</v>
      </c>
      <c r="B94" s="13"/>
      <c r="C94" s="580">
        <f t="shared" ca="1" si="36"/>
        <v>46196.666666666664</v>
      </c>
      <c r="D94" s="608"/>
    </row>
    <row r="95" spans="1:35">
      <c r="A95" s="580">
        <v>46196.791666666664</v>
      </c>
      <c r="B95" s="13"/>
      <c r="C95" s="580">
        <f t="shared" ca="1" si="36"/>
        <v>46196.791666666664</v>
      </c>
      <c r="D95" s="608"/>
    </row>
    <row r="96" spans="1:35">
      <c r="A96" s="580">
        <v>46200.708333333336</v>
      </c>
      <c r="B96" s="13"/>
      <c r="C96" s="580">
        <f t="shared" ca="1" si="36"/>
        <v>46200.708333333336</v>
      </c>
      <c r="D96" s="608"/>
    </row>
    <row r="97" spans="1:10">
      <c r="A97" s="580">
        <v>46200.708333333336</v>
      </c>
      <c r="B97" s="13"/>
      <c r="C97" s="580">
        <f t="shared" ca="1" si="36"/>
        <v>46200.708333333336</v>
      </c>
      <c r="D97" s="608"/>
    </row>
    <row r="98" spans="1:10">
      <c r="A98" s="13"/>
      <c r="B98" s="13"/>
      <c r="C98" s="13"/>
    </row>
    <row r="99" spans="1:10">
      <c r="A99" s="13"/>
      <c r="B99" s="13"/>
      <c r="C99" s="13"/>
    </row>
    <row r="100" spans="1:10">
      <c r="A100" s="612" t="s">
        <v>500</v>
      </c>
      <c r="B100" s="13"/>
      <c r="C100" s="580"/>
      <c r="F100" s="13" t="s">
        <v>1456</v>
      </c>
      <c r="G100" s="13"/>
      <c r="I100" s="13" t="s">
        <v>1455</v>
      </c>
      <c r="J100" s="13"/>
    </row>
    <row r="101" spans="1:10">
      <c r="A101" s="580">
        <v>46201.625</v>
      </c>
      <c r="B101" s="13"/>
      <c r="C101" s="580">
        <f t="shared" ref="C101:C116" ca="1" si="37">A101+INDEX($V$3:$V$86,MATCH($C$3,$P$3:$P$86,0))*INDEX($W$3:$W$86,MATCH($C$3,$P$3:$P$86,0))</f>
        <v>46201.625</v>
      </c>
      <c r="F101" s="13">
        <v>73</v>
      </c>
      <c r="G101" s="580">
        <v>46201.625</v>
      </c>
      <c r="I101" s="13">
        <v>73</v>
      </c>
      <c r="J101" s="580">
        <v>46201.625</v>
      </c>
    </row>
    <row r="102" spans="1:10">
      <c r="A102" s="580">
        <v>46202.541666666664</v>
      </c>
      <c r="B102" s="13"/>
      <c r="C102" s="580">
        <f t="shared" ca="1" si="37"/>
        <v>46202.541666666664</v>
      </c>
      <c r="F102" s="13">
        <v>76</v>
      </c>
      <c r="G102" s="580">
        <v>46202.541666666664</v>
      </c>
      <c r="I102" s="13">
        <v>74</v>
      </c>
      <c r="J102" s="580">
        <v>46202.6875</v>
      </c>
    </row>
    <row r="103" spans="1:10">
      <c r="A103" s="580">
        <v>46202.6875</v>
      </c>
      <c r="B103" s="13"/>
      <c r="C103" s="580">
        <f t="shared" ca="1" si="37"/>
        <v>46202.6875</v>
      </c>
      <c r="F103" s="13">
        <v>74</v>
      </c>
      <c r="G103" s="580">
        <v>46202.6875</v>
      </c>
      <c r="I103" s="13">
        <v>75</v>
      </c>
      <c r="J103" s="580">
        <v>46202.875</v>
      </c>
    </row>
    <row r="104" spans="1:10">
      <c r="A104" s="580">
        <v>46202.875</v>
      </c>
      <c r="B104" s="13"/>
      <c r="C104" s="580">
        <f t="shared" ca="1" si="37"/>
        <v>46202.875</v>
      </c>
      <c r="F104" s="13">
        <v>75</v>
      </c>
      <c r="G104" s="580">
        <v>46202.875</v>
      </c>
      <c r="I104" s="13">
        <v>76</v>
      </c>
      <c r="J104" s="580">
        <v>46202.541666666664</v>
      </c>
    </row>
    <row r="105" spans="1:10">
      <c r="A105" s="580">
        <v>46203.541666666664</v>
      </c>
      <c r="B105" s="13"/>
      <c r="C105" s="580">
        <f t="shared" ca="1" si="37"/>
        <v>46203.541666666664</v>
      </c>
      <c r="F105" s="13">
        <v>78</v>
      </c>
      <c r="G105" s="580">
        <v>46203.541666666664</v>
      </c>
      <c r="I105" s="13">
        <v>77</v>
      </c>
      <c r="J105" s="580">
        <v>46203.708333333336</v>
      </c>
    </row>
    <row r="106" spans="1:10">
      <c r="A106" s="580">
        <v>46203.708333333336</v>
      </c>
      <c r="B106" s="13"/>
      <c r="C106" s="580">
        <f t="shared" ca="1" si="37"/>
        <v>46203.708333333336</v>
      </c>
      <c r="F106" s="13">
        <v>77</v>
      </c>
      <c r="G106" s="580">
        <v>46203.708333333336</v>
      </c>
      <c r="I106" s="13">
        <v>78</v>
      </c>
      <c r="J106" s="580">
        <v>46203.541666666664</v>
      </c>
    </row>
    <row r="107" spans="1:10">
      <c r="A107" s="580">
        <v>46203.875</v>
      </c>
      <c r="B107" s="13"/>
      <c r="C107" s="580">
        <f t="shared" ca="1" si="37"/>
        <v>46203.875</v>
      </c>
      <c r="F107" s="13">
        <v>79</v>
      </c>
      <c r="G107" s="580">
        <v>46203.875</v>
      </c>
      <c r="I107" s="13">
        <v>79</v>
      </c>
      <c r="J107" s="580">
        <v>46203.875</v>
      </c>
    </row>
    <row r="108" spans="1:10">
      <c r="A108" s="580">
        <v>46204.5</v>
      </c>
      <c r="B108" s="13"/>
      <c r="C108" s="580">
        <f t="shared" ca="1" si="37"/>
        <v>46204.5</v>
      </c>
      <c r="F108" s="13">
        <v>80</v>
      </c>
      <c r="G108" s="580">
        <v>46204.5</v>
      </c>
      <c r="I108" s="13">
        <v>80</v>
      </c>
      <c r="J108" s="580">
        <v>46204.5</v>
      </c>
    </row>
    <row r="109" spans="1:10">
      <c r="A109" s="580">
        <v>46204.666666666664</v>
      </c>
      <c r="B109" s="13"/>
      <c r="C109" s="580">
        <f t="shared" ca="1" si="37"/>
        <v>46204.666666666664</v>
      </c>
      <c r="F109" s="13">
        <v>82</v>
      </c>
      <c r="G109" s="580">
        <v>46204.666666666664</v>
      </c>
      <c r="I109" s="13">
        <v>81</v>
      </c>
      <c r="J109" s="580">
        <v>46204.833333333336</v>
      </c>
    </row>
    <row r="110" spans="1:10">
      <c r="A110" s="580">
        <v>46204.833333333336</v>
      </c>
      <c r="B110" s="13"/>
      <c r="C110" s="580">
        <f t="shared" ca="1" si="37"/>
        <v>46204.833333333336</v>
      </c>
      <c r="F110" s="13">
        <v>81</v>
      </c>
      <c r="G110" s="580">
        <v>46204.833333333336</v>
      </c>
      <c r="I110" s="13">
        <v>82</v>
      </c>
      <c r="J110" s="580">
        <v>46204.666666666664</v>
      </c>
    </row>
    <row r="111" spans="1:10">
      <c r="A111" s="580">
        <v>46205.625</v>
      </c>
      <c r="B111" s="13"/>
      <c r="C111" s="580">
        <f t="shared" ca="1" si="37"/>
        <v>46205.625</v>
      </c>
      <c r="F111" s="13">
        <v>84</v>
      </c>
      <c r="G111" s="580">
        <v>46205.625</v>
      </c>
      <c r="I111" s="13">
        <v>83</v>
      </c>
      <c r="J111" s="580">
        <v>46205.791666666664</v>
      </c>
    </row>
    <row r="112" spans="1:10">
      <c r="A112" s="580">
        <v>46205.791666666664</v>
      </c>
      <c r="B112" s="13"/>
      <c r="C112" s="580">
        <f t="shared" ca="1" si="37"/>
        <v>46205.791666666664</v>
      </c>
      <c r="F112" s="13">
        <v>83</v>
      </c>
      <c r="G112" s="580">
        <v>46205.791666666664</v>
      </c>
      <c r="I112" s="13">
        <v>84</v>
      </c>
      <c r="J112" s="580">
        <v>46205.625</v>
      </c>
    </row>
    <row r="113" spans="1:10">
      <c r="A113" s="580">
        <v>46205.958333333336</v>
      </c>
      <c r="B113" s="13"/>
      <c r="C113" s="580">
        <f t="shared" ca="1" si="37"/>
        <v>46205.958333333336</v>
      </c>
      <c r="F113" s="13">
        <v>85</v>
      </c>
      <c r="G113" s="580">
        <v>46205.958333333336</v>
      </c>
      <c r="I113" s="13">
        <v>85</v>
      </c>
      <c r="J113" s="580">
        <v>46205.958333333336</v>
      </c>
    </row>
    <row r="114" spans="1:10">
      <c r="A114" s="580">
        <v>46206.583333333336</v>
      </c>
      <c r="B114" s="13"/>
      <c r="C114" s="580">
        <f t="shared" ca="1" si="37"/>
        <v>46206.583333333336</v>
      </c>
      <c r="F114" s="13">
        <v>88</v>
      </c>
      <c r="G114" s="580">
        <v>46206.583333333336</v>
      </c>
      <c r="I114" s="13">
        <v>86</v>
      </c>
      <c r="J114" s="580">
        <v>46206.75</v>
      </c>
    </row>
    <row r="115" spans="1:10">
      <c r="A115" s="580">
        <v>46206.75</v>
      </c>
      <c r="B115" s="13"/>
      <c r="C115" s="580">
        <f t="shared" ca="1" si="37"/>
        <v>46206.75</v>
      </c>
      <c r="F115" s="13">
        <v>86</v>
      </c>
      <c r="G115" s="580">
        <v>46206.75</v>
      </c>
      <c r="I115" s="13">
        <v>87</v>
      </c>
      <c r="J115" s="580">
        <v>46206.895833333336</v>
      </c>
    </row>
    <row r="116" spans="1:10">
      <c r="A116" s="580">
        <v>46206.895833333336</v>
      </c>
      <c r="B116" s="13"/>
      <c r="C116" s="580">
        <f t="shared" ca="1" si="37"/>
        <v>46206.895833333336</v>
      </c>
      <c r="F116" s="13">
        <v>87</v>
      </c>
      <c r="G116" s="580">
        <v>46206.895833333336</v>
      </c>
      <c r="I116" s="13">
        <v>88</v>
      </c>
      <c r="J116" s="580">
        <v>46206.583333333336</v>
      </c>
    </row>
    <row r="117" spans="1:10">
      <c r="A117" s="13"/>
      <c r="B117" s="13"/>
      <c r="C117" s="580"/>
      <c r="F117" s="13"/>
      <c r="G117" s="580"/>
      <c r="I117" s="13"/>
      <c r="J117" s="13"/>
    </row>
    <row r="118" spans="1:10">
      <c r="A118" s="13"/>
      <c r="B118" s="13"/>
      <c r="C118" s="580"/>
      <c r="F118" s="13"/>
      <c r="G118" s="580"/>
      <c r="I118" s="13"/>
      <c r="J118" s="13"/>
    </row>
    <row r="119" spans="1:10">
      <c r="A119" s="612" t="s">
        <v>730</v>
      </c>
      <c r="B119" s="13"/>
      <c r="C119" s="13"/>
      <c r="F119" s="13"/>
      <c r="G119" s="580"/>
      <c r="I119" s="13"/>
      <c r="J119" s="13"/>
    </row>
    <row r="120" spans="1:10">
      <c r="A120" s="580">
        <v>46207.541666666664</v>
      </c>
      <c r="B120" s="13"/>
      <c r="C120" s="580">
        <f t="shared" ref="C120:C127" ca="1" si="38">A120+INDEX($V$3:$V$86,MATCH($C$3,$P$3:$P$86,0))*INDEX($W$3:$W$86,MATCH($C$3,$P$3:$P$86,0))</f>
        <v>46207.541666666664</v>
      </c>
      <c r="D120" s="608"/>
      <c r="F120" s="13">
        <v>90</v>
      </c>
      <c r="G120" s="580">
        <v>46207.541666666664</v>
      </c>
      <c r="I120" s="13">
        <v>89</v>
      </c>
      <c r="J120" s="580">
        <v>46207.708333333336</v>
      </c>
    </row>
    <row r="121" spans="1:10">
      <c r="A121" s="580">
        <v>46207.708333333336</v>
      </c>
      <c r="B121" s="13"/>
      <c r="C121" s="580">
        <f t="shared" ca="1" si="38"/>
        <v>46207.708333333336</v>
      </c>
      <c r="D121" s="608"/>
      <c r="F121" s="13">
        <v>89</v>
      </c>
      <c r="G121" s="580">
        <v>46207.708333333336</v>
      </c>
      <c r="I121" s="13">
        <v>90</v>
      </c>
      <c r="J121" s="580">
        <v>46207.541666666664</v>
      </c>
    </row>
    <row r="122" spans="1:10">
      <c r="A122" s="580">
        <v>46208.666666666664</v>
      </c>
      <c r="B122" s="13"/>
      <c r="C122" s="580">
        <f t="shared" ca="1" si="38"/>
        <v>46208.666666666664</v>
      </c>
      <c r="D122" s="608"/>
      <c r="F122" s="13">
        <v>91</v>
      </c>
      <c r="G122" s="580">
        <v>46208.666666666664</v>
      </c>
      <c r="I122" s="13">
        <v>91</v>
      </c>
      <c r="J122" s="580">
        <v>46208.666666666664</v>
      </c>
    </row>
    <row r="123" spans="1:10">
      <c r="A123" s="580">
        <v>46208.833333333336</v>
      </c>
      <c r="B123" s="13"/>
      <c r="C123" s="580">
        <f t="shared" ca="1" si="38"/>
        <v>46208.833333333336</v>
      </c>
      <c r="D123" s="608"/>
      <c r="F123" s="13">
        <v>92</v>
      </c>
      <c r="G123" s="580">
        <v>46208.833333333336</v>
      </c>
      <c r="I123" s="13">
        <v>92</v>
      </c>
      <c r="J123" s="580">
        <v>46208.833333333336</v>
      </c>
    </row>
    <row r="124" spans="1:10">
      <c r="A124" s="580">
        <v>46209.625</v>
      </c>
      <c r="B124" s="13"/>
      <c r="C124" s="580">
        <f t="shared" ca="1" si="38"/>
        <v>46209.625</v>
      </c>
      <c r="D124" s="608"/>
      <c r="F124" s="13">
        <v>93</v>
      </c>
      <c r="G124" s="580">
        <v>46209.625</v>
      </c>
      <c r="I124" s="13">
        <v>93</v>
      </c>
      <c r="J124" s="580">
        <v>46209.625</v>
      </c>
    </row>
    <row r="125" spans="1:10">
      <c r="A125" s="580">
        <v>46209.833333333336</v>
      </c>
      <c r="B125" s="13"/>
      <c r="C125" s="580">
        <f t="shared" ca="1" si="38"/>
        <v>46209.833333333336</v>
      </c>
      <c r="D125" s="608"/>
      <c r="F125" s="13">
        <v>94</v>
      </c>
      <c r="G125" s="580">
        <v>46209.833333333336</v>
      </c>
      <c r="I125" s="13">
        <v>94</v>
      </c>
      <c r="J125" s="580">
        <v>46209.833333333336</v>
      </c>
    </row>
    <row r="126" spans="1:10">
      <c r="A126" s="580">
        <v>46210.5</v>
      </c>
      <c r="B126" s="13"/>
      <c r="C126" s="580">
        <f t="shared" ca="1" si="38"/>
        <v>46210.5</v>
      </c>
      <c r="D126" s="608"/>
      <c r="F126" s="13">
        <v>95</v>
      </c>
      <c r="G126" s="580">
        <v>46210.5</v>
      </c>
      <c r="I126" s="13">
        <v>95</v>
      </c>
      <c r="J126" s="580">
        <v>46210.5</v>
      </c>
    </row>
    <row r="127" spans="1:10">
      <c r="A127" s="580">
        <v>46210.666666666664</v>
      </c>
      <c r="B127" s="13"/>
      <c r="C127" s="580">
        <f t="shared" ca="1" si="38"/>
        <v>46210.666666666664</v>
      </c>
      <c r="D127" s="608"/>
      <c r="F127" s="13">
        <v>96</v>
      </c>
      <c r="G127" s="580">
        <v>46210.666666666664</v>
      </c>
      <c r="I127" s="13">
        <v>96</v>
      </c>
      <c r="J127" s="580">
        <v>46210.666666666664</v>
      </c>
    </row>
    <row r="128" spans="1:10">
      <c r="A128" s="13"/>
      <c r="B128" s="13"/>
      <c r="C128" s="13"/>
      <c r="F128" s="13"/>
      <c r="G128" s="580"/>
      <c r="I128" s="13"/>
      <c r="J128" s="13"/>
    </row>
    <row r="129" spans="1:10">
      <c r="A129" s="13"/>
      <c r="B129" s="13"/>
      <c r="C129" s="13"/>
      <c r="F129" s="13"/>
      <c r="G129" s="580"/>
      <c r="I129" s="13"/>
      <c r="J129" s="13"/>
    </row>
    <row r="130" spans="1:10">
      <c r="A130" s="612" t="s">
        <v>96</v>
      </c>
      <c r="B130" s="13"/>
      <c r="C130" s="580"/>
      <c r="F130" s="13"/>
      <c r="G130" s="580"/>
      <c r="I130" s="13"/>
      <c r="J130" s="13"/>
    </row>
    <row r="131" spans="1:10">
      <c r="A131" s="580">
        <v>46212.666666666664</v>
      </c>
      <c r="B131" s="13"/>
      <c r="C131" s="580">
        <f ca="1">A131+INDEX($V$3:$V$86,MATCH($C$3,$P$3:$P$86,0))*INDEX($W$3:$W$86,MATCH($C$3,$P$3:$P$86,0))</f>
        <v>46212.666666666664</v>
      </c>
      <c r="D131" s="608"/>
      <c r="F131" s="13">
        <v>97</v>
      </c>
      <c r="G131" s="580">
        <v>46212.666666666664</v>
      </c>
      <c r="I131" s="13">
        <v>97</v>
      </c>
      <c r="J131" s="580">
        <v>46212.666666666664</v>
      </c>
    </row>
    <row r="132" spans="1:10">
      <c r="A132" s="580">
        <v>46213.625</v>
      </c>
      <c r="B132" s="13"/>
      <c r="C132" s="580">
        <f ca="1">A132+INDEX($V$3:$V$86,MATCH($C$3,$P$3:$P$86,0))*INDEX($W$3:$W$86,MATCH($C$3,$P$3:$P$86,0))</f>
        <v>46213.625</v>
      </c>
      <c r="D132" s="608"/>
      <c r="F132" s="13">
        <v>98</v>
      </c>
      <c r="G132" s="580">
        <v>46213.625</v>
      </c>
      <c r="I132" s="13">
        <v>98</v>
      </c>
      <c r="J132" s="580">
        <v>46213.625</v>
      </c>
    </row>
    <row r="133" spans="1:10">
      <c r="A133" s="580">
        <v>46214.708333333336</v>
      </c>
      <c r="B133" s="13"/>
      <c r="C133" s="580">
        <f ca="1">A133+INDEX($V$3:$V$86,MATCH($C$3,$P$3:$P$86,0))*INDEX($W$3:$W$86,MATCH($C$3,$P$3:$P$86,0))</f>
        <v>46214.708333333336</v>
      </c>
      <c r="D133" s="608"/>
      <c r="F133" s="13">
        <v>99</v>
      </c>
      <c r="G133" s="580">
        <v>46214.708333333336</v>
      </c>
      <c r="I133" s="13">
        <v>99</v>
      </c>
      <c r="J133" s="580">
        <v>46214.708333333336</v>
      </c>
    </row>
    <row r="134" spans="1:10">
      <c r="A134" s="580">
        <v>46214.875</v>
      </c>
      <c r="B134" s="13"/>
      <c r="C134" s="580">
        <f ca="1">A134+INDEX($V$3:$V$86,MATCH($C$3,$P$3:$P$86,0))*INDEX($W$3:$W$86,MATCH($C$3,$P$3:$P$86,0))</f>
        <v>46214.875</v>
      </c>
      <c r="D134" s="608"/>
      <c r="F134" s="13">
        <v>100</v>
      </c>
      <c r="G134" s="580">
        <v>46214.875</v>
      </c>
      <c r="I134" s="13">
        <v>100</v>
      </c>
      <c r="J134" s="580">
        <v>46214.875</v>
      </c>
    </row>
    <row r="135" spans="1:10">
      <c r="A135" s="13"/>
      <c r="B135" s="13"/>
      <c r="C135" s="580"/>
    </row>
    <row r="136" spans="1:10">
      <c r="A136" s="13"/>
      <c r="B136" s="13"/>
      <c r="C136" s="13"/>
    </row>
    <row r="137" spans="1:10">
      <c r="A137" s="613" t="s">
        <v>43</v>
      </c>
      <c r="B137" s="13"/>
      <c r="C137" s="580"/>
    </row>
    <row r="138" spans="1:10">
      <c r="A138" s="580">
        <v>46217.625</v>
      </c>
      <c r="B138" s="13"/>
      <c r="C138" s="580">
        <f ca="1">A138+INDEX($V$3:$V$86,MATCH($C$3,$P$3:$P$86,0))*INDEX($W$3:$W$86,MATCH($C$3,$P$3:$P$86,0))</f>
        <v>46217.625</v>
      </c>
      <c r="D138" s="608"/>
    </row>
    <row r="139" spans="1:10">
      <c r="A139" s="580">
        <v>46218.625</v>
      </c>
      <c r="B139" s="13"/>
      <c r="C139" s="580">
        <f ca="1">A139+INDEX($V$3:$V$86,MATCH($C$3,$P$3:$P$86,0))*INDEX($W$3:$W$86,MATCH($C$3,$P$3:$P$86,0))</f>
        <v>46218.625</v>
      </c>
      <c r="D139" s="608"/>
    </row>
    <row r="140" spans="1:10">
      <c r="A140" s="13"/>
      <c r="B140" s="13"/>
      <c r="C140" s="580"/>
    </row>
    <row r="141" spans="1:10">
      <c r="A141" s="13"/>
      <c r="B141" s="13"/>
      <c r="C141" s="13"/>
    </row>
    <row r="142" spans="1:10">
      <c r="A142" s="614" t="s">
        <v>503</v>
      </c>
      <c r="B142" s="13"/>
      <c r="C142" s="13"/>
    </row>
    <row r="143" spans="1:10">
      <c r="A143" s="580">
        <v>46221.708333333336</v>
      </c>
      <c r="B143" s="13"/>
      <c r="C143" s="580">
        <f ca="1">A143+INDEX($V$3:$V$86,MATCH($C$3,$P$3:$P$86,0))*INDEX($W$3:$W$86,MATCH($C$3,$P$3:$P$86,0))</f>
        <v>46221.708333333336</v>
      </c>
      <c r="D143" s="608"/>
    </row>
    <row r="144" spans="1:10">
      <c r="A144" s="13"/>
      <c r="B144" s="13"/>
      <c r="C144" s="13"/>
    </row>
    <row r="145" spans="1:4">
      <c r="A145" s="13"/>
      <c r="B145" s="13"/>
      <c r="C145" s="13"/>
    </row>
    <row r="146" spans="1:4">
      <c r="A146" s="615" t="s">
        <v>4</v>
      </c>
      <c r="B146" s="13"/>
      <c r="C146" s="580"/>
    </row>
    <row r="147" spans="1:4">
      <c r="A147" s="580">
        <v>46222.625</v>
      </c>
      <c r="B147" s="13"/>
      <c r="C147" s="580">
        <f ca="1">A147+INDEX($V$3:$V$86,MATCH($C$3,$P$3:$P$86,0))*INDEX($W$3:$W$86,MATCH($C$3,$P$3:$P$86,0))</f>
        <v>46222.625</v>
      </c>
      <c r="D147" s="608"/>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2026-06-12T05:07:20Z</dcterms:modified>
</cp:coreProperties>
</file>